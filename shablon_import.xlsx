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B1FFD4D3-799F-41D4-A712-9AC03A09C7A4}" xr6:coauthVersionLast="47" xr6:coauthVersionMax="47" xr10:uidLastSave="{00000000-0000-0000-0000-000000000000}"/>
  <bookViews>
    <workbookView xWindow="-27990" yWindow="0" windowWidth="28770" windowHeight="15450" xr2:uid="{00000000-000D-0000-FFFF-FFFF00000000}"/>
  </bookViews>
  <sheets>
    <sheet name="Исходные данные" sheetId="1" r:id="rId1"/>
    <sheet name="корпус 1.3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6" i="1" l="1"/>
  <c r="G76" i="1"/>
  <c r="H76" i="1"/>
  <c r="I76" i="1"/>
  <c r="J76" i="1"/>
  <c r="K76" i="1"/>
  <c r="L76" i="1"/>
  <c r="M76" i="1"/>
  <c r="F77" i="1"/>
  <c r="G77" i="1"/>
  <c r="H77" i="1"/>
  <c r="I77" i="1"/>
  <c r="J77" i="1"/>
  <c r="K77" i="1"/>
  <c r="L77" i="1"/>
  <c r="M77" i="1"/>
  <c r="F78" i="1"/>
  <c r="G78" i="1"/>
  <c r="H78" i="1"/>
  <c r="I78" i="1"/>
  <c r="J78" i="1"/>
  <c r="K78" i="1"/>
  <c r="L78" i="1"/>
  <c r="M78" i="1"/>
  <c r="F79" i="1"/>
  <c r="G79" i="1"/>
  <c r="H79" i="1"/>
  <c r="I79" i="1"/>
  <c r="J79" i="1"/>
  <c r="K79" i="1"/>
  <c r="L79" i="1"/>
  <c r="M79" i="1"/>
  <c r="F80" i="1"/>
  <c r="G80" i="1"/>
  <c r="H80" i="1"/>
  <c r="I80" i="1"/>
  <c r="J80" i="1"/>
  <c r="K80" i="1"/>
  <c r="L80" i="1"/>
  <c r="M80" i="1"/>
  <c r="F81" i="1"/>
  <c r="G81" i="1"/>
  <c r="H81" i="1"/>
  <c r="I81" i="1"/>
  <c r="J81" i="1"/>
  <c r="K81" i="1"/>
  <c r="L81" i="1"/>
  <c r="M81" i="1"/>
  <c r="F82" i="1"/>
  <c r="G82" i="1"/>
  <c r="H82" i="1"/>
  <c r="I82" i="1"/>
  <c r="J82" i="1"/>
  <c r="K82" i="1"/>
  <c r="L82" i="1"/>
  <c r="M82" i="1"/>
  <c r="F83" i="1"/>
  <c r="G83" i="1"/>
  <c r="H83" i="1"/>
  <c r="I83" i="1"/>
  <c r="J83" i="1"/>
  <c r="K83" i="1"/>
  <c r="L83" i="1"/>
  <c r="M83" i="1"/>
  <c r="F84" i="1"/>
  <c r="G84" i="1"/>
  <c r="H84" i="1"/>
  <c r="I84" i="1"/>
  <c r="J84" i="1"/>
  <c r="K84" i="1"/>
  <c r="L84" i="1"/>
  <c r="M84" i="1"/>
  <c r="F85" i="1"/>
  <c r="G85" i="1"/>
  <c r="H85" i="1"/>
  <c r="I85" i="1"/>
  <c r="J85" i="1"/>
  <c r="K85" i="1"/>
  <c r="L85" i="1"/>
  <c r="M85" i="1"/>
  <c r="F86" i="1"/>
  <c r="G86" i="1"/>
  <c r="H86" i="1"/>
  <c r="I86" i="1"/>
  <c r="J86" i="1"/>
  <c r="K86" i="1"/>
  <c r="L86" i="1"/>
  <c r="M86" i="1"/>
  <c r="F87" i="1"/>
  <c r="F88" i="1" s="1"/>
  <c r="G87" i="1"/>
  <c r="H87" i="1"/>
  <c r="I87" i="1"/>
  <c r="J87" i="1"/>
  <c r="K87" i="1"/>
  <c r="L87" i="1"/>
  <c r="M87" i="1"/>
  <c r="M12" i="1"/>
  <c r="M14" i="1" s="1"/>
  <c r="K6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E77" i="1"/>
  <c r="E78" i="1"/>
  <c r="E79" i="1"/>
  <c r="E80" i="1"/>
  <c r="E81" i="1"/>
  <c r="E82" i="1"/>
  <c r="E83" i="1"/>
  <c r="E84" i="1"/>
  <c r="E85" i="1"/>
  <c r="E86" i="1"/>
  <c r="E87" i="1"/>
  <c r="E76" i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3" i="2"/>
  <c r="L88" i="1" l="1"/>
  <c r="K88" i="1"/>
  <c r="J88" i="1"/>
  <c r="J89" i="1"/>
  <c r="F89" i="1"/>
  <c r="K89" i="1"/>
  <c r="G88" i="1"/>
  <c r="M89" i="1"/>
  <c r="H88" i="1"/>
  <c r="L89" i="1"/>
  <c r="M88" i="1"/>
  <c r="I88" i="1"/>
  <c r="H89" i="1"/>
  <c r="G89" i="1"/>
  <c r="I89" i="1"/>
  <c r="D89" i="1"/>
  <c r="B89" i="1"/>
  <c r="C89" i="1"/>
  <c r="E89" i="1" l="1"/>
  <c r="E88" i="1"/>
  <c r="C88" i="1" l="1"/>
  <c r="B88" i="1"/>
  <c r="C16" i="2"/>
  <c r="B9" i="2"/>
  <c r="B8" i="2"/>
  <c r="B10" i="2" s="1"/>
  <c r="D6" i="2"/>
  <c r="F2" i="2"/>
  <c r="D14" i="1"/>
  <c r="D15" i="1"/>
  <c r="D16" i="1"/>
  <c r="D17" i="1"/>
  <c r="D13" i="1"/>
  <c r="D7" i="1"/>
  <c r="E7" i="1"/>
  <c r="K7" i="1"/>
  <c r="D6" i="1"/>
  <c r="C7" i="1"/>
  <c r="B7" i="1"/>
  <c r="D88" i="1" l="1"/>
  <c r="D10" i="2"/>
  <c r="E10" i="2" s="1"/>
</calcChain>
</file>

<file path=xl/sharedStrings.xml><?xml version="1.0" encoding="utf-8"?>
<sst xmlns="http://schemas.openxmlformats.org/spreadsheetml/2006/main" count="82" uniqueCount="55">
  <si>
    <t>Параметр</t>
  </si>
  <si>
    <t>Значение</t>
  </si>
  <si>
    <t>Название проекта</t>
  </si>
  <si>
    <t/>
  </si>
  <si>
    <t>Температурный график</t>
  </si>
  <si>
    <t>80/60</t>
  </si>
  <si>
    <t>Расход тепла, кВт</t>
  </si>
  <si>
    <t>Кол-во окон</t>
  </si>
  <si>
    <t>Высота простенка, мм</t>
  </si>
  <si>
    <t>Высота стяжки, мм</t>
  </si>
  <si>
    <t>Высота этажа, мм</t>
  </si>
  <si>
    <t>Толщина изоляции, мм</t>
  </si>
  <si>
    <t>Квартир на этаже</t>
  </si>
  <si>
    <t>Зон отопления</t>
  </si>
  <si>
    <t>Тип разводки PEX</t>
  </si>
  <si>
    <t>Лучевая</t>
  </si>
  <si>
    <t>ВГГ-5</t>
  </si>
  <si>
    <t xml:space="preserve">Секция </t>
  </si>
  <si>
    <t>КОРПУС 1.1</t>
  </si>
  <si>
    <t>КОРПУС 1.2</t>
  </si>
  <si>
    <t>Кол-во</t>
  </si>
  <si>
    <t>попутная</t>
  </si>
  <si>
    <t>Количество квартир</t>
  </si>
  <si>
    <t>Однокомнатные</t>
  </si>
  <si>
    <t>Двухкомнатные</t>
  </si>
  <si>
    <t>Трехкомнатные</t>
  </si>
  <si>
    <t>Четырехкомнатные</t>
  </si>
  <si>
    <t>ХВС</t>
  </si>
  <si>
    <t>1 зона м</t>
  </si>
  <si>
    <t>кол-во стояков</t>
  </si>
  <si>
    <t>2 зона м</t>
  </si>
  <si>
    <t>всего</t>
  </si>
  <si>
    <t>труба Ду 50</t>
  </si>
  <si>
    <t>этаж</t>
  </si>
  <si>
    <t>кол-во выходов</t>
  </si>
  <si>
    <t xml:space="preserve">Воздухоотводчик </t>
  </si>
  <si>
    <t>квартир</t>
  </si>
  <si>
    <t>разводка PP-R Ду 15</t>
  </si>
  <si>
    <t>Проверка по кол-ву квартир</t>
  </si>
  <si>
    <t>Проверка по кол-ву этажей</t>
  </si>
  <si>
    <t>Этажи/кол-во квартир</t>
  </si>
  <si>
    <t>Кол-во этажей корпуса</t>
  </si>
  <si>
    <t>Границы зон (Этаж)</t>
  </si>
  <si>
    <t>Символ 36 корп</t>
  </si>
  <si>
    <t>Секция 1</t>
  </si>
  <si>
    <t>Секция 2</t>
  </si>
  <si>
    <t>Секция 3</t>
  </si>
  <si>
    <t>Секция 4</t>
  </si>
  <si>
    <t>Секция 5</t>
  </si>
  <si>
    <t>Итог</t>
  </si>
  <si>
    <t>ВГГ-5 КОРПУС 1.1+1.2</t>
  </si>
  <si>
    <t>ВГГ-5 КОРПУС 1.3</t>
  </si>
  <si>
    <t>КОРПУС 1.3 Итог</t>
  </si>
  <si>
    <t>Квартир на этаже(отводов коллекторов\количество данных этажей</t>
  </si>
  <si>
    <t>ширина простенка окна мм/кол-во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</si>
</sst>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3" fillId="0" borderId="0" xfId="1" applyFont="1"/>
    <xf numFmtId="0" fontId="2" fillId="0" borderId="0" xfId="1"/>
    <xf numFmtId="0" fontId="0" fillId="0" borderId="0" xfId="0" applyNumberFormat="1" applyAlignment="1">
      <alignment wrapText="1"/>
    </xf>
  </cellXfs>
  <cellStyles count="2">
    <cellStyle name="Обычный" xfId="0" builtinId="0"/>
    <cellStyle name="Обычный 2" xfId="1" xr:uid="{2FD0EF42-99CB-4947-8403-A6AAA4FE7A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586740</xdr:colOff>
      <xdr:row>1</xdr:row>
      <xdr:rowOff>22860</xdr:rowOff>
    </xdr:from>
    <xdr:ext cx="6843983" cy="3216071"/>
    <xdr:pic>
      <xdr:nvPicPr>
        <xdr:cNvPr id="2" name="Рисунок 1">
          <a:extLst>
            <a:ext uri="{FF2B5EF4-FFF2-40B4-BE49-F238E27FC236}">
              <a16:creationId xmlns:a16="http://schemas.microsoft.com/office/drawing/2014/main" id="{315B897E-16FC-47A6-B347-6B33489734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49740" y="213360"/>
          <a:ext cx="6843983" cy="3216071"/>
        </a:xfrm>
        <a:prstGeom prst="rect">
          <a:avLst/>
        </a:prstGeom>
      </xdr:spPr>
    </xdr:pic>
    <xdr:clientData/>
  </xdr:oneCellAnchor>
  <xdr:oneCellAnchor>
    <xdr:from>
      <xdr:col>11</xdr:col>
      <xdr:colOff>511628</xdr:colOff>
      <xdr:row>19</xdr:row>
      <xdr:rowOff>87085</xdr:rowOff>
    </xdr:from>
    <xdr:ext cx="6498314" cy="4086779"/>
    <xdr:pic>
      <xdr:nvPicPr>
        <xdr:cNvPr id="3" name="Рисунок 2">
          <a:extLst>
            <a:ext uri="{FF2B5EF4-FFF2-40B4-BE49-F238E27FC236}">
              <a16:creationId xmlns:a16="http://schemas.microsoft.com/office/drawing/2014/main" id="{D1F1E84D-E7BD-4DB2-9735-9C33E76B29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74628" y="3706585"/>
          <a:ext cx="6498314" cy="408677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7"/>
  <sheetViews>
    <sheetView tabSelected="1" topLeftCell="A79" workbookViewId="0">
      <selection activeCell="C102" sqref="C102"/>
    </sheetView>
  </sheetViews>
  <sheetFormatPr defaultRowHeight="15" x14ac:dyDescent="0.25"/>
  <cols>
    <col min="1" max="1" width="32.42578125" customWidth="1"/>
    <col min="2" max="2" width="20" customWidth="1"/>
    <col min="3" max="4" width="20.7109375" customWidth="1"/>
    <col min="5" max="5" width="18" customWidth="1"/>
  </cols>
  <sheetData>
    <row r="1" spans="1:13" s="1" customFormat="1" x14ac:dyDescent="0.25">
      <c r="A1" s="2" t="s">
        <v>0</v>
      </c>
      <c r="B1" s="2" t="s">
        <v>1</v>
      </c>
    </row>
    <row r="2" spans="1:13" x14ac:dyDescent="0.25">
      <c r="A2" t="s">
        <v>2</v>
      </c>
      <c r="B2" t="s">
        <v>16</v>
      </c>
      <c r="C2" t="s">
        <v>16</v>
      </c>
      <c r="D2" t="s">
        <v>50</v>
      </c>
      <c r="E2" t="s">
        <v>51</v>
      </c>
      <c r="F2" t="s">
        <v>43</v>
      </c>
      <c r="G2" t="s">
        <v>43</v>
      </c>
      <c r="H2" t="s">
        <v>43</v>
      </c>
      <c r="I2" t="s">
        <v>43</v>
      </c>
      <c r="J2" t="s">
        <v>43</v>
      </c>
      <c r="K2" t="s">
        <v>43</v>
      </c>
    </row>
    <row r="3" spans="1:13" x14ac:dyDescent="0.25">
      <c r="A3" t="s">
        <v>17</v>
      </c>
      <c r="B3" t="s">
        <v>18</v>
      </c>
      <c r="C3" t="s">
        <v>19</v>
      </c>
      <c r="D3" t="s">
        <v>49</v>
      </c>
      <c r="E3" t="s">
        <v>52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</row>
    <row r="6" spans="1:13" x14ac:dyDescent="0.25">
      <c r="A6" t="s">
        <v>6</v>
      </c>
      <c r="D6">
        <f>1021</f>
        <v>1021</v>
      </c>
      <c r="E6">
        <v>801</v>
      </c>
      <c r="K6">
        <f>1901+996.72</f>
        <v>2897.7200000000003</v>
      </c>
    </row>
    <row r="7" spans="1:13" x14ac:dyDescent="0.25">
      <c r="A7" t="s">
        <v>7</v>
      </c>
      <c r="B7">
        <f>SUM(B100:B214)</f>
        <v>0</v>
      </c>
      <c r="C7">
        <f>SUM(C100:C214)</f>
        <v>0</v>
      </c>
      <c r="D7">
        <f>SUM(D100:D214)</f>
        <v>220</v>
      </c>
      <c r="E7">
        <f>SUM(E100:E214)</f>
        <v>7</v>
      </c>
      <c r="K7">
        <f>SUM(F100:F214)</f>
        <v>0</v>
      </c>
    </row>
    <row r="8" spans="1:13" x14ac:dyDescent="0.25">
      <c r="B8" t="s">
        <v>3</v>
      </c>
    </row>
    <row r="9" spans="1:13" x14ac:dyDescent="0.25">
      <c r="A9" t="s">
        <v>9</v>
      </c>
      <c r="B9">
        <v>100</v>
      </c>
      <c r="C9">
        <v>100</v>
      </c>
      <c r="E9">
        <v>100</v>
      </c>
      <c r="K9">
        <v>100</v>
      </c>
    </row>
    <row r="10" spans="1:13" x14ac:dyDescent="0.25">
      <c r="A10" t="s">
        <v>10</v>
      </c>
      <c r="B10">
        <v>3000</v>
      </c>
      <c r="C10">
        <v>3000</v>
      </c>
      <c r="E10">
        <v>3000</v>
      </c>
      <c r="F10">
        <v>3300</v>
      </c>
      <c r="G10">
        <v>3300</v>
      </c>
      <c r="H10">
        <v>3300</v>
      </c>
      <c r="I10">
        <v>3300</v>
      </c>
      <c r="J10">
        <v>3300</v>
      </c>
    </row>
    <row r="11" spans="1:13" x14ac:dyDescent="0.25">
      <c r="A11" t="s">
        <v>11</v>
      </c>
      <c r="B11">
        <v>9</v>
      </c>
      <c r="C11">
        <v>9</v>
      </c>
      <c r="E11">
        <v>13</v>
      </c>
      <c r="F11">
        <v>25</v>
      </c>
      <c r="G11">
        <v>25</v>
      </c>
      <c r="H11">
        <v>25</v>
      </c>
      <c r="I11">
        <v>25</v>
      </c>
      <c r="J11">
        <v>25</v>
      </c>
    </row>
    <row r="12" spans="1:13" x14ac:dyDescent="0.25">
      <c r="A12" t="s">
        <v>41</v>
      </c>
      <c r="B12">
        <v>17</v>
      </c>
      <c r="C12">
        <v>15</v>
      </c>
      <c r="E12">
        <v>25</v>
      </c>
      <c r="F12">
        <v>23</v>
      </c>
      <c r="G12">
        <v>26</v>
      </c>
      <c r="H12">
        <v>27</v>
      </c>
      <c r="I12">
        <v>22</v>
      </c>
      <c r="J12">
        <v>17</v>
      </c>
      <c r="M12">
        <f>SUM(F12:L12)</f>
        <v>115</v>
      </c>
    </row>
    <row r="13" spans="1:13" x14ac:dyDescent="0.25">
      <c r="A13" t="s">
        <v>22</v>
      </c>
      <c r="B13">
        <v>82</v>
      </c>
      <c r="C13">
        <v>77</v>
      </c>
      <c r="D13">
        <f>B13+C13</f>
        <v>159</v>
      </c>
      <c r="E13">
        <v>270</v>
      </c>
      <c r="K13">
        <v>748</v>
      </c>
    </row>
    <row r="14" spans="1:13" x14ac:dyDescent="0.25">
      <c r="A14" t="s">
        <v>23</v>
      </c>
      <c r="B14">
        <v>60</v>
      </c>
      <c r="C14">
        <v>38</v>
      </c>
      <c r="D14">
        <f t="shared" ref="D14:D17" si="0">B14+C14</f>
        <v>98</v>
      </c>
      <c r="E14">
        <v>128</v>
      </c>
      <c r="M14">
        <f>K13/M12</f>
        <v>6.5043478260869563</v>
      </c>
    </row>
    <row r="15" spans="1:13" x14ac:dyDescent="0.25">
      <c r="A15" t="s">
        <v>24</v>
      </c>
      <c r="C15">
        <v>39</v>
      </c>
      <c r="D15">
        <f t="shared" si="0"/>
        <v>39</v>
      </c>
      <c r="E15">
        <v>48</v>
      </c>
    </row>
    <row r="16" spans="1:13" x14ac:dyDescent="0.25">
      <c r="A16" t="s">
        <v>25</v>
      </c>
      <c r="B16">
        <v>16</v>
      </c>
      <c r="D16">
        <f t="shared" si="0"/>
        <v>16</v>
      </c>
      <c r="E16">
        <v>39</v>
      </c>
    </row>
    <row r="17" spans="1:10" x14ac:dyDescent="0.25">
      <c r="A17" t="s">
        <v>26</v>
      </c>
      <c r="B17">
        <v>6</v>
      </c>
      <c r="D17">
        <f t="shared" si="0"/>
        <v>6</v>
      </c>
      <c r="E17">
        <v>55</v>
      </c>
    </row>
    <row r="18" spans="1:10" x14ac:dyDescent="0.25">
      <c r="A18" t="s">
        <v>40</v>
      </c>
    </row>
    <row r="19" spans="1:10" x14ac:dyDescent="0.25">
      <c r="A19">
        <v>2</v>
      </c>
      <c r="B19">
        <v>6</v>
      </c>
      <c r="C19">
        <v>6</v>
      </c>
      <c r="E19">
        <v>12</v>
      </c>
      <c r="F19">
        <v>7</v>
      </c>
      <c r="G19">
        <v>7</v>
      </c>
      <c r="H19">
        <v>7</v>
      </c>
      <c r="I19">
        <v>7</v>
      </c>
      <c r="J19">
        <v>7</v>
      </c>
    </row>
    <row r="20" spans="1:10" x14ac:dyDescent="0.25">
      <c r="A20">
        <v>3</v>
      </c>
      <c r="B20">
        <v>6</v>
      </c>
      <c r="C20">
        <v>6</v>
      </c>
      <c r="E20">
        <v>12</v>
      </c>
      <c r="F20">
        <v>7</v>
      </c>
      <c r="G20">
        <v>7</v>
      </c>
      <c r="H20">
        <v>7</v>
      </c>
      <c r="I20">
        <v>7</v>
      </c>
      <c r="J20">
        <v>7</v>
      </c>
    </row>
    <row r="21" spans="1:10" x14ac:dyDescent="0.25">
      <c r="A21">
        <v>4</v>
      </c>
      <c r="B21">
        <v>5</v>
      </c>
      <c r="C21">
        <v>6</v>
      </c>
      <c r="E21">
        <v>12</v>
      </c>
      <c r="F21">
        <v>7</v>
      </c>
      <c r="G21">
        <v>7</v>
      </c>
      <c r="H21">
        <v>7</v>
      </c>
      <c r="I21">
        <v>7</v>
      </c>
      <c r="J21">
        <v>7</v>
      </c>
    </row>
    <row r="22" spans="1:10" hidden="1" x14ac:dyDescent="0.25">
      <c r="A22">
        <v>5</v>
      </c>
      <c r="B22">
        <v>5</v>
      </c>
      <c r="C22">
        <v>6</v>
      </c>
      <c r="E22">
        <v>12</v>
      </c>
      <c r="F22">
        <v>7</v>
      </c>
      <c r="G22">
        <v>7</v>
      </c>
      <c r="H22">
        <v>7</v>
      </c>
      <c r="I22">
        <v>7</v>
      </c>
      <c r="J22">
        <v>7</v>
      </c>
    </row>
    <row r="23" spans="1:10" hidden="1" x14ac:dyDescent="0.25">
      <c r="A23">
        <v>6</v>
      </c>
      <c r="B23">
        <v>5</v>
      </c>
      <c r="C23">
        <v>6</v>
      </c>
      <c r="E23">
        <v>12</v>
      </c>
      <c r="F23">
        <v>7</v>
      </c>
      <c r="G23">
        <v>7</v>
      </c>
      <c r="H23">
        <v>7</v>
      </c>
      <c r="I23">
        <v>7</v>
      </c>
      <c r="J23">
        <v>7</v>
      </c>
    </row>
    <row r="24" spans="1:10" hidden="1" x14ac:dyDescent="0.25">
      <c r="A24">
        <v>7</v>
      </c>
      <c r="B24">
        <v>5</v>
      </c>
      <c r="C24">
        <v>6</v>
      </c>
      <c r="E24">
        <v>12</v>
      </c>
      <c r="F24">
        <v>7</v>
      </c>
      <c r="G24">
        <v>7</v>
      </c>
      <c r="H24">
        <v>7</v>
      </c>
      <c r="I24">
        <v>7</v>
      </c>
      <c r="J24">
        <v>7</v>
      </c>
    </row>
    <row r="25" spans="1:10" hidden="1" x14ac:dyDescent="0.25">
      <c r="A25">
        <v>8</v>
      </c>
      <c r="B25">
        <v>5</v>
      </c>
      <c r="C25">
        <v>6</v>
      </c>
      <c r="E25">
        <v>11</v>
      </c>
      <c r="F25">
        <v>7</v>
      </c>
      <c r="G25">
        <v>7</v>
      </c>
      <c r="H25">
        <v>7</v>
      </c>
      <c r="I25">
        <v>7</v>
      </c>
      <c r="J25">
        <v>7</v>
      </c>
    </row>
    <row r="26" spans="1:10" hidden="1" x14ac:dyDescent="0.25">
      <c r="A26">
        <v>9</v>
      </c>
      <c r="B26">
        <v>5</v>
      </c>
      <c r="C26">
        <v>5</v>
      </c>
      <c r="E26">
        <v>11</v>
      </c>
      <c r="F26">
        <v>7</v>
      </c>
      <c r="G26">
        <v>7</v>
      </c>
      <c r="H26">
        <v>7</v>
      </c>
      <c r="I26">
        <v>7</v>
      </c>
      <c r="J26">
        <v>7</v>
      </c>
    </row>
    <row r="27" spans="1:10" hidden="1" x14ac:dyDescent="0.25">
      <c r="A27">
        <v>10</v>
      </c>
      <c r="B27">
        <v>5</v>
      </c>
      <c r="C27">
        <v>5</v>
      </c>
      <c r="E27">
        <v>11</v>
      </c>
      <c r="F27">
        <v>7</v>
      </c>
      <c r="G27">
        <v>7</v>
      </c>
      <c r="H27">
        <v>7</v>
      </c>
      <c r="I27">
        <v>7</v>
      </c>
      <c r="J27">
        <v>7</v>
      </c>
    </row>
    <row r="28" spans="1:10" hidden="1" x14ac:dyDescent="0.25">
      <c r="A28">
        <v>11</v>
      </c>
      <c r="B28">
        <v>5</v>
      </c>
      <c r="C28">
        <v>5</v>
      </c>
      <c r="E28">
        <v>11</v>
      </c>
      <c r="F28">
        <v>7</v>
      </c>
      <c r="G28">
        <v>7</v>
      </c>
      <c r="H28">
        <v>7</v>
      </c>
      <c r="I28">
        <v>7</v>
      </c>
      <c r="J28">
        <v>7</v>
      </c>
    </row>
    <row r="29" spans="1:10" hidden="1" x14ac:dyDescent="0.25">
      <c r="A29">
        <v>12</v>
      </c>
      <c r="B29">
        <v>5</v>
      </c>
      <c r="C29">
        <v>5</v>
      </c>
      <c r="E29">
        <v>11</v>
      </c>
      <c r="F29">
        <v>7</v>
      </c>
      <c r="G29">
        <v>7</v>
      </c>
      <c r="H29">
        <v>7</v>
      </c>
      <c r="I29">
        <v>7</v>
      </c>
      <c r="J29">
        <v>7</v>
      </c>
    </row>
    <row r="30" spans="1:10" hidden="1" x14ac:dyDescent="0.25">
      <c r="A30">
        <v>13</v>
      </c>
      <c r="B30">
        <v>5</v>
      </c>
      <c r="C30">
        <v>5</v>
      </c>
      <c r="E30">
        <v>11</v>
      </c>
      <c r="F30">
        <v>7</v>
      </c>
      <c r="G30">
        <v>7</v>
      </c>
      <c r="H30">
        <v>7</v>
      </c>
      <c r="I30">
        <v>7</v>
      </c>
      <c r="J30">
        <v>7</v>
      </c>
    </row>
    <row r="31" spans="1:10" hidden="1" x14ac:dyDescent="0.25">
      <c r="A31">
        <v>14</v>
      </c>
      <c r="B31">
        <v>5</v>
      </c>
      <c r="C31">
        <v>5</v>
      </c>
      <c r="E31">
        <v>11</v>
      </c>
      <c r="F31">
        <v>7</v>
      </c>
      <c r="G31">
        <v>7</v>
      </c>
      <c r="H31">
        <v>7</v>
      </c>
      <c r="I31">
        <v>7</v>
      </c>
      <c r="J31">
        <v>7</v>
      </c>
    </row>
    <row r="32" spans="1:10" hidden="1" x14ac:dyDescent="0.25">
      <c r="A32">
        <v>15</v>
      </c>
      <c r="B32">
        <v>5</v>
      </c>
      <c r="C32">
        <v>5</v>
      </c>
      <c r="E32">
        <v>11</v>
      </c>
      <c r="F32">
        <v>7</v>
      </c>
      <c r="G32">
        <v>7</v>
      </c>
      <c r="H32">
        <v>7</v>
      </c>
      <c r="I32">
        <v>7</v>
      </c>
      <c r="J32">
        <v>6</v>
      </c>
    </row>
    <row r="33" spans="1:10" hidden="1" x14ac:dyDescent="0.25">
      <c r="A33">
        <v>16</v>
      </c>
      <c r="B33">
        <v>5</v>
      </c>
      <c r="E33">
        <v>11</v>
      </c>
      <c r="F33">
        <v>7</v>
      </c>
      <c r="G33">
        <v>7</v>
      </c>
      <c r="H33">
        <v>7</v>
      </c>
      <c r="I33">
        <v>7</v>
      </c>
      <c r="J33">
        <v>6</v>
      </c>
    </row>
    <row r="34" spans="1:10" hidden="1" x14ac:dyDescent="0.25">
      <c r="A34">
        <v>17</v>
      </c>
      <c r="B34">
        <v>5</v>
      </c>
      <c r="E34">
        <v>11</v>
      </c>
      <c r="F34">
        <v>7</v>
      </c>
      <c r="G34">
        <v>7</v>
      </c>
      <c r="H34">
        <v>7</v>
      </c>
      <c r="I34">
        <v>7</v>
      </c>
      <c r="J34">
        <v>6</v>
      </c>
    </row>
    <row r="35" spans="1:10" hidden="1" x14ac:dyDescent="0.25">
      <c r="A35">
        <v>18</v>
      </c>
      <c r="E35">
        <v>11</v>
      </c>
      <c r="F35">
        <v>7</v>
      </c>
      <c r="G35">
        <v>7</v>
      </c>
      <c r="H35">
        <v>7</v>
      </c>
      <c r="I35">
        <v>7</v>
      </c>
    </row>
    <row r="36" spans="1:10" hidden="1" x14ac:dyDescent="0.25">
      <c r="A36">
        <v>19</v>
      </c>
      <c r="E36">
        <v>11</v>
      </c>
      <c r="F36">
        <v>7</v>
      </c>
      <c r="G36">
        <v>7</v>
      </c>
      <c r="H36">
        <v>7</v>
      </c>
      <c r="I36">
        <v>7</v>
      </c>
    </row>
    <row r="37" spans="1:10" hidden="1" x14ac:dyDescent="0.25">
      <c r="A37">
        <v>20</v>
      </c>
      <c r="E37">
        <v>11</v>
      </c>
      <c r="F37">
        <v>6</v>
      </c>
      <c r="G37">
        <v>6</v>
      </c>
      <c r="H37">
        <v>6</v>
      </c>
      <c r="I37">
        <v>7</v>
      </c>
    </row>
    <row r="38" spans="1:10" hidden="1" x14ac:dyDescent="0.25">
      <c r="A38">
        <v>21</v>
      </c>
      <c r="E38">
        <v>11</v>
      </c>
      <c r="F38">
        <v>6</v>
      </c>
      <c r="G38">
        <v>6</v>
      </c>
      <c r="H38">
        <v>6</v>
      </c>
      <c r="I38">
        <v>7</v>
      </c>
    </row>
    <row r="39" spans="1:10" hidden="1" x14ac:dyDescent="0.25">
      <c r="A39">
        <v>22</v>
      </c>
      <c r="E39">
        <v>11</v>
      </c>
      <c r="F39">
        <v>6</v>
      </c>
      <c r="G39">
        <v>6</v>
      </c>
      <c r="H39">
        <v>6</v>
      </c>
      <c r="I39">
        <v>7</v>
      </c>
    </row>
    <row r="40" spans="1:10" hidden="1" x14ac:dyDescent="0.25">
      <c r="A40">
        <v>23</v>
      </c>
      <c r="E40">
        <v>11</v>
      </c>
      <c r="F40">
        <v>6</v>
      </c>
      <c r="G40">
        <v>6</v>
      </c>
      <c r="H40">
        <v>6</v>
      </c>
    </row>
    <row r="41" spans="1:10" hidden="1" x14ac:dyDescent="0.25">
      <c r="A41">
        <v>24</v>
      </c>
      <c r="E41">
        <v>11</v>
      </c>
      <c r="G41">
        <v>6</v>
      </c>
      <c r="H41">
        <v>6</v>
      </c>
    </row>
    <row r="42" spans="1:10" hidden="1" x14ac:dyDescent="0.25">
      <c r="A42">
        <v>25</v>
      </c>
      <c r="E42">
        <v>11</v>
      </c>
      <c r="G42">
        <v>6</v>
      </c>
      <c r="H42">
        <v>6</v>
      </c>
    </row>
    <row r="43" spans="1:10" hidden="1" x14ac:dyDescent="0.25">
      <c r="A43">
        <v>26</v>
      </c>
      <c r="G43">
        <v>6</v>
      </c>
      <c r="H43">
        <v>6</v>
      </c>
    </row>
    <row r="44" spans="1:10" hidden="1" x14ac:dyDescent="0.25">
      <c r="A44">
        <v>27</v>
      </c>
      <c r="H44">
        <v>6</v>
      </c>
    </row>
    <row r="45" spans="1:10" hidden="1" x14ac:dyDescent="0.25">
      <c r="A45">
        <v>28</v>
      </c>
    </row>
    <row r="46" spans="1:10" hidden="1" x14ac:dyDescent="0.25">
      <c r="A46">
        <v>29</v>
      </c>
    </row>
    <row r="47" spans="1:10" hidden="1" x14ac:dyDescent="0.25">
      <c r="A47">
        <v>30</v>
      </c>
    </row>
    <row r="48" spans="1:10" hidden="1" x14ac:dyDescent="0.25">
      <c r="A48">
        <v>31</v>
      </c>
    </row>
    <row r="49" spans="1:1" hidden="1" x14ac:dyDescent="0.25">
      <c r="A49">
        <v>32</v>
      </c>
    </row>
    <row r="50" spans="1:1" hidden="1" x14ac:dyDescent="0.25">
      <c r="A50">
        <v>33</v>
      </c>
    </row>
    <row r="51" spans="1:1" hidden="1" x14ac:dyDescent="0.25">
      <c r="A51">
        <v>34</v>
      </c>
    </row>
    <row r="52" spans="1:1" hidden="1" x14ac:dyDescent="0.25">
      <c r="A52">
        <v>35</v>
      </c>
    </row>
    <row r="53" spans="1:1" hidden="1" x14ac:dyDescent="0.25">
      <c r="A53">
        <v>36</v>
      </c>
    </row>
    <row r="54" spans="1:1" hidden="1" x14ac:dyDescent="0.25">
      <c r="A54">
        <v>37</v>
      </c>
    </row>
    <row r="55" spans="1:1" hidden="1" x14ac:dyDescent="0.25">
      <c r="A55">
        <v>38</v>
      </c>
    </row>
    <row r="56" spans="1:1" hidden="1" x14ac:dyDescent="0.25">
      <c r="A56">
        <v>39</v>
      </c>
    </row>
    <row r="57" spans="1:1" hidden="1" x14ac:dyDescent="0.25">
      <c r="A57">
        <v>40</v>
      </c>
    </row>
    <row r="58" spans="1:1" hidden="1" x14ac:dyDescent="0.25">
      <c r="A58">
        <v>41</v>
      </c>
    </row>
    <row r="59" spans="1:1" hidden="1" x14ac:dyDescent="0.25">
      <c r="A59">
        <v>42</v>
      </c>
    </row>
    <row r="60" spans="1:1" hidden="1" x14ac:dyDescent="0.25">
      <c r="A60">
        <v>43</v>
      </c>
    </row>
    <row r="61" spans="1:1" hidden="1" x14ac:dyDescent="0.25">
      <c r="A61">
        <v>44</v>
      </c>
    </row>
    <row r="62" spans="1:1" hidden="1" x14ac:dyDescent="0.25">
      <c r="A62">
        <v>45</v>
      </c>
    </row>
    <row r="63" spans="1:1" hidden="1" x14ac:dyDescent="0.25">
      <c r="A63">
        <v>46</v>
      </c>
    </row>
    <row r="64" spans="1:1" hidden="1" x14ac:dyDescent="0.25">
      <c r="A64">
        <v>47</v>
      </c>
    </row>
    <row r="65" spans="1:13" hidden="1" x14ac:dyDescent="0.25">
      <c r="A65">
        <v>48</v>
      </c>
    </row>
    <row r="66" spans="1:13" hidden="1" x14ac:dyDescent="0.25">
      <c r="A66">
        <v>49</v>
      </c>
    </row>
    <row r="67" spans="1:13" hidden="1" x14ac:dyDescent="0.25">
      <c r="A67">
        <v>50</v>
      </c>
    </row>
    <row r="68" spans="1:13" hidden="1" x14ac:dyDescent="0.25">
      <c r="A68">
        <v>51</v>
      </c>
    </row>
    <row r="69" spans="1:13" hidden="1" x14ac:dyDescent="0.25">
      <c r="A69">
        <v>52</v>
      </c>
    </row>
    <row r="70" spans="1:13" hidden="1" x14ac:dyDescent="0.25">
      <c r="A70">
        <v>53</v>
      </c>
    </row>
    <row r="71" spans="1:13" hidden="1" x14ac:dyDescent="0.25">
      <c r="A71">
        <v>54</v>
      </c>
    </row>
    <row r="72" spans="1:13" hidden="1" x14ac:dyDescent="0.25">
      <c r="A72">
        <v>55</v>
      </c>
    </row>
    <row r="73" spans="1:13" hidden="1" x14ac:dyDescent="0.25">
      <c r="A73">
        <v>56</v>
      </c>
    </row>
    <row r="74" spans="1:13" hidden="1" x14ac:dyDescent="0.25">
      <c r="A74">
        <v>57</v>
      </c>
    </row>
    <row r="75" spans="1:13" ht="45" x14ac:dyDescent="0.25">
      <c r="A75" s="5" t="s">
        <v>53</v>
      </c>
    </row>
    <row r="76" spans="1:13" ht="13.5" customHeight="1" x14ac:dyDescent="0.25">
      <c r="A76">
        <v>2</v>
      </c>
      <c r="B76">
        <f t="shared" ref="B76:D87" si="1">COUNTIF(B$19:B$73,$A76)</f>
        <v>0</v>
      </c>
      <c r="C76">
        <f t="shared" si="1"/>
        <v>0</v>
      </c>
      <c r="D76">
        <f t="shared" si="1"/>
        <v>0</v>
      </c>
      <c r="E76">
        <f>COUNTIF(E$19:E$73,$A76)</f>
        <v>0</v>
      </c>
      <c r="F76">
        <f t="shared" ref="F76:M76" si="2">COUNTIF(F$19:F$73,$A76)</f>
        <v>0</v>
      </c>
      <c r="G76">
        <f t="shared" si="2"/>
        <v>0</v>
      </c>
      <c r="H76">
        <f t="shared" si="2"/>
        <v>0</v>
      </c>
      <c r="I76">
        <f t="shared" si="2"/>
        <v>0</v>
      </c>
      <c r="J76">
        <f t="shared" si="2"/>
        <v>0</v>
      </c>
      <c r="K76">
        <f t="shared" si="2"/>
        <v>0</v>
      </c>
      <c r="L76">
        <f t="shared" si="2"/>
        <v>0</v>
      </c>
      <c r="M76">
        <f t="shared" si="2"/>
        <v>0</v>
      </c>
    </row>
    <row r="77" spans="1:13" x14ac:dyDescent="0.25">
      <c r="A77">
        <v>3</v>
      </c>
      <c r="B77">
        <f t="shared" si="1"/>
        <v>0</v>
      </c>
      <c r="C77">
        <f t="shared" si="1"/>
        <v>0</v>
      </c>
      <c r="D77">
        <f t="shared" si="1"/>
        <v>0</v>
      </c>
      <c r="E77">
        <f t="shared" ref="E77:M87" si="3">COUNTIF(E$19:E$73,$A77)</f>
        <v>0</v>
      </c>
      <c r="F77">
        <f t="shared" si="3"/>
        <v>0</v>
      </c>
      <c r="G77">
        <f t="shared" si="3"/>
        <v>0</v>
      </c>
      <c r="H77">
        <f t="shared" si="3"/>
        <v>0</v>
      </c>
      <c r="I77">
        <f t="shared" si="3"/>
        <v>0</v>
      </c>
      <c r="J77">
        <f t="shared" si="3"/>
        <v>0</v>
      </c>
      <c r="K77">
        <f t="shared" si="3"/>
        <v>0</v>
      </c>
      <c r="L77">
        <f t="shared" si="3"/>
        <v>0</v>
      </c>
      <c r="M77">
        <f t="shared" si="3"/>
        <v>0</v>
      </c>
    </row>
    <row r="78" spans="1:13" x14ac:dyDescent="0.25">
      <c r="A78">
        <v>4</v>
      </c>
      <c r="B78">
        <f t="shared" si="1"/>
        <v>0</v>
      </c>
      <c r="C78">
        <f t="shared" si="1"/>
        <v>0</v>
      </c>
      <c r="D78">
        <f t="shared" si="1"/>
        <v>0</v>
      </c>
      <c r="E78">
        <f t="shared" si="3"/>
        <v>0</v>
      </c>
      <c r="F78">
        <f t="shared" si="3"/>
        <v>0</v>
      </c>
      <c r="G78">
        <f t="shared" si="3"/>
        <v>0</v>
      </c>
      <c r="H78">
        <f t="shared" si="3"/>
        <v>0</v>
      </c>
      <c r="I78">
        <f t="shared" si="3"/>
        <v>0</v>
      </c>
      <c r="J78">
        <f t="shared" si="3"/>
        <v>0</v>
      </c>
      <c r="K78">
        <f t="shared" si="3"/>
        <v>0</v>
      </c>
      <c r="L78">
        <f t="shared" si="3"/>
        <v>0</v>
      </c>
      <c r="M78">
        <f t="shared" si="3"/>
        <v>0</v>
      </c>
    </row>
    <row r="79" spans="1:13" x14ac:dyDescent="0.25">
      <c r="A79">
        <v>5</v>
      </c>
      <c r="B79">
        <f t="shared" si="1"/>
        <v>14</v>
      </c>
      <c r="C79">
        <f t="shared" si="1"/>
        <v>7</v>
      </c>
      <c r="D79">
        <f t="shared" si="1"/>
        <v>0</v>
      </c>
      <c r="E79">
        <f t="shared" si="3"/>
        <v>0</v>
      </c>
      <c r="F79">
        <f t="shared" si="3"/>
        <v>0</v>
      </c>
      <c r="G79">
        <f t="shared" si="3"/>
        <v>0</v>
      </c>
      <c r="H79">
        <f t="shared" si="3"/>
        <v>0</v>
      </c>
      <c r="I79">
        <f t="shared" si="3"/>
        <v>0</v>
      </c>
      <c r="J79">
        <f t="shared" si="3"/>
        <v>0</v>
      </c>
      <c r="K79">
        <f t="shared" si="3"/>
        <v>0</v>
      </c>
      <c r="L79">
        <f t="shared" si="3"/>
        <v>0</v>
      </c>
      <c r="M79">
        <f t="shared" si="3"/>
        <v>0</v>
      </c>
    </row>
    <row r="80" spans="1:13" x14ac:dyDescent="0.25">
      <c r="A80">
        <v>6</v>
      </c>
      <c r="B80">
        <f t="shared" si="1"/>
        <v>2</v>
      </c>
      <c r="C80">
        <f t="shared" si="1"/>
        <v>7</v>
      </c>
      <c r="D80">
        <f t="shared" si="1"/>
        <v>0</v>
      </c>
      <c r="E80">
        <f t="shared" si="3"/>
        <v>0</v>
      </c>
      <c r="F80">
        <f t="shared" si="3"/>
        <v>4</v>
      </c>
      <c r="G80">
        <f t="shared" si="3"/>
        <v>7</v>
      </c>
      <c r="H80">
        <f t="shared" si="3"/>
        <v>8</v>
      </c>
      <c r="I80">
        <f t="shared" si="3"/>
        <v>0</v>
      </c>
      <c r="J80">
        <f t="shared" si="3"/>
        <v>3</v>
      </c>
      <c r="K80">
        <f t="shared" si="3"/>
        <v>0</v>
      </c>
      <c r="L80">
        <f t="shared" si="3"/>
        <v>0</v>
      </c>
      <c r="M80">
        <f t="shared" si="3"/>
        <v>0</v>
      </c>
    </row>
    <row r="81" spans="1:13" x14ac:dyDescent="0.25">
      <c r="A81">
        <v>7</v>
      </c>
      <c r="B81">
        <f t="shared" si="1"/>
        <v>0</v>
      </c>
      <c r="C81">
        <f t="shared" si="1"/>
        <v>0</v>
      </c>
      <c r="D81">
        <f t="shared" si="1"/>
        <v>0</v>
      </c>
      <c r="E81">
        <f t="shared" si="3"/>
        <v>0</v>
      </c>
      <c r="F81">
        <f t="shared" si="3"/>
        <v>18</v>
      </c>
      <c r="G81">
        <f t="shared" si="3"/>
        <v>18</v>
      </c>
      <c r="H81">
        <f t="shared" si="3"/>
        <v>18</v>
      </c>
      <c r="I81">
        <f t="shared" si="3"/>
        <v>21</v>
      </c>
      <c r="J81">
        <f t="shared" si="3"/>
        <v>13</v>
      </c>
      <c r="K81">
        <f t="shared" si="3"/>
        <v>0</v>
      </c>
      <c r="L81">
        <f t="shared" si="3"/>
        <v>0</v>
      </c>
      <c r="M81">
        <f t="shared" si="3"/>
        <v>0</v>
      </c>
    </row>
    <row r="82" spans="1:13" x14ac:dyDescent="0.25">
      <c r="A82">
        <v>8</v>
      </c>
      <c r="B82">
        <f t="shared" si="1"/>
        <v>0</v>
      </c>
      <c r="C82">
        <f t="shared" si="1"/>
        <v>0</v>
      </c>
      <c r="D82">
        <f t="shared" si="1"/>
        <v>0</v>
      </c>
      <c r="E82">
        <f t="shared" si="3"/>
        <v>0</v>
      </c>
      <c r="F82">
        <f t="shared" si="3"/>
        <v>0</v>
      </c>
      <c r="G82">
        <f t="shared" si="3"/>
        <v>0</v>
      </c>
      <c r="H82">
        <f t="shared" si="3"/>
        <v>0</v>
      </c>
      <c r="I82">
        <f t="shared" si="3"/>
        <v>0</v>
      </c>
      <c r="J82">
        <f t="shared" si="3"/>
        <v>0</v>
      </c>
      <c r="K82">
        <f t="shared" si="3"/>
        <v>0</v>
      </c>
      <c r="L82">
        <f t="shared" si="3"/>
        <v>0</v>
      </c>
      <c r="M82">
        <f t="shared" si="3"/>
        <v>0</v>
      </c>
    </row>
    <row r="83" spans="1:13" x14ac:dyDescent="0.25">
      <c r="A83">
        <v>9</v>
      </c>
      <c r="B83">
        <f t="shared" si="1"/>
        <v>0</v>
      </c>
      <c r="C83">
        <f t="shared" si="1"/>
        <v>0</v>
      </c>
      <c r="D83">
        <f t="shared" si="1"/>
        <v>0</v>
      </c>
      <c r="E83">
        <f t="shared" si="3"/>
        <v>0</v>
      </c>
      <c r="F83">
        <f t="shared" si="3"/>
        <v>0</v>
      </c>
      <c r="G83">
        <f t="shared" si="3"/>
        <v>0</v>
      </c>
      <c r="H83">
        <f t="shared" si="3"/>
        <v>0</v>
      </c>
      <c r="I83">
        <f t="shared" si="3"/>
        <v>0</v>
      </c>
      <c r="J83">
        <f t="shared" si="3"/>
        <v>0</v>
      </c>
      <c r="K83">
        <f t="shared" si="3"/>
        <v>0</v>
      </c>
      <c r="L83">
        <f t="shared" si="3"/>
        <v>0</v>
      </c>
      <c r="M83">
        <f t="shared" si="3"/>
        <v>0</v>
      </c>
    </row>
    <row r="84" spans="1:13" x14ac:dyDescent="0.25">
      <c r="A84">
        <v>10</v>
      </c>
      <c r="B84">
        <f t="shared" si="1"/>
        <v>0</v>
      </c>
      <c r="C84">
        <f t="shared" si="1"/>
        <v>0</v>
      </c>
      <c r="D84">
        <f t="shared" si="1"/>
        <v>0</v>
      </c>
      <c r="E84">
        <f t="shared" si="3"/>
        <v>0</v>
      </c>
      <c r="F84">
        <f t="shared" si="3"/>
        <v>0</v>
      </c>
      <c r="G84">
        <f t="shared" si="3"/>
        <v>0</v>
      </c>
      <c r="H84">
        <f t="shared" si="3"/>
        <v>0</v>
      </c>
      <c r="I84">
        <f t="shared" si="3"/>
        <v>0</v>
      </c>
      <c r="J84">
        <f t="shared" si="3"/>
        <v>0</v>
      </c>
      <c r="K84">
        <f t="shared" si="3"/>
        <v>0</v>
      </c>
      <c r="L84">
        <f t="shared" si="3"/>
        <v>0</v>
      </c>
      <c r="M84">
        <f t="shared" si="3"/>
        <v>0</v>
      </c>
    </row>
    <row r="85" spans="1:13" x14ac:dyDescent="0.25">
      <c r="A85">
        <v>11</v>
      </c>
      <c r="B85">
        <f t="shared" si="1"/>
        <v>0</v>
      </c>
      <c r="C85">
        <f t="shared" si="1"/>
        <v>0</v>
      </c>
      <c r="D85">
        <f t="shared" si="1"/>
        <v>0</v>
      </c>
      <c r="E85">
        <f t="shared" si="3"/>
        <v>18</v>
      </c>
      <c r="F85">
        <f t="shared" si="3"/>
        <v>0</v>
      </c>
      <c r="G85">
        <f t="shared" si="3"/>
        <v>0</v>
      </c>
      <c r="H85">
        <f t="shared" si="3"/>
        <v>0</v>
      </c>
      <c r="I85">
        <f t="shared" si="3"/>
        <v>0</v>
      </c>
      <c r="J85">
        <f t="shared" si="3"/>
        <v>0</v>
      </c>
      <c r="K85">
        <f t="shared" si="3"/>
        <v>0</v>
      </c>
      <c r="L85">
        <f t="shared" si="3"/>
        <v>0</v>
      </c>
      <c r="M85">
        <f t="shared" si="3"/>
        <v>0</v>
      </c>
    </row>
    <row r="86" spans="1:13" x14ac:dyDescent="0.25">
      <c r="A86">
        <v>12</v>
      </c>
      <c r="B86">
        <f t="shared" si="1"/>
        <v>0</v>
      </c>
      <c r="C86">
        <f t="shared" si="1"/>
        <v>0</v>
      </c>
      <c r="D86">
        <f t="shared" si="1"/>
        <v>0</v>
      </c>
      <c r="E86">
        <f t="shared" si="3"/>
        <v>6</v>
      </c>
      <c r="F86">
        <f t="shared" si="3"/>
        <v>0</v>
      </c>
      <c r="G86">
        <f t="shared" si="3"/>
        <v>0</v>
      </c>
      <c r="H86">
        <f t="shared" si="3"/>
        <v>0</v>
      </c>
      <c r="I86">
        <f t="shared" si="3"/>
        <v>0</v>
      </c>
      <c r="J86">
        <f t="shared" si="3"/>
        <v>0</v>
      </c>
      <c r="K86">
        <f t="shared" si="3"/>
        <v>0</v>
      </c>
      <c r="L86">
        <f t="shared" si="3"/>
        <v>0</v>
      </c>
      <c r="M86">
        <f t="shared" si="3"/>
        <v>0</v>
      </c>
    </row>
    <row r="87" spans="1:13" x14ac:dyDescent="0.25">
      <c r="A87">
        <v>13</v>
      </c>
      <c r="B87">
        <f t="shared" si="1"/>
        <v>0</v>
      </c>
      <c r="C87">
        <f t="shared" si="1"/>
        <v>0</v>
      </c>
      <c r="D87">
        <f t="shared" si="1"/>
        <v>0</v>
      </c>
      <c r="E87">
        <f t="shared" si="3"/>
        <v>0</v>
      </c>
      <c r="F87">
        <f t="shared" si="3"/>
        <v>0</v>
      </c>
      <c r="G87">
        <f t="shared" si="3"/>
        <v>0</v>
      </c>
      <c r="H87">
        <f t="shared" si="3"/>
        <v>0</v>
      </c>
      <c r="I87">
        <f t="shared" si="3"/>
        <v>0</v>
      </c>
      <c r="J87">
        <f t="shared" si="3"/>
        <v>0</v>
      </c>
      <c r="K87">
        <f t="shared" si="3"/>
        <v>0</v>
      </c>
      <c r="L87">
        <f t="shared" si="3"/>
        <v>0</v>
      </c>
      <c r="M87">
        <f t="shared" si="3"/>
        <v>0</v>
      </c>
    </row>
    <row r="88" spans="1:13" hidden="1" x14ac:dyDescent="0.25">
      <c r="A88" t="s">
        <v>38</v>
      </c>
      <c r="B88">
        <f>B76*$A$76+B77*$A$77+B78*$A$78+B79*$A$79+B80*$A$80+B81*$A$81+B82*$A$82+B83*$A$83+B84*$A$84+B85*$A$85-B13</f>
        <v>0</v>
      </c>
      <c r="C88">
        <f t="shared" ref="C88" si="4">C76*$A$76+C77*$A$77+C78*$A$78+C79*$A$79+C80*$A$80+C81*$A$81+C82*$A$82+C83*$A$83+C84*$A$84+C85*$A$85-C13</f>
        <v>0</v>
      </c>
      <c r="D88">
        <f>D76*$A$76+D77*$A$77+D78*$A$78+D79*$A$79+D80*$A$80+D81*$A$81+D82*$A$82+D83*$A$83+D84*$A$84+D85*$A$85-D13</f>
        <v>-159</v>
      </c>
      <c r="E88">
        <f>E76*$A$76+E77*$A$77+E78*$A$78+E79*$A$79+E80*$A$80+E81*$A$81+E82*$A$82+E83*$A$83+E84*$A$84+E85*$A$85+E86*$A$86+E87*$A$87-E13</f>
        <v>0</v>
      </c>
      <c r="F88">
        <f t="shared" ref="F88:M88" si="5">F76*$A$76+F77*$A$77+F78*$A$78+F79*$A$79+F80*$A$80+F81*$A$81+F82*$A$82+F83*$A$83+F84*$A$84+F85*$A$85+F86*$A$86+F87*$A$87-F13</f>
        <v>150</v>
      </c>
      <c r="G88">
        <f t="shared" si="5"/>
        <v>168</v>
      </c>
      <c r="H88">
        <f t="shared" si="5"/>
        <v>174</v>
      </c>
      <c r="I88">
        <f t="shared" si="5"/>
        <v>147</v>
      </c>
      <c r="J88">
        <f t="shared" si="5"/>
        <v>109</v>
      </c>
      <c r="K88">
        <f>K76*$A$76+K77*$A$77+K78*$A$78+K79*$A$79+K80*$A$80+K81*$A$81+K82*$A$82+K83*$A$83+K84*$A$84+K85*$A$85+K86*$A$86+K87*$A$87-K13+1</f>
        <v>-747</v>
      </c>
      <c r="L88">
        <f t="shared" si="5"/>
        <v>0</v>
      </c>
      <c r="M88">
        <f t="shared" si="5"/>
        <v>0</v>
      </c>
    </row>
    <row r="89" spans="1:13" hidden="1" x14ac:dyDescent="0.25">
      <c r="A89" t="s">
        <v>39</v>
      </c>
      <c r="B89">
        <f>SUM(B76:B85)-B12+1</f>
        <v>0</v>
      </c>
      <c r="C89">
        <f t="shared" ref="C89:D89" si="6">SUM(C76:C85)-C12+1</f>
        <v>0</v>
      </c>
      <c r="D89">
        <f t="shared" si="6"/>
        <v>1</v>
      </c>
      <c r="E89">
        <f>SUM(E76:E87)-E12+1</f>
        <v>0</v>
      </c>
      <c r="F89">
        <f t="shared" ref="F89:M89" si="7">SUM(F76:F87)-F12+1</f>
        <v>0</v>
      </c>
      <c r="G89">
        <f t="shared" si="7"/>
        <v>0</v>
      </c>
      <c r="H89">
        <f t="shared" si="7"/>
        <v>0</v>
      </c>
      <c r="I89">
        <f t="shared" si="7"/>
        <v>0</v>
      </c>
      <c r="J89">
        <f t="shared" si="7"/>
        <v>0</v>
      </c>
      <c r="K89">
        <f t="shared" si="7"/>
        <v>1</v>
      </c>
      <c r="L89">
        <f t="shared" si="7"/>
        <v>1</v>
      </c>
      <c r="M89">
        <f t="shared" si="7"/>
        <v>-114</v>
      </c>
    </row>
    <row r="92" spans="1:13" x14ac:dyDescent="0.25">
      <c r="A92" t="s">
        <v>13</v>
      </c>
      <c r="B92">
        <v>1</v>
      </c>
      <c r="C92">
        <v>1</v>
      </c>
      <c r="E92">
        <v>2</v>
      </c>
      <c r="F92">
        <v>2</v>
      </c>
      <c r="G92">
        <v>2</v>
      </c>
      <c r="H92">
        <v>2</v>
      </c>
      <c r="I92">
        <v>2</v>
      </c>
      <c r="J92">
        <v>2</v>
      </c>
    </row>
    <row r="93" spans="1:13" x14ac:dyDescent="0.25">
      <c r="A93" t="s">
        <v>42</v>
      </c>
      <c r="B93" t="s">
        <v>3</v>
      </c>
      <c r="E93">
        <v>16</v>
      </c>
      <c r="F93">
        <v>15</v>
      </c>
      <c r="G93">
        <v>15</v>
      </c>
      <c r="H93">
        <v>15</v>
      </c>
      <c r="I93">
        <v>15</v>
      </c>
      <c r="J93">
        <v>15</v>
      </c>
    </row>
    <row r="94" spans="1:13" x14ac:dyDescent="0.25">
      <c r="A94" t="s">
        <v>14</v>
      </c>
      <c r="B94" t="s">
        <v>15</v>
      </c>
      <c r="C94" t="s">
        <v>15</v>
      </c>
      <c r="D94" t="s">
        <v>15</v>
      </c>
      <c r="E94" t="s">
        <v>15</v>
      </c>
      <c r="F94" t="s">
        <v>21</v>
      </c>
      <c r="G94" t="s">
        <v>21</v>
      </c>
      <c r="H94" t="s">
        <v>21</v>
      </c>
      <c r="I94" t="s">
        <v>21</v>
      </c>
      <c r="J94" t="s">
        <v>21</v>
      </c>
    </row>
    <row r="97" spans="1:11" x14ac:dyDescent="0.25">
      <c r="A97" t="s">
        <v>4</v>
      </c>
      <c r="B97" t="s">
        <v>5</v>
      </c>
      <c r="C97" t="s">
        <v>5</v>
      </c>
      <c r="D97" t="s">
        <v>5</v>
      </c>
      <c r="E97" t="s">
        <v>5</v>
      </c>
      <c r="F97" t="s">
        <v>5</v>
      </c>
      <c r="G97" t="s">
        <v>5</v>
      </c>
      <c r="H97" t="s">
        <v>5</v>
      </c>
      <c r="I97" t="s">
        <v>5</v>
      </c>
      <c r="J97" t="s">
        <v>5</v>
      </c>
      <c r="K97" t="s">
        <v>5</v>
      </c>
    </row>
    <row r="98" spans="1:11" x14ac:dyDescent="0.25">
      <c r="A98" t="s">
        <v>8</v>
      </c>
      <c r="B98">
        <v>800</v>
      </c>
      <c r="C98">
        <v>800</v>
      </c>
      <c r="D98">
        <v>800</v>
      </c>
      <c r="E98">
        <v>800</v>
      </c>
      <c r="F98">
        <v>600</v>
      </c>
      <c r="G98">
        <v>600</v>
      </c>
      <c r="H98">
        <v>600</v>
      </c>
      <c r="I98">
        <v>600</v>
      </c>
      <c r="J98">
        <v>600</v>
      </c>
      <c r="K98">
        <v>600</v>
      </c>
    </row>
    <row r="99" spans="1:11" x14ac:dyDescent="0.25">
      <c r="A99" t="s">
        <v>54</v>
      </c>
      <c r="B99" t="s">
        <v>20</v>
      </c>
    </row>
    <row r="100" spans="1:11" x14ac:dyDescent="0.25">
      <c r="A100">
        <v>1700</v>
      </c>
      <c r="D100">
        <v>20</v>
      </c>
    </row>
    <row r="101" spans="1:11" x14ac:dyDescent="0.25">
      <c r="A101">
        <v>1850</v>
      </c>
      <c r="D101">
        <v>40</v>
      </c>
    </row>
    <row r="102" spans="1:11" x14ac:dyDescent="0.25">
      <c r="A102">
        <v>1200</v>
      </c>
      <c r="D102">
        <v>50</v>
      </c>
    </row>
    <row r="103" spans="1:11" x14ac:dyDescent="0.25">
      <c r="A103">
        <v>840</v>
      </c>
      <c r="D103">
        <v>20</v>
      </c>
    </row>
    <row r="104" spans="1:11" x14ac:dyDescent="0.25">
      <c r="A104">
        <v>3040</v>
      </c>
      <c r="D104">
        <v>40</v>
      </c>
    </row>
    <row r="105" spans="1:11" x14ac:dyDescent="0.25">
      <c r="A105">
        <v>2000</v>
      </c>
      <c r="D105">
        <v>50</v>
      </c>
      <c r="E105">
        <v>7</v>
      </c>
    </row>
    <row r="106" spans="1:11" x14ac:dyDescent="0.25">
      <c r="A106">
        <v>1200</v>
      </c>
      <c r="B106" t="s">
        <v>3</v>
      </c>
      <c r="K106">
        <v>22</v>
      </c>
    </row>
    <row r="107" spans="1:11" x14ac:dyDescent="0.25">
      <c r="A107">
        <v>1200</v>
      </c>
      <c r="K107">
        <v>2</v>
      </c>
    </row>
    <row r="108" spans="1:11" x14ac:dyDescent="0.25">
      <c r="A108">
        <v>1500</v>
      </c>
      <c r="K108">
        <v>184</v>
      </c>
    </row>
    <row r="109" spans="1:11" x14ac:dyDescent="0.25">
      <c r="A109">
        <v>1500</v>
      </c>
      <c r="K109">
        <v>14</v>
      </c>
    </row>
    <row r="110" spans="1:11" x14ac:dyDescent="0.25">
      <c r="A110">
        <v>1800</v>
      </c>
      <c r="K110">
        <v>168</v>
      </c>
    </row>
    <row r="111" spans="1:11" x14ac:dyDescent="0.25">
      <c r="A111">
        <v>1800</v>
      </c>
      <c r="K111">
        <v>9</v>
      </c>
    </row>
    <row r="112" spans="1:11" x14ac:dyDescent="0.25">
      <c r="A112">
        <v>2100</v>
      </c>
      <c r="K112">
        <v>548</v>
      </c>
    </row>
    <row r="113" spans="1:11" x14ac:dyDescent="0.25">
      <c r="A113">
        <v>2100</v>
      </c>
      <c r="K113">
        <v>30</v>
      </c>
    </row>
    <row r="114" spans="1:11" x14ac:dyDescent="0.25">
      <c r="A114">
        <v>2400</v>
      </c>
      <c r="K114">
        <v>699</v>
      </c>
    </row>
    <row r="115" spans="1:11" x14ac:dyDescent="0.25">
      <c r="A115">
        <v>2400</v>
      </c>
      <c r="K115">
        <v>45</v>
      </c>
    </row>
    <row r="116" spans="1:11" x14ac:dyDescent="0.25">
      <c r="A116">
        <v>900</v>
      </c>
      <c r="K116">
        <v>108</v>
      </c>
    </row>
    <row r="117" spans="1:11" x14ac:dyDescent="0.25">
      <c r="A117">
        <v>900</v>
      </c>
      <c r="K117">
        <v>7</v>
      </c>
    </row>
  </sheetData>
  <phoneticPr fontId="4" type="noConversion"/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1F6CD-7387-4A33-BD56-A033B2E54AE7}">
  <dimension ref="A1:K26"/>
  <sheetViews>
    <sheetView zoomScale="115" zoomScaleNormal="115" workbookViewId="0">
      <selection activeCell="H3" sqref="H3:H26"/>
    </sheetView>
  </sheetViews>
  <sheetFormatPr defaultRowHeight="15" x14ac:dyDescent="0.25"/>
  <cols>
    <col min="1" max="1" width="18.5703125" style="4" bestFit="1" customWidth="1"/>
    <col min="2" max="2" width="9.140625" style="4"/>
    <col min="3" max="3" width="14.140625" style="4" bestFit="1" customWidth="1"/>
    <col min="4" max="4" width="9.140625" style="4"/>
    <col min="5" max="5" width="14.140625" style="4" bestFit="1" customWidth="1"/>
    <col min="6" max="9" width="9.140625" style="4"/>
    <col min="10" max="11" width="14.85546875" style="4" bestFit="1" customWidth="1"/>
    <col min="12" max="16384" width="9.140625" style="4"/>
  </cols>
  <sheetData>
    <row r="1" spans="1:11" x14ac:dyDescent="0.25">
      <c r="A1" s="3" t="s">
        <v>27</v>
      </c>
      <c r="B1" s="3" t="s">
        <v>28</v>
      </c>
      <c r="C1" s="3" t="s">
        <v>29</v>
      </c>
      <c r="D1" s="3" t="s">
        <v>30</v>
      </c>
      <c r="E1" s="3" t="s">
        <v>29</v>
      </c>
      <c r="F1" s="3" t="s">
        <v>31</v>
      </c>
    </row>
    <row r="2" spans="1:11" x14ac:dyDescent="0.25">
      <c r="A2" s="4" t="s">
        <v>32</v>
      </c>
      <c r="B2" s="4">
        <v>46</v>
      </c>
      <c r="C2" s="4">
        <v>2</v>
      </c>
      <c r="D2" s="4">
        <v>86</v>
      </c>
      <c r="E2" s="4">
        <v>2</v>
      </c>
      <c r="F2" s="4">
        <f>(B2*C2)+(D2*E2)</f>
        <v>264</v>
      </c>
      <c r="H2" s="4" t="s">
        <v>12</v>
      </c>
      <c r="I2" s="4" t="s">
        <v>33</v>
      </c>
      <c r="J2" s="4" t="s">
        <v>34</v>
      </c>
      <c r="K2" s="4" t="s">
        <v>34</v>
      </c>
    </row>
    <row r="3" spans="1:11" x14ac:dyDescent="0.25">
      <c r="H3" s="4">
        <f>J3+K3</f>
        <v>12</v>
      </c>
      <c r="I3" s="4">
        <v>2</v>
      </c>
      <c r="J3" s="4">
        <v>6</v>
      </c>
      <c r="K3" s="4">
        <v>6</v>
      </c>
    </row>
    <row r="4" spans="1:11" x14ac:dyDescent="0.25">
      <c r="A4" s="4" t="s">
        <v>35</v>
      </c>
      <c r="B4" s="4">
        <v>4</v>
      </c>
      <c r="H4" s="4">
        <f t="shared" ref="H4:H26" si="0">J4+K4</f>
        <v>12</v>
      </c>
      <c r="I4" s="4">
        <v>3</v>
      </c>
      <c r="J4" s="4">
        <v>6</v>
      </c>
      <c r="K4" s="4">
        <v>6</v>
      </c>
    </row>
    <row r="5" spans="1:11" x14ac:dyDescent="0.25">
      <c r="H5" s="4">
        <f t="shared" si="0"/>
        <v>12</v>
      </c>
      <c r="I5" s="4">
        <v>4</v>
      </c>
      <c r="J5" s="4">
        <v>6</v>
      </c>
      <c r="K5" s="4">
        <v>6</v>
      </c>
    </row>
    <row r="6" spans="1:11" x14ac:dyDescent="0.25">
      <c r="A6" s="4" t="s">
        <v>36</v>
      </c>
      <c r="B6" s="4">
        <v>429</v>
      </c>
      <c r="C6" s="4">
        <v>24</v>
      </c>
      <c r="D6" s="4">
        <f>B6/C6</f>
        <v>17.875</v>
      </c>
      <c r="F6" s="4">
        <v>18</v>
      </c>
      <c r="H6" s="4">
        <f t="shared" si="0"/>
        <v>12</v>
      </c>
      <c r="I6" s="4">
        <v>5</v>
      </c>
      <c r="J6" s="4">
        <v>6</v>
      </c>
      <c r="K6" s="4">
        <v>6</v>
      </c>
    </row>
    <row r="7" spans="1:11" x14ac:dyDescent="0.25">
      <c r="H7" s="4">
        <f t="shared" si="0"/>
        <v>12</v>
      </c>
      <c r="I7" s="4">
        <v>6</v>
      </c>
      <c r="J7" s="4">
        <v>6</v>
      </c>
      <c r="K7" s="4">
        <v>6</v>
      </c>
    </row>
    <row r="8" spans="1:11" x14ac:dyDescent="0.25">
      <c r="A8" s="4" t="s">
        <v>37</v>
      </c>
      <c r="B8" s="4">
        <f>16*25</f>
        <v>400</v>
      </c>
      <c r="H8" s="4">
        <f t="shared" si="0"/>
        <v>12</v>
      </c>
      <c r="I8" s="4">
        <v>7</v>
      </c>
      <c r="J8" s="4">
        <v>6</v>
      </c>
      <c r="K8" s="4">
        <v>6</v>
      </c>
    </row>
    <row r="9" spans="1:11" x14ac:dyDescent="0.25">
      <c r="B9" s="4">
        <f>1.5*B6</f>
        <v>643.5</v>
      </c>
      <c r="H9" s="4">
        <f t="shared" si="0"/>
        <v>11</v>
      </c>
      <c r="I9" s="4">
        <v>8</v>
      </c>
      <c r="J9" s="4">
        <v>5</v>
      </c>
      <c r="K9" s="4">
        <v>6</v>
      </c>
    </row>
    <row r="10" spans="1:11" x14ac:dyDescent="0.25">
      <c r="B10" s="4">
        <f>SUM(B8:B9)</f>
        <v>1043.5</v>
      </c>
      <c r="C10" s="4">
        <v>0.2</v>
      </c>
      <c r="D10" s="4">
        <f>B10*C10</f>
        <v>208.70000000000002</v>
      </c>
      <c r="E10" s="3">
        <f>B10+D10</f>
        <v>1252.2</v>
      </c>
      <c r="H10" s="4">
        <f t="shared" si="0"/>
        <v>11</v>
      </c>
      <c r="I10" s="4">
        <v>9</v>
      </c>
      <c r="J10" s="4">
        <v>5</v>
      </c>
      <c r="K10" s="4">
        <v>6</v>
      </c>
    </row>
    <row r="11" spans="1:11" x14ac:dyDescent="0.25">
      <c r="H11" s="4">
        <f t="shared" si="0"/>
        <v>11</v>
      </c>
      <c r="I11" s="4">
        <v>10</v>
      </c>
      <c r="J11" s="4">
        <v>5</v>
      </c>
      <c r="K11" s="4">
        <v>6</v>
      </c>
    </row>
    <row r="12" spans="1:11" x14ac:dyDescent="0.25">
      <c r="H12" s="4">
        <f t="shared" si="0"/>
        <v>11</v>
      </c>
      <c r="I12" s="4">
        <v>11</v>
      </c>
      <c r="J12" s="4">
        <v>5</v>
      </c>
      <c r="K12" s="4">
        <v>6</v>
      </c>
    </row>
    <row r="13" spans="1:11" x14ac:dyDescent="0.25">
      <c r="H13" s="4">
        <f t="shared" si="0"/>
        <v>11</v>
      </c>
      <c r="I13" s="4">
        <v>12</v>
      </c>
      <c r="J13" s="4">
        <v>5</v>
      </c>
      <c r="K13" s="4">
        <v>6</v>
      </c>
    </row>
    <row r="14" spans="1:11" x14ac:dyDescent="0.25">
      <c r="H14" s="4">
        <f t="shared" si="0"/>
        <v>11</v>
      </c>
      <c r="I14" s="4">
        <v>13</v>
      </c>
      <c r="J14" s="4">
        <v>5</v>
      </c>
      <c r="K14" s="4">
        <v>6</v>
      </c>
    </row>
    <row r="15" spans="1:11" x14ac:dyDescent="0.25">
      <c r="H15" s="4">
        <f t="shared" si="0"/>
        <v>11</v>
      </c>
      <c r="I15" s="4">
        <v>14</v>
      </c>
      <c r="J15" s="4">
        <v>5</v>
      </c>
      <c r="K15" s="4">
        <v>6</v>
      </c>
    </row>
    <row r="16" spans="1:11" x14ac:dyDescent="0.25">
      <c r="C16" s="4">
        <f>24*2</f>
        <v>48</v>
      </c>
      <c r="H16" s="4">
        <f t="shared" si="0"/>
        <v>11</v>
      </c>
      <c r="I16" s="4">
        <v>15</v>
      </c>
      <c r="J16" s="4">
        <v>5</v>
      </c>
      <c r="K16" s="4">
        <v>6</v>
      </c>
    </row>
    <row r="17" spans="8:11" x14ac:dyDescent="0.25">
      <c r="H17" s="4">
        <f t="shared" si="0"/>
        <v>11</v>
      </c>
      <c r="I17" s="4">
        <v>16</v>
      </c>
      <c r="J17" s="4">
        <v>5</v>
      </c>
      <c r="K17" s="4">
        <v>6</v>
      </c>
    </row>
    <row r="18" spans="8:11" x14ac:dyDescent="0.25">
      <c r="H18" s="4">
        <f t="shared" si="0"/>
        <v>11</v>
      </c>
      <c r="I18" s="4">
        <v>17</v>
      </c>
      <c r="J18" s="4">
        <v>5</v>
      </c>
      <c r="K18" s="4">
        <v>6</v>
      </c>
    </row>
    <row r="19" spans="8:11" x14ac:dyDescent="0.25">
      <c r="H19" s="4">
        <f t="shared" si="0"/>
        <v>11</v>
      </c>
      <c r="I19" s="4">
        <v>18</v>
      </c>
      <c r="J19" s="4">
        <v>5</v>
      </c>
      <c r="K19" s="4">
        <v>6</v>
      </c>
    </row>
    <row r="20" spans="8:11" x14ac:dyDescent="0.25">
      <c r="H20" s="4">
        <f t="shared" si="0"/>
        <v>11</v>
      </c>
      <c r="I20" s="4">
        <v>19</v>
      </c>
      <c r="J20" s="4">
        <v>5</v>
      </c>
      <c r="K20" s="4">
        <v>6</v>
      </c>
    </row>
    <row r="21" spans="8:11" x14ac:dyDescent="0.25">
      <c r="H21" s="4">
        <f t="shared" si="0"/>
        <v>11</v>
      </c>
      <c r="I21" s="4">
        <v>20</v>
      </c>
      <c r="J21" s="4">
        <v>5</v>
      </c>
      <c r="K21" s="4">
        <v>6</v>
      </c>
    </row>
    <row r="22" spans="8:11" x14ac:dyDescent="0.25">
      <c r="H22" s="4">
        <f t="shared" si="0"/>
        <v>11</v>
      </c>
      <c r="I22" s="4">
        <v>21</v>
      </c>
      <c r="J22" s="4">
        <v>5</v>
      </c>
      <c r="K22" s="4">
        <v>6</v>
      </c>
    </row>
    <row r="23" spans="8:11" x14ac:dyDescent="0.25">
      <c r="H23" s="4">
        <f t="shared" si="0"/>
        <v>11</v>
      </c>
      <c r="I23" s="4">
        <v>22</v>
      </c>
      <c r="J23" s="4">
        <v>5</v>
      </c>
      <c r="K23" s="4">
        <v>6</v>
      </c>
    </row>
    <row r="24" spans="8:11" x14ac:dyDescent="0.25">
      <c r="H24" s="4">
        <f t="shared" si="0"/>
        <v>11</v>
      </c>
      <c r="I24" s="4">
        <v>23</v>
      </c>
      <c r="J24" s="4">
        <v>5</v>
      </c>
      <c r="K24" s="4">
        <v>6</v>
      </c>
    </row>
    <row r="25" spans="8:11" x14ac:dyDescent="0.25">
      <c r="H25" s="4">
        <f t="shared" si="0"/>
        <v>11</v>
      </c>
      <c r="I25" s="4">
        <v>24</v>
      </c>
      <c r="J25" s="4">
        <v>5</v>
      </c>
      <c r="K25" s="4">
        <v>6</v>
      </c>
    </row>
    <row r="26" spans="8:11" x14ac:dyDescent="0.25">
      <c r="H26" s="4">
        <f t="shared" si="0"/>
        <v>11</v>
      </c>
      <c r="I26" s="4">
        <v>25</v>
      </c>
      <c r="J26" s="4">
        <v>5</v>
      </c>
      <c r="K26" s="4">
        <v>6</v>
      </c>
    </row>
  </sheetData>
  <pageMargins left="0.7" right="0.7" top="0.75" bottom="0.75" header="0.3" footer="0.3"/>
  <pageSetup paperSize="9" orientation="portrait" horizontalDpi="30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Исходные данные</vt:lpstr>
      <vt:lpstr>корпус 1.3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2026-03-19T13:25:58Z</dcterms:created>
  <dcterms:modified xsi:type="dcterms:W3CDTF">2026-03-20T10:09:18Z</dcterms:modified>
  <cp:category/>
</cp:coreProperties>
</file>