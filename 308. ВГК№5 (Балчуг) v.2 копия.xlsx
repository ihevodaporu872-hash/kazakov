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o47\Documents\"/>
    </mc:Choice>
  </mc:AlternateContent>
  <xr:revisionPtr revIDLastSave="0" documentId="13_ncr:1_{BF277CB2-59BA-47E5-8DE8-53A5C3929CDB}" xr6:coauthVersionLast="47" xr6:coauthVersionMax="47" xr10:uidLastSave="{00000000-0000-0000-0000-000000000000}"/>
  <bookViews>
    <workbookView xWindow="390" yWindow="225" windowWidth="28770" windowHeight="15450" xr2:uid="{0885596A-FD4C-4ADE-AC12-F9B536577640}"/>
  </bookViews>
  <sheets>
    <sheet name="Лист1" sheetId="1" r:id="rId1"/>
    <sheet name="Лист2" sheetId="2" r:id="rId2"/>
    <sheet name="корпус 1.3" sheetId="4" r:id="rId3"/>
    <sheet name="реновация" sheetId="5" r:id="rId4"/>
    <sheet name="Лист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4" i="1" l="1"/>
  <c r="H74" i="1"/>
  <c r="G74" i="1"/>
  <c r="F74" i="1"/>
  <c r="J87" i="1"/>
  <c r="H87" i="1"/>
  <c r="I81" i="1"/>
  <c r="I80" i="1"/>
  <c r="I87" i="1" s="1"/>
  <c r="V5" i="1"/>
  <c r="S5" i="1"/>
  <c r="E10" i="3"/>
  <c r="C10" i="3"/>
  <c r="D3" i="3"/>
  <c r="D4" i="3"/>
  <c r="D10" i="3" s="1"/>
  <c r="D2" i="5" l="1"/>
  <c r="D4" i="5" s="1"/>
  <c r="D3" i="5"/>
  <c r="B12" i="5"/>
  <c r="B13" i="5"/>
  <c r="B14" i="5"/>
  <c r="B15" i="5"/>
  <c r="B16" i="5"/>
  <c r="D16" i="5" s="1"/>
  <c r="C34" i="5"/>
  <c r="C39" i="5" s="1"/>
  <c r="C35" i="5"/>
  <c r="C36" i="5"/>
  <c r="C37" i="5"/>
  <c r="C38" i="5"/>
  <c r="F2" i="4"/>
  <c r="D6" i="4"/>
  <c r="B8" i="4"/>
  <c r="B9" i="4"/>
  <c r="B10" i="4"/>
  <c r="D10" i="4"/>
  <c r="E10" i="4"/>
  <c r="C16" i="4"/>
  <c r="E16" i="5" l="1"/>
  <c r="P6" i="1" l="1"/>
  <c r="P5" i="1"/>
  <c r="K5" i="1"/>
  <c r="F5" i="1"/>
  <c r="G5" i="1"/>
  <c r="B5" i="1"/>
</calcChain>
</file>

<file path=xl/sharedStrings.xml><?xml version="1.0" encoding="utf-8"?>
<sst xmlns="http://schemas.openxmlformats.org/spreadsheetml/2006/main" count="414" uniqueCount="89">
  <si>
    <t>№ этажа</t>
  </si>
  <si>
    <t>-</t>
  </si>
  <si>
    <t>Наземная площадь нежилой застройки (s2)</t>
  </si>
  <si>
    <t>Площадь квартир     (без балконов, лоджий и террас)          (s1)</t>
  </si>
  <si>
    <t>СПП жилая часть (spp1.1)</t>
  </si>
  <si>
    <t>СПП нежилая часть (spp1.2)</t>
  </si>
  <si>
    <t>СПП всего (spp1)</t>
  </si>
  <si>
    <t>КОРПУС 1.1</t>
  </si>
  <si>
    <t>КОРПУС 1.2</t>
  </si>
  <si>
    <t>КОРПУС 1.3</t>
  </si>
  <si>
    <t>11.1</t>
  </si>
  <si>
    <t>11.2</t>
  </si>
  <si>
    <t>11.3</t>
  </si>
  <si>
    <t>11.4</t>
  </si>
  <si>
    <t>Площадь квартир</t>
  </si>
  <si>
    <t>Общая площадь квартир (с летними помещениями с коэф. 1)</t>
  </si>
  <si>
    <t>Количество квартир</t>
  </si>
  <si>
    <t>Однокомнатные</t>
  </si>
  <si>
    <t>Двухкомнатные</t>
  </si>
  <si>
    <t>Трехкомнатные</t>
  </si>
  <si>
    <t>Четырехкомнатные</t>
  </si>
  <si>
    <t>Количество машиномест в подземной автостоянке, м/м</t>
  </si>
  <si>
    <t>шт.</t>
  </si>
  <si>
    <r>
      <t>м</t>
    </r>
    <r>
      <rPr>
        <vertAlign val="superscript"/>
        <sz val="10"/>
        <rFont val="Times New Roman"/>
        <charset val="204"/>
      </rPr>
      <t>2</t>
    </r>
  </si>
  <si>
    <t>Предусмотрено укрытие на 1300 мест.</t>
  </si>
  <si>
    <t>№ п/п</t>
  </si>
  <si>
    <t>Наименование</t>
  </si>
  <si>
    <t>Ед. измерения</t>
  </si>
  <si>
    <t>Показатели</t>
  </si>
  <si>
    <t>Этап 1</t>
  </si>
  <si>
    <t>Корпус К 1.1</t>
  </si>
  <si>
    <t>Корпус К 1.2</t>
  </si>
  <si>
    <t>ИТОГО</t>
  </si>
  <si>
    <t>Этап 2</t>
  </si>
  <si>
    <t>Корпус К 1.3</t>
  </si>
  <si>
    <t>ВСЕГО</t>
  </si>
  <si>
    <t>разводка PP-R Ду 15</t>
  </si>
  <si>
    <t>квартир</t>
  </si>
  <si>
    <t xml:space="preserve">Воздухоотводчик </t>
  </si>
  <si>
    <t>кол-во выходов</t>
  </si>
  <si>
    <t>этаж</t>
  </si>
  <si>
    <t>труба Ду 50</t>
  </si>
  <si>
    <t>всего</t>
  </si>
  <si>
    <t>кол-во стояков</t>
  </si>
  <si>
    <t>2 зона м</t>
  </si>
  <si>
    <t>1 зона м</t>
  </si>
  <si>
    <t>ХВС</t>
  </si>
  <si>
    <t>отделка С/У</t>
  </si>
  <si>
    <t>умывальник</t>
  </si>
  <si>
    <t>унитаз</t>
  </si>
  <si>
    <t>ванна</t>
  </si>
  <si>
    <t>мойка</t>
  </si>
  <si>
    <t>стиральная машина</t>
  </si>
  <si>
    <t>гвс</t>
  </si>
  <si>
    <t>хвс</t>
  </si>
  <si>
    <t>объем квартирных кранов</t>
  </si>
  <si>
    <t>разводка в с/у</t>
  </si>
  <si>
    <t>разводка PP-R Ду 25 в МОП</t>
  </si>
  <si>
    <t>кран ду 40</t>
  </si>
  <si>
    <t>Затвор с эл.приводом ду 40</t>
  </si>
  <si>
    <t>Труба ду 40</t>
  </si>
  <si>
    <t>итого</t>
  </si>
  <si>
    <t>L=стояка</t>
  </si>
  <si>
    <t>кол-во</t>
  </si>
  <si>
    <t>стояк В1</t>
  </si>
  <si>
    <t>1700х900</t>
  </si>
  <si>
    <t>3040х1700 (ШхВ)</t>
  </si>
  <si>
    <t>840х1700</t>
  </si>
  <si>
    <t>корп 1-1</t>
  </si>
  <si>
    <t>2200x2700(h)</t>
  </si>
  <si>
    <t>Корп 1-2</t>
  </si>
  <si>
    <t>Корп 1-3</t>
  </si>
  <si>
    <t>1й этаж</t>
  </si>
  <si>
    <t>1850х1700 (ШхВ)185</t>
  </si>
  <si>
    <t>Кол-во пар стояков</t>
  </si>
  <si>
    <t>1 зона</t>
  </si>
  <si>
    <t>2 зона</t>
  </si>
  <si>
    <t>зона отопления</t>
  </si>
  <si>
    <t>Итого</t>
  </si>
  <si>
    <t>Теплоноситель 80-60С</t>
  </si>
  <si>
    <t>Система отопления Двухтрубная</t>
  </si>
  <si>
    <t>Тепловая нагрузка</t>
  </si>
  <si>
    <t>кВт</t>
  </si>
  <si>
    <t>Высота простенка 800мм</t>
  </si>
  <si>
    <t>ширина окна простенка</t>
  </si>
  <si>
    <t>Количество окон</t>
  </si>
  <si>
    <t>Высота этажа 3000мм</t>
  </si>
  <si>
    <t>Разводка попутного типа</t>
  </si>
  <si>
    <t>Толщина изоляции 13мм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</si>
</sst>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Times New Roman"/>
      <charset val="204"/>
    </font>
    <font>
      <vertAlign val="superscript"/>
      <sz val="10"/>
      <name val="Times New Roman"/>
      <charset val="204"/>
    </font>
    <font>
      <vertAlign val="subscript"/>
      <sz val="1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Segoe UI"/>
      <family val="2"/>
      <charset val="204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ck">
        <color auto="1"/>
      </bottom>
      <diagonal/>
    </border>
    <border>
      <left/>
      <right style="medium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ont="0" applyFill="0" applyBorder="0" applyAlignment="0" applyProtection="0">
      <alignment vertical="top"/>
    </xf>
    <xf numFmtId="0" fontId="6" fillId="0" borderId="0"/>
  </cellStyleXfs>
  <cellXfs count="102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4" borderId="25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" borderId="27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3" fillId="0" borderId="5" xfId="1" applyNumberFormat="1" applyFont="1" applyFill="1" applyBorder="1" applyAlignment="1" applyProtection="1">
      <alignment horizontal="center" vertical="center"/>
    </xf>
    <xf numFmtId="0" fontId="2" fillId="0" borderId="5" xfId="1" applyNumberFormat="1" applyFont="1" applyFill="1" applyBorder="1" applyAlignment="1" applyProtection="1">
      <alignment horizontal="left" vertical="top" indent="2"/>
    </xf>
    <xf numFmtId="0" fontId="3" fillId="0" borderId="5" xfId="1" applyNumberFormat="1" applyFont="1" applyFill="1" applyBorder="1" applyAlignment="1" applyProtection="1">
      <alignment horizontal="left" vertical="center" indent="1"/>
    </xf>
    <xf numFmtId="0" fontId="3" fillId="0" borderId="5" xfId="1" applyNumberFormat="1" applyFont="1" applyFill="1" applyBorder="1" applyAlignment="1" applyProtection="1">
      <alignment horizontal="center" wrapText="1"/>
    </xf>
    <xf numFmtId="0" fontId="3" fillId="0" borderId="5" xfId="1" applyNumberFormat="1" applyFont="1" applyFill="1" applyBorder="1" applyAlignment="1" applyProtection="1">
      <alignment horizontal="left" vertical="center" indent="2"/>
    </xf>
    <xf numFmtId="0" fontId="5" fillId="0" borderId="5" xfId="1" applyNumberFormat="1" applyFont="1" applyFill="1" applyBorder="1" applyAlignment="1" applyProtection="1">
      <alignment horizontal="center" vertical="center"/>
    </xf>
    <xf numFmtId="4" fontId="3" fillId="0" borderId="5" xfId="1" applyNumberFormat="1" applyFont="1" applyFill="1" applyBorder="1" applyAlignment="1" applyProtection="1">
      <alignment horizontal="center" vertical="center"/>
    </xf>
    <xf numFmtId="0" fontId="3" fillId="0" borderId="5" xfId="1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wrapText="1"/>
    </xf>
    <xf numFmtId="0" fontId="6" fillId="0" borderId="0" xfId="2"/>
    <xf numFmtId="0" fontId="1" fillId="0" borderId="0" xfId="2" applyFont="1"/>
    <xf numFmtId="0" fontId="6" fillId="5" borderId="0" xfId="2" applyFill="1"/>
    <xf numFmtId="4" fontId="7" fillId="0" borderId="0" xfId="2" applyNumberFormat="1" applyFont="1"/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3" fillId="0" borderId="33" xfId="1" applyNumberFormat="1" applyFont="1" applyFill="1" applyBorder="1" applyAlignment="1" applyProtection="1">
      <alignment horizontal="center" vertical="center"/>
    </xf>
    <xf numFmtId="0" fontId="3" fillId="0" borderId="34" xfId="1" applyNumberFormat="1" applyFont="1" applyFill="1" applyBorder="1" applyAlignment="1" applyProtection="1">
      <alignment horizontal="center" vertical="center"/>
    </xf>
    <xf numFmtId="0" fontId="3" fillId="0" borderId="35" xfId="1" applyNumberFormat="1" applyFont="1" applyFill="1" applyBorder="1" applyAlignment="1" applyProtection="1">
      <alignment horizontal="center" vertical="center"/>
    </xf>
    <xf numFmtId="0" fontId="3" fillId="0" borderId="33" xfId="1" applyNumberFormat="1" applyFont="1" applyFill="1" applyBorder="1" applyAlignment="1" applyProtection="1">
      <alignment horizontal="left" vertical="center"/>
    </xf>
    <xf numFmtId="0" fontId="3" fillId="0" borderId="34" xfId="1" applyNumberFormat="1" applyFont="1" applyFill="1" applyBorder="1" applyAlignment="1" applyProtection="1">
      <alignment horizontal="left" vertical="center"/>
    </xf>
    <xf numFmtId="0" fontId="3" fillId="0" borderId="35" xfId="1" applyNumberFormat="1" applyFont="1" applyFill="1" applyBorder="1" applyAlignment="1" applyProtection="1">
      <alignment horizontal="left" vertical="center"/>
    </xf>
    <xf numFmtId="0" fontId="3" fillId="0" borderId="33" xfId="1" applyNumberFormat="1" applyFont="1" applyFill="1" applyBorder="1" applyAlignment="1" applyProtection="1">
      <alignment horizontal="center" vertical="center" wrapText="1"/>
    </xf>
    <xf numFmtId="0" fontId="3" fillId="0" borderId="34" xfId="1" applyNumberFormat="1" applyFont="1" applyFill="1" applyBorder="1" applyAlignment="1" applyProtection="1">
      <alignment horizontal="center" vertical="center" wrapText="1"/>
    </xf>
    <xf numFmtId="0" fontId="3" fillId="0" borderId="35" xfId="1" applyNumberFormat="1" applyFont="1" applyFill="1" applyBorder="1" applyAlignment="1" applyProtection="1">
      <alignment horizontal="center" vertical="center" wrapText="1"/>
    </xf>
    <xf numFmtId="0" fontId="3" fillId="0" borderId="36" xfId="1" applyNumberFormat="1" applyFont="1" applyFill="1" applyBorder="1" applyAlignment="1" applyProtection="1">
      <alignment horizontal="center" vertical="top"/>
    </xf>
    <xf numFmtId="0" fontId="3" fillId="0" borderId="16" xfId="1" applyNumberFormat="1" applyFont="1" applyFill="1" applyBorder="1" applyAlignment="1" applyProtection="1">
      <alignment horizontal="center" vertical="top"/>
    </xf>
    <xf numFmtId="0" fontId="3" fillId="0" borderId="37" xfId="1" applyNumberFormat="1" applyFont="1" applyFill="1" applyBorder="1" applyAlignment="1" applyProtection="1">
      <alignment horizontal="center" vertical="top"/>
    </xf>
    <xf numFmtId="0" fontId="3" fillId="0" borderId="36" xfId="1" applyNumberFormat="1" applyFont="1" applyFill="1" applyBorder="1" applyAlignment="1" applyProtection="1">
      <alignment horizontal="center" vertical="center"/>
    </xf>
    <xf numFmtId="0" fontId="3" fillId="0" borderId="16" xfId="1" applyNumberFormat="1" applyFont="1" applyFill="1" applyBorder="1" applyAlignment="1" applyProtection="1">
      <alignment horizontal="center" vertical="center"/>
    </xf>
    <xf numFmtId="0" fontId="3" fillId="0" borderId="37" xfId="1" applyNumberFormat="1" applyFont="1" applyFill="1" applyBorder="1" applyAlignment="1" applyProtection="1">
      <alignment horizontal="center" vertical="center"/>
    </xf>
    <xf numFmtId="0" fontId="6" fillId="0" borderId="0" xfId="2" applyAlignment="1">
      <alignment horizontal="right"/>
    </xf>
    <xf numFmtId="0" fontId="6" fillId="0" borderId="0" xfId="2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3" borderId="38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4" borderId="38" xfId="0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5" xfId="0" applyBorder="1"/>
    <xf numFmtId="0" fontId="3" fillId="0" borderId="5" xfId="1" applyNumberFormat="1" applyFont="1" applyFill="1" applyBorder="1" applyAlignment="1" applyProtection="1">
      <alignment horizontal="left" vertical="center"/>
    </xf>
    <xf numFmtId="0" fontId="3" fillId="0" borderId="5" xfId="1" applyNumberFormat="1" applyFont="1" applyFill="1" applyBorder="1" applyAlignment="1" applyProtection="1">
      <alignment horizontal="center" vertical="center"/>
    </xf>
    <xf numFmtId="0" fontId="3" fillId="0" borderId="5" xfId="1" applyNumberFormat="1" applyFont="1" applyFill="1" applyBorder="1" applyAlignment="1" applyProtection="1">
      <alignment horizontal="center" vertical="center" wrapText="1"/>
    </xf>
    <xf numFmtId="0" fontId="3" fillId="0" borderId="5" xfId="1" applyNumberFormat="1" applyFont="1" applyFill="1" applyBorder="1" applyAlignment="1" applyProtection="1">
      <alignment horizontal="center" vertical="top"/>
    </xf>
    <xf numFmtId="0" fontId="0" fillId="0" borderId="3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</cellXfs>
  <cellStyles count="3">
    <cellStyle name="Обычный" xfId="0" builtinId="0"/>
    <cellStyle name="Обычный 2" xfId="2" xr:uid="{E8607166-975C-4D6F-9C73-290C62FF9F4E}"/>
    <cellStyle name="Обычный_Лист2" xfId="1" xr:uid="{CE7ABCA1-108A-491F-8E35-641DA6451C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586740</xdr:colOff>
      <xdr:row>1</xdr:row>
      <xdr:rowOff>22860</xdr:rowOff>
    </xdr:from>
    <xdr:ext cx="6843983" cy="3216071"/>
    <xdr:pic>
      <xdr:nvPicPr>
        <xdr:cNvPr id="2" name="Рисунок 1">
          <a:extLst>
            <a:ext uri="{FF2B5EF4-FFF2-40B4-BE49-F238E27FC236}">
              <a16:creationId xmlns:a16="http://schemas.microsoft.com/office/drawing/2014/main" id="{62E11E1B-D5DD-483B-B058-C5907709B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2340" y="213360"/>
          <a:ext cx="6843983" cy="3216071"/>
        </a:xfrm>
        <a:prstGeom prst="rect">
          <a:avLst/>
        </a:prstGeom>
      </xdr:spPr>
    </xdr:pic>
    <xdr:clientData/>
  </xdr:oneCellAnchor>
  <xdr:oneCellAnchor>
    <xdr:from>
      <xdr:col>11</xdr:col>
      <xdr:colOff>511628</xdr:colOff>
      <xdr:row>19</xdr:row>
      <xdr:rowOff>87085</xdr:rowOff>
    </xdr:from>
    <xdr:ext cx="6498314" cy="4086779"/>
    <xdr:pic>
      <xdr:nvPicPr>
        <xdr:cNvPr id="3" name="Рисунок 2">
          <a:extLst>
            <a:ext uri="{FF2B5EF4-FFF2-40B4-BE49-F238E27FC236}">
              <a16:creationId xmlns:a16="http://schemas.microsoft.com/office/drawing/2014/main" id="{22E4BBD9-E0E5-4D94-898F-4C71C526E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7228" y="3706585"/>
          <a:ext cx="6498314" cy="408677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3084499" cy="2832402"/>
    <xdr:pic>
      <xdr:nvPicPr>
        <xdr:cNvPr id="2" name="Рисунок 1">
          <a:extLst>
            <a:ext uri="{FF2B5EF4-FFF2-40B4-BE49-F238E27FC236}">
              <a16:creationId xmlns:a16="http://schemas.microsoft.com/office/drawing/2014/main" id="{442B70D3-77B8-4744-A85B-83B4CCC2F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0"/>
          <a:ext cx="3084499" cy="2832402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0</xdr:row>
      <xdr:rowOff>0</xdr:rowOff>
    </xdr:from>
    <xdr:ext cx="7700643" cy="6903176"/>
    <xdr:pic>
      <xdr:nvPicPr>
        <xdr:cNvPr id="3" name="Рисунок 2">
          <a:extLst>
            <a:ext uri="{FF2B5EF4-FFF2-40B4-BE49-F238E27FC236}">
              <a16:creationId xmlns:a16="http://schemas.microsoft.com/office/drawing/2014/main" id="{0B3A3718-1CA0-43FA-A3DE-E04D7045B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0"/>
          <a:ext cx="7700643" cy="6903176"/>
        </a:xfrm>
        <a:prstGeom prst="rect">
          <a:avLst/>
        </a:prstGeom>
      </xdr:spPr>
    </xdr:pic>
    <xdr:clientData/>
  </xdr:oneCellAnchor>
  <xdr:oneCellAnchor>
    <xdr:from>
      <xdr:col>31</xdr:col>
      <xdr:colOff>0</xdr:colOff>
      <xdr:row>0</xdr:row>
      <xdr:rowOff>0</xdr:rowOff>
    </xdr:from>
    <xdr:ext cx="4841622" cy="6322846"/>
    <xdr:pic>
      <xdr:nvPicPr>
        <xdr:cNvPr id="4" name="Рисунок 3">
          <a:extLst>
            <a:ext uri="{FF2B5EF4-FFF2-40B4-BE49-F238E27FC236}">
              <a16:creationId xmlns:a16="http://schemas.microsoft.com/office/drawing/2014/main" id="{9FCD94F2-D7A5-483F-AC51-92356134A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97600" y="0"/>
          <a:ext cx="4841622" cy="63228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744C-34BC-4EE9-8680-F93A3FC3F4AC}">
  <dimension ref="A2:AB87"/>
  <sheetViews>
    <sheetView tabSelected="1" topLeftCell="A67" zoomScaleNormal="100" workbookViewId="0">
      <selection activeCell="C86" sqref="C86"/>
    </sheetView>
  </sheetViews>
  <sheetFormatPr defaultRowHeight="15" x14ac:dyDescent="0.25"/>
  <cols>
    <col min="1" max="1" width="9.140625" style="1"/>
    <col min="2" max="2" width="11.140625" style="1" customWidth="1"/>
    <col min="3" max="3" width="14.7109375" style="1" customWidth="1"/>
    <col min="4" max="4" width="16.5703125" style="1" customWidth="1"/>
    <col min="5" max="6" width="9.7109375" style="1" customWidth="1"/>
    <col min="7" max="7" width="11.140625" style="1" customWidth="1"/>
    <col min="8" max="8" width="14.7109375" style="1" customWidth="1"/>
    <col min="9" max="11" width="9.7109375" style="1" customWidth="1"/>
    <col min="12" max="12" width="11.140625" style="1" customWidth="1"/>
    <col min="13" max="13" width="14.7109375" style="1" customWidth="1"/>
    <col min="14" max="16" width="9.7109375" style="1" customWidth="1"/>
  </cols>
  <sheetData>
    <row r="2" spans="1:28" ht="15.75" thickBot="1" x14ac:dyDescent="0.3"/>
    <row r="3" spans="1:28" ht="15.75" thickBot="1" x14ac:dyDescent="0.3">
      <c r="A3" s="57" t="s">
        <v>0</v>
      </c>
      <c r="B3" s="59" t="s">
        <v>7</v>
      </c>
      <c r="C3" s="60"/>
      <c r="D3" s="60"/>
      <c r="E3" s="60"/>
      <c r="F3" s="60"/>
      <c r="G3" s="61" t="s">
        <v>8</v>
      </c>
      <c r="H3" s="62"/>
      <c r="I3" s="62"/>
      <c r="J3" s="62"/>
      <c r="K3" s="63"/>
      <c r="L3" s="64" t="s">
        <v>9</v>
      </c>
      <c r="M3" s="65"/>
      <c r="N3" s="65"/>
      <c r="O3" s="65"/>
      <c r="P3" s="66"/>
      <c r="S3" s="59" t="s">
        <v>7</v>
      </c>
      <c r="T3" s="60"/>
      <c r="U3" s="84"/>
      <c r="V3" s="61" t="s">
        <v>8</v>
      </c>
      <c r="W3" s="62"/>
      <c r="X3" s="63"/>
      <c r="Y3" s="64" t="s">
        <v>9</v>
      </c>
      <c r="Z3" s="65"/>
      <c r="AA3" s="65"/>
      <c r="AB3" s="66"/>
    </row>
    <row r="4" spans="1:28" ht="102.75" customHeight="1" thickBot="1" x14ac:dyDescent="0.3">
      <c r="A4" s="58"/>
      <c r="B4" s="6" t="s">
        <v>2</v>
      </c>
      <c r="C4" s="5" t="s">
        <v>3</v>
      </c>
      <c r="D4" s="38" t="s">
        <v>4</v>
      </c>
      <c r="E4" s="36" t="s">
        <v>5</v>
      </c>
      <c r="F4" s="37" t="s">
        <v>6</v>
      </c>
      <c r="G4" s="11" t="s">
        <v>2</v>
      </c>
      <c r="H4" s="7" t="s">
        <v>3</v>
      </c>
      <c r="I4" s="43" t="s">
        <v>4</v>
      </c>
      <c r="J4" s="41" t="s">
        <v>5</v>
      </c>
      <c r="K4" s="42" t="s">
        <v>6</v>
      </c>
      <c r="L4" s="10" t="s">
        <v>2</v>
      </c>
      <c r="M4" s="8" t="s">
        <v>3</v>
      </c>
      <c r="N4" s="29" t="s">
        <v>4</v>
      </c>
      <c r="O4" s="30" t="s">
        <v>5</v>
      </c>
      <c r="P4" s="28" t="s">
        <v>6</v>
      </c>
      <c r="S4" s="85" t="s">
        <v>74</v>
      </c>
      <c r="T4" s="5" t="s">
        <v>39</v>
      </c>
      <c r="U4" s="37" t="s">
        <v>77</v>
      </c>
      <c r="V4" s="90" t="s">
        <v>74</v>
      </c>
      <c r="W4" s="7" t="s">
        <v>39</v>
      </c>
      <c r="X4" s="42" t="s">
        <v>77</v>
      </c>
      <c r="Y4" s="92" t="s">
        <v>74</v>
      </c>
      <c r="Z4" s="8" t="s">
        <v>39</v>
      </c>
      <c r="AA4" s="29" t="s">
        <v>4</v>
      </c>
      <c r="AB4" s="28" t="s">
        <v>77</v>
      </c>
    </row>
    <row r="5" spans="1:28" x14ac:dyDescent="0.25">
      <c r="A5" s="2">
        <v>1</v>
      </c>
      <c r="B5" s="14">
        <f>43.08+53.47+90.19</f>
        <v>186.74</v>
      </c>
      <c r="C5" s="15" t="s">
        <v>1</v>
      </c>
      <c r="D5" s="16">
        <v>179.8</v>
      </c>
      <c r="E5" s="17">
        <v>238.8</v>
      </c>
      <c r="F5" s="31">
        <f>E5+E46+SUM(D5:D22)</f>
        <v>7655.4399999999987</v>
      </c>
      <c r="G5" s="14">
        <f>92.48+65.72+159.48+99.54+220.49</f>
        <v>637.71</v>
      </c>
      <c r="H5" s="18" t="s">
        <v>1</v>
      </c>
      <c r="I5" s="16">
        <v>189.7</v>
      </c>
      <c r="J5" s="17">
        <v>734.8</v>
      </c>
      <c r="K5" s="31">
        <f>J5+J46+SUM(I5:I21)</f>
        <v>7680.5220000000008</v>
      </c>
      <c r="L5" s="14">
        <v>1618.3</v>
      </c>
      <c r="M5" s="18" t="s">
        <v>1</v>
      </c>
      <c r="N5" s="18">
        <v>709.5</v>
      </c>
      <c r="O5" s="17">
        <v>1645.4</v>
      </c>
      <c r="P5" s="31">
        <f>N5+O5</f>
        <v>2354.9</v>
      </c>
      <c r="R5" s="1"/>
      <c r="S5" s="2">
        <f>43.08+53.47+90.19</f>
        <v>186.74</v>
      </c>
      <c r="T5" s="15" t="s">
        <v>1</v>
      </c>
      <c r="U5" s="86">
        <v>238.8</v>
      </c>
      <c r="V5" s="2">
        <f>92.48+65.72+159.48+99.54+220.49</f>
        <v>637.71</v>
      </c>
      <c r="W5" s="18" t="s">
        <v>1</v>
      </c>
      <c r="X5" s="86">
        <v>734.8</v>
      </c>
      <c r="Y5" s="2">
        <v>1618.3</v>
      </c>
      <c r="Z5" s="18" t="s">
        <v>1</v>
      </c>
      <c r="AA5" s="18">
        <v>709.5</v>
      </c>
      <c r="AB5" s="86">
        <v>1645.4</v>
      </c>
    </row>
    <row r="6" spans="1:28" x14ac:dyDescent="0.25">
      <c r="A6" s="3">
        <v>2</v>
      </c>
      <c r="B6" s="19" t="s">
        <v>1</v>
      </c>
      <c r="C6" s="20">
        <v>274.89999999999998</v>
      </c>
      <c r="D6" s="21">
        <v>457.83</v>
      </c>
      <c r="E6" s="13" t="s">
        <v>1</v>
      </c>
      <c r="F6" s="32"/>
      <c r="G6" s="19" t="s">
        <v>1</v>
      </c>
      <c r="H6" s="22">
        <v>302.5</v>
      </c>
      <c r="I6" s="21">
        <v>482.57299999999998</v>
      </c>
      <c r="J6" s="13" t="s">
        <v>1</v>
      </c>
      <c r="K6" s="32"/>
      <c r="L6" s="19">
        <v>1469.4</v>
      </c>
      <c r="M6" s="22">
        <v>479.6</v>
      </c>
      <c r="N6" s="21">
        <v>766.3</v>
      </c>
      <c r="O6" s="13">
        <v>1610.1</v>
      </c>
      <c r="P6" s="32">
        <f>N6+O6</f>
        <v>2376.3999999999996</v>
      </c>
      <c r="R6" s="1"/>
      <c r="S6" s="22">
        <v>2</v>
      </c>
      <c r="T6" s="20">
        <v>2</v>
      </c>
      <c r="U6" s="23" t="s">
        <v>75</v>
      </c>
      <c r="V6" s="22">
        <v>2</v>
      </c>
      <c r="W6" s="21">
        <v>11</v>
      </c>
      <c r="X6" s="23" t="s">
        <v>75</v>
      </c>
      <c r="Y6" s="3">
        <v>2</v>
      </c>
      <c r="Z6" s="22">
        <v>9</v>
      </c>
      <c r="AA6" s="21">
        <v>766.3</v>
      </c>
      <c r="AB6" s="23" t="s">
        <v>75</v>
      </c>
    </row>
    <row r="7" spans="1:28" x14ac:dyDescent="0.25">
      <c r="A7" s="3">
        <v>3</v>
      </c>
      <c r="B7" s="19" t="s">
        <v>1</v>
      </c>
      <c r="C7" s="20">
        <v>272.7</v>
      </c>
      <c r="D7" s="21">
        <v>457.83</v>
      </c>
      <c r="E7" s="13" t="s">
        <v>1</v>
      </c>
      <c r="F7" s="32"/>
      <c r="G7" s="19" t="s">
        <v>1</v>
      </c>
      <c r="H7" s="22">
        <v>301.5</v>
      </c>
      <c r="I7" s="21">
        <v>482.57299999999998</v>
      </c>
      <c r="J7" s="13" t="s">
        <v>1</v>
      </c>
      <c r="K7" s="32"/>
      <c r="L7" s="19" t="s">
        <v>1</v>
      </c>
      <c r="M7" s="22">
        <v>659.4</v>
      </c>
      <c r="N7" s="21">
        <v>958.3</v>
      </c>
      <c r="O7" s="13" t="s">
        <v>1</v>
      </c>
      <c r="P7" s="32"/>
      <c r="S7" s="22">
        <v>2</v>
      </c>
      <c r="T7" s="20">
        <v>2</v>
      </c>
      <c r="U7" s="23" t="s">
        <v>75</v>
      </c>
      <c r="V7" s="22">
        <v>2</v>
      </c>
      <c r="W7" s="21">
        <v>11</v>
      </c>
      <c r="X7" s="23" t="s">
        <v>75</v>
      </c>
      <c r="Y7" s="3">
        <v>2</v>
      </c>
      <c r="Z7" s="22">
        <v>9</v>
      </c>
      <c r="AA7" s="21">
        <v>958.3</v>
      </c>
      <c r="AB7" s="23" t="s">
        <v>75</v>
      </c>
    </row>
    <row r="8" spans="1:28" x14ac:dyDescent="0.25">
      <c r="A8" s="3">
        <v>4</v>
      </c>
      <c r="B8" s="19" t="s">
        <v>1</v>
      </c>
      <c r="C8" s="20">
        <v>272.7</v>
      </c>
      <c r="D8" s="21">
        <v>457.83</v>
      </c>
      <c r="E8" s="13" t="s">
        <v>1</v>
      </c>
      <c r="F8" s="32"/>
      <c r="G8" s="19" t="s">
        <v>1</v>
      </c>
      <c r="H8" s="22">
        <v>301.5</v>
      </c>
      <c r="I8" s="21">
        <v>482.57299999999998</v>
      </c>
      <c r="J8" s="13" t="s">
        <v>1</v>
      </c>
      <c r="K8" s="32"/>
      <c r="L8" s="19" t="s">
        <v>1</v>
      </c>
      <c r="M8" s="22">
        <v>659.7</v>
      </c>
      <c r="N8" s="21">
        <v>958.3</v>
      </c>
      <c r="O8" s="13" t="s">
        <v>1</v>
      </c>
      <c r="P8" s="32"/>
      <c r="S8" s="22">
        <v>2</v>
      </c>
      <c r="T8" s="20">
        <v>2</v>
      </c>
      <c r="U8" s="23" t="s">
        <v>75</v>
      </c>
      <c r="V8" s="22">
        <v>2</v>
      </c>
      <c r="W8" s="21">
        <v>11</v>
      </c>
      <c r="X8" s="23" t="s">
        <v>75</v>
      </c>
      <c r="Y8" s="3">
        <v>2</v>
      </c>
      <c r="Z8" s="22">
        <v>9</v>
      </c>
      <c r="AA8" s="21">
        <v>958.3</v>
      </c>
      <c r="AB8" s="23" t="s">
        <v>75</v>
      </c>
    </row>
    <row r="9" spans="1:28" x14ac:dyDescent="0.25">
      <c r="A9" s="3">
        <v>5</v>
      </c>
      <c r="B9" s="19" t="s">
        <v>1</v>
      </c>
      <c r="C9" s="20">
        <v>272.7</v>
      </c>
      <c r="D9" s="21">
        <v>457.83</v>
      </c>
      <c r="E9" s="13" t="s">
        <v>1</v>
      </c>
      <c r="F9" s="32"/>
      <c r="G9" s="19" t="s">
        <v>1</v>
      </c>
      <c r="H9" s="22">
        <v>301.5</v>
      </c>
      <c r="I9" s="21">
        <v>482.57299999999998</v>
      </c>
      <c r="J9" s="13" t="s">
        <v>1</v>
      </c>
      <c r="K9" s="32"/>
      <c r="L9" s="19" t="s">
        <v>1</v>
      </c>
      <c r="M9" s="22">
        <v>659.7</v>
      </c>
      <c r="N9" s="21">
        <v>958.3</v>
      </c>
      <c r="O9" s="13" t="s">
        <v>1</v>
      </c>
      <c r="P9" s="32"/>
      <c r="S9" s="22">
        <v>2</v>
      </c>
      <c r="T9" s="20">
        <v>2</v>
      </c>
      <c r="U9" s="23" t="s">
        <v>75</v>
      </c>
      <c r="V9" s="22">
        <v>2</v>
      </c>
      <c r="W9" s="21">
        <v>11</v>
      </c>
      <c r="X9" s="23" t="s">
        <v>75</v>
      </c>
      <c r="Y9" s="3">
        <v>2</v>
      </c>
      <c r="Z9" s="22">
        <v>9</v>
      </c>
      <c r="AA9" s="21">
        <v>958.3</v>
      </c>
      <c r="AB9" s="23" t="s">
        <v>75</v>
      </c>
    </row>
    <row r="10" spans="1:28" x14ac:dyDescent="0.25">
      <c r="A10" s="3">
        <v>6</v>
      </c>
      <c r="B10" s="19" t="s">
        <v>1</v>
      </c>
      <c r="C10" s="20">
        <v>272.7</v>
      </c>
      <c r="D10" s="21">
        <v>457.83</v>
      </c>
      <c r="E10" s="13" t="s">
        <v>1</v>
      </c>
      <c r="F10" s="32"/>
      <c r="G10" s="19" t="s">
        <v>1</v>
      </c>
      <c r="H10" s="22">
        <v>301.5</v>
      </c>
      <c r="I10" s="21">
        <v>482.57299999999998</v>
      </c>
      <c r="J10" s="13" t="s">
        <v>1</v>
      </c>
      <c r="K10" s="32"/>
      <c r="L10" s="19" t="s">
        <v>1</v>
      </c>
      <c r="M10" s="22">
        <v>659.7</v>
      </c>
      <c r="N10" s="21">
        <v>958.3</v>
      </c>
      <c r="O10" s="13" t="s">
        <v>1</v>
      </c>
      <c r="P10" s="32"/>
      <c r="S10" s="22">
        <v>2</v>
      </c>
      <c r="T10" s="20">
        <v>2</v>
      </c>
      <c r="U10" s="23" t="s">
        <v>75</v>
      </c>
      <c r="V10" s="22">
        <v>2</v>
      </c>
      <c r="W10" s="21">
        <v>11</v>
      </c>
      <c r="X10" s="23" t="s">
        <v>75</v>
      </c>
      <c r="Y10" s="3">
        <v>2</v>
      </c>
      <c r="Z10" s="22">
        <v>9</v>
      </c>
      <c r="AA10" s="21">
        <v>958.3</v>
      </c>
      <c r="AB10" s="23" t="s">
        <v>75</v>
      </c>
    </row>
    <row r="11" spans="1:28" x14ac:dyDescent="0.25">
      <c r="A11" s="3">
        <v>7</v>
      </c>
      <c r="B11" s="19" t="s">
        <v>1</v>
      </c>
      <c r="C11" s="20">
        <v>272.7</v>
      </c>
      <c r="D11" s="21">
        <v>457.83</v>
      </c>
      <c r="E11" s="13" t="s">
        <v>1</v>
      </c>
      <c r="F11" s="32"/>
      <c r="G11" s="19" t="s">
        <v>1</v>
      </c>
      <c r="H11" s="22">
        <v>301.5</v>
      </c>
      <c r="I11" s="21">
        <v>482.57299999999998</v>
      </c>
      <c r="J11" s="13" t="s">
        <v>1</v>
      </c>
      <c r="K11" s="32"/>
      <c r="L11" s="19" t="s">
        <v>1</v>
      </c>
      <c r="M11" s="22">
        <v>659.7</v>
      </c>
      <c r="N11" s="21">
        <v>958.3</v>
      </c>
      <c r="O11" s="13" t="s">
        <v>1</v>
      </c>
      <c r="P11" s="32"/>
      <c r="S11" s="22">
        <v>2</v>
      </c>
      <c r="T11" s="20">
        <v>2</v>
      </c>
      <c r="U11" s="23" t="s">
        <v>75</v>
      </c>
      <c r="V11" s="22">
        <v>2</v>
      </c>
      <c r="W11" s="21">
        <v>11</v>
      </c>
      <c r="X11" s="23" t="s">
        <v>75</v>
      </c>
      <c r="Y11" s="3">
        <v>2</v>
      </c>
      <c r="Z11" s="22">
        <v>9</v>
      </c>
      <c r="AA11" s="21">
        <v>958.3</v>
      </c>
      <c r="AB11" s="23" t="s">
        <v>75</v>
      </c>
    </row>
    <row r="12" spans="1:28" x14ac:dyDescent="0.25">
      <c r="A12" s="3">
        <v>8</v>
      </c>
      <c r="B12" s="19" t="s">
        <v>1</v>
      </c>
      <c r="C12" s="20">
        <v>272.7</v>
      </c>
      <c r="D12" s="21">
        <v>457.83</v>
      </c>
      <c r="E12" s="13" t="s">
        <v>1</v>
      </c>
      <c r="F12" s="32"/>
      <c r="G12" s="19" t="s">
        <v>1</v>
      </c>
      <c r="H12" s="22">
        <v>301.5</v>
      </c>
      <c r="I12" s="21">
        <v>482.57299999999998</v>
      </c>
      <c r="J12" s="13" t="s">
        <v>1</v>
      </c>
      <c r="K12" s="32"/>
      <c r="L12" s="19" t="s">
        <v>1</v>
      </c>
      <c r="M12" s="22">
        <v>659.7</v>
      </c>
      <c r="N12" s="21">
        <v>958.3</v>
      </c>
      <c r="O12" s="13" t="s">
        <v>1</v>
      </c>
      <c r="P12" s="32"/>
      <c r="S12" s="22">
        <v>2</v>
      </c>
      <c r="T12" s="20">
        <v>2</v>
      </c>
      <c r="U12" s="23" t="s">
        <v>75</v>
      </c>
      <c r="V12" s="22">
        <v>2</v>
      </c>
      <c r="W12" s="21">
        <v>11</v>
      </c>
      <c r="X12" s="23" t="s">
        <v>75</v>
      </c>
      <c r="Y12" s="3">
        <v>2</v>
      </c>
      <c r="Z12" s="22">
        <v>9</v>
      </c>
      <c r="AA12" s="21">
        <v>958.3</v>
      </c>
      <c r="AB12" s="23" t="s">
        <v>75</v>
      </c>
    </row>
    <row r="13" spans="1:28" x14ac:dyDescent="0.25">
      <c r="A13" s="3">
        <v>9</v>
      </c>
      <c r="B13" s="19" t="s">
        <v>1</v>
      </c>
      <c r="C13" s="20">
        <v>272.7</v>
      </c>
      <c r="D13" s="21">
        <v>457.83</v>
      </c>
      <c r="E13" s="13" t="s">
        <v>1</v>
      </c>
      <c r="F13" s="32"/>
      <c r="G13" s="19" t="s">
        <v>1</v>
      </c>
      <c r="H13" s="22">
        <v>298.5</v>
      </c>
      <c r="I13" s="21">
        <v>482.57299999999998</v>
      </c>
      <c r="J13" s="13" t="s">
        <v>1</v>
      </c>
      <c r="K13" s="32"/>
      <c r="L13" s="19" t="s">
        <v>1</v>
      </c>
      <c r="M13" s="22">
        <v>659.7</v>
      </c>
      <c r="N13" s="21">
        <v>958.3</v>
      </c>
      <c r="O13" s="13" t="s">
        <v>1</v>
      </c>
      <c r="P13" s="32"/>
      <c r="S13" s="22">
        <v>2</v>
      </c>
      <c r="T13" s="20">
        <v>2</v>
      </c>
      <c r="U13" s="23" t="s">
        <v>75</v>
      </c>
      <c r="V13" s="22">
        <v>2</v>
      </c>
      <c r="W13" s="21">
        <v>11</v>
      </c>
      <c r="X13" s="23" t="s">
        <v>75</v>
      </c>
      <c r="Y13" s="3">
        <v>2</v>
      </c>
      <c r="Z13" s="22">
        <v>9</v>
      </c>
      <c r="AA13" s="21">
        <v>958.3</v>
      </c>
      <c r="AB13" s="23" t="s">
        <v>75</v>
      </c>
    </row>
    <row r="14" spans="1:28" x14ac:dyDescent="0.25">
      <c r="A14" s="3">
        <v>10</v>
      </c>
      <c r="B14" s="19" t="s">
        <v>1</v>
      </c>
      <c r="C14" s="20">
        <v>277.8</v>
      </c>
      <c r="D14" s="21">
        <v>450.87</v>
      </c>
      <c r="E14" s="13" t="s">
        <v>1</v>
      </c>
      <c r="F14" s="32"/>
      <c r="G14" s="19" t="s">
        <v>1</v>
      </c>
      <c r="H14" s="22">
        <v>298.5</v>
      </c>
      <c r="I14" s="21">
        <v>482.57299999999998</v>
      </c>
      <c r="J14" s="13" t="s">
        <v>1</v>
      </c>
      <c r="K14" s="32"/>
      <c r="L14" s="19" t="s">
        <v>1</v>
      </c>
      <c r="M14" s="22">
        <v>659.7</v>
      </c>
      <c r="N14" s="21">
        <v>958.3</v>
      </c>
      <c r="O14" s="13" t="s">
        <v>1</v>
      </c>
      <c r="P14" s="32"/>
      <c r="S14" s="22">
        <v>2</v>
      </c>
      <c r="T14" s="20">
        <v>2</v>
      </c>
      <c r="U14" s="23" t="s">
        <v>75</v>
      </c>
      <c r="V14" s="22">
        <v>2</v>
      </c>
      <c r="W14" s="21">
        <v>11</v>
      </c>
      <c r="X14" s="23" t="s">
        <v>75</v>
      </c>
      <c r="Y14" s="3">
        <v>2</v>
      </c>
      <c r="Z14" s="22">
        <v>9</v>
      </c>
      <c r="AA14" s="21">
        <v>958.3</v>
      </c>
      <c r="AB14" s="23" t="s">
        <v>75</v>
      </c>
    </row>
    <row r="15" spans="1:28" x14ac:dyDescent="0.25">
      <c r="A15" s="3">
        <v>11</v>
      </c>
      <c r="B15" s="19" t="s">
        <v>1</v>
      </c>
      <c r="C15" s="20">
        <v>277.8</v>
      </c>
      <c r="D15" s="21">
        <v>450.87</v>
      </c>
      <c r="E15" s="13" t="s">
        <v>1</v>
      </c>
      <c r="F15" s="32"/>
      <c r="G15" s="19" t="s">
        <v>1</v>
      </c>
      <c r="H15" s="22">
        <v>298.5</v>
      </c>
      <c r="I15" s="21">
        <v>482.57299999999998</v>
      </c>
      <c r="J15" s="13" t="s">
        <v>1</v>
      </c>
      <c r="K15" s="32"/>
      <c r="L15" s="19" t="s">
        <v>1</v>
      </c>
      <c r="M15" s="22">
        <v>659.7</v>
      </c>
      <c r="N15" s="21">
        <v>958.3</v>
      </c>
      <c r="O15" s="13" t="s">
        <v>1</v>
      </c>
      <c r="P15" s="32"/>
      <c r="S15" s="22">
        <v>2</v>
      </c>
      <c r="T15" s="20">
        <v>2</v>
      </c>
      <c r="U15" s="23" t="s">
        <v>75</v>
      </c>
      <c r="V15" s="22">
        <v>2</v>
      </c>
      <c r="W15" s="21">
        <v>11</v>
      </c>
      <c r="X15" s="23" t="s">
        <v>75</v>
      </c>
      <c r="Y15" s="3">
        <v>2</v>
      </c>
      <c r="Z15" s="22">
        <v>9</v>
      </c>
      <c r="AA15" s="21">
        <v>958.3</v>
      </c>
      <c r="AB15" s="23" t="s">
        <v>75</v>
      </c>
    </row>
    <row r="16" spans="1:28" x14ac:dyDescent="0.25">
      <c r="A16" s="3">
        <v>12</v>
      </c>
      <c r="B16" s="19" t="s">
        <v>1</v>
      </c>
      <c r="C16" s="20">
        <v>281.5</v>
      </c>
      <c r="D16" s="21">
        <v>445.41</v>
      </c>
      <c r="E16" s="13" t="s">
        <v>1</v>
      </c>
      <c r="F16" s="32"/>
      <c r="G16" s="19" t="s">
        <v>1</v>
      </c>
      <c r="H16" s="22">
        <v>298.5</v>
      </c>
      <c r="I16" s="21">
        <v>482.57299999999998</v>
      </c>
      <c r="J16" s="13" t="s">
        <v>1</v>
      </c>
      <c r="K16" s="32"/>
      <c r="L16" s="19" t="s">
        <v>1</v>
      </c>
      <c r="M16" s="22">
        <v>659.7</v>
      </c>
      <c r="N16" s="21">
        <v>958.3</v>
      </c>
      <c r="O16" s="13" t="s">
        <v>1</v>
      </c>
      <c r="P16" s="32"/>
      <c r="S16" s="22">
        <v>2</v>
      </c>
      <c r="T16" s="20">
        <v>2</v>
      </c>
      <c r="U16" s="23" t="s">
        <v>75</v>
      </c>
      <c r="V16" s="22">
        <v>2</v>
      </c>
      <c r="W16" s="21">
        <v>11</v>
      </c>
      <c r="X16" s="23" t="s">
        <v>75</v>
      </c>
      <c r="Y16" s="3">
        <v>2</v>
      </c>
      <c r="Z16" s="22">
        <v>9</v>
      </c>
      <c r="AA16" s="21">
        <v>958.3</v>
      </c>
      <c r="AB16" s="23" t="s">
        <v>75</v>
      </c>
    </row>
    <row r="17" spans="1:28" x14ac:dyDescent="0.25">
      <c r="A17" s="3">
        <v>13</v>
      </c>
      <c r="B17" s="19" t="s">
        <v>1</v>
      </c>
      <c r="C17" s="20">
        <v>281.5</v>
      </c>
      <c r="D17" s="21">
        <v>445.41</v>
      </c>
      <c r="E17" s="13" t="s">
        <v>1</v>
      </c>
      <c r="F17" s="32"/>
      <c r="G17" s="19" t="s">
        <v>1</v>
      </c>
      <c r="H17" s="22">
        <v>302.10000000000002</v>
      </c>
      <c r="I17" s="21">
        <v>482.57299999999998</v>
      </c>
      <c r="J17" s="13" t="s">
        <v>1</v>
      </c>
      <c r="K17" s="32"/>
      <c r="L17" s="19" t="s">
        <v>1</v>
      </c>
      <c r="M17" s="22">
        <v>659.7</v>
      </c>
      <c r="N17" s="21">
        <v>958.3</v>
      </c>
      <c r="O17" s="13" t="s">
        <v>1</v>
      </c>
      <c r="P17" s="32"/>
      <c r="S17" s="22">
        <v>2</v>
      </c>
      <c r="T17" s="20">
        <v>2</v>
      </c>
      <c r="U17" s="23" t="s">
        <v>75</v>
      </c>
      <c r="V17" s="22">
        <v>2</v>
      </c>
      <c r="W17" s="21">
        <v>11</v>
      </c>
      <c r="X17" s="23" t="s">
        <v>75</v>
      </c>
      <c r="Y17" s="3">
        <v>2</v>
      </c>
      <c r="Z17" s="22">
        <v>9</v>
      </c>
      <c r="AA17" s="21">
        <v>958.3</v>
      </c>
      <c r="AB17" s="23" t="s">
        <v>75</v>
      </c>
    </row>
    <row r="18" spans="1:28" x14ac:dyDescent="0.25">
      <c r="A18" s="3">
        <v>14</v>
      </c>
      <c r="B18" s="19" t="s">
        <v>1</v>
      </c>
      <c r="C18" s="20">
        <v>281.5</v>
      </c>
      <c r="D18" s="21">
        <v>445.41</v>
      </c>
      <c r="E18" s="13" t="s">
        <v>1</v>
      </c>
      <c r="F18" s="32"/>
      <c r="G18" s="19" t="s">
        <v>1</v>
      </c>
      <c r="H18" s="22">
        <v>302.10000000000002</v>
      </c>
      <c r="I18" s="21">
        <v>482.57299999999998</v>
      </c>
      <c r="J18" s="13" t="s">
        <v>1</v>
      </c>
      <c r="K18" s="32"/>
      <c r="L18" s="19" t="s">
        <v>1</v>
      </c>
      <c r="M18" s="22">
        <v>659.7</v>
      </c>
      <c r="N18" s="21">
        <v>958.3</v>
      </c>
      <c r="O18" s="13" t="s">
        <v>1</v>
      </c>
      <c r="P18" s="32"/>
      <c r="S18" s="22">
        <v>2</v>
      </c>
      <c r="T18" s="20">
        <v>2</v>
      </c>
      <c r="U18" s="23" t="s">
        <v>75</v>
      </c>
      <c r="V18" s="22">
        <v>2</v>
      </c>
      <c r="W18" s="21">
        <v>11</v>
      </c>
      <c r="X18" s="23" t="s">
        <v>75</v>
      </c>
      <c r="Y18" s="3">
        <v>2</v>
      </c>
      <c r="Z18" s="22">
        <v>9</v>
      </c>
      <c r="AA18" s="21">
        <v>958.3</v>
      </c>
      <c r="AB18" s="23" t="s">
        <v>75</v>
      </c>
    </row>
    <row r="19" spans="1:28" x14ac:dyDescent="0.25">
      <c r="A19" s="3">
        <v>15</v>
      </c>
      <c r="B19" s="19" t="s">
        <v>1</v>
      </c>
      <c r="C19" s="20">
        <v>281.5</v>
      </c>
      <c r="D19" s="21">
        <v>445.41</v>
      </c>
      <c r="E19" s="13" t="s">
        <v>1</v>
      </c>
      <c r="F19" s="32"/>
      <c r="G19" s="19" t="s">
        <v>1</v>
      </c>
      <c r="H19" s="22">
        <v>302.10000000000002</v>
      </c>
      <c r="I19" s="21">
        <v>482.57299999999998</v>
      </c>
      <c r="J19" s="13" t="s">
        <v>1</v>
      </c>
      <c r="K19" s="32"/>
      <c r="L19" s="19" t="s">
        <v>1</v>
      </c>
      <c r="M19" s="22">
        <v>659.7</v>
      </c>
      <c r="N19" s="21">
        <v>958.3</v>
      </c>
      <c r="O19" s="13" t="s">
        <v>1</v>
      </c>
      <c r="P19" s="32"/>
      <c r="S19" s="22">
        <v>2</v>
      </c>
      <c r="T19" s="20">
        <v>2</v>
      </c>
      <c r="U19" s="23" t="s">
        <v>75</v>
      </c>
      <c r="V19" s="22">
        <v>2</v>
      </c>
      <c r="W19" s="21">
        <v>11</v>
      </c>
      <c r="X19" s="23" t="s">
        <v>75</v>
      </c>
      <c r="Y19" s="3">
        <v>2</v>
      </c>
      <c r="Z19" s="22">
        <v>9</v>
      </c>
      <c r="AA19" s="21">
        <v>958.3</v>
      </c>
      <c r="AB19" s="23" t="s">
        <v>75</v>
      </c>
    </row>
    <row r="20" spans="1:28" x14ac:dyDescent="0.25">
      <c r="A20" s="3">
        <v>16</v>
      </c>
      <c r="B20" s="19" t="s">
        <v>1</v>
      </c>
      <c r="C20" s="20">
        <v>281.5</v>
      </c>
      <c r="D20" s="21">
        <v>445.41</v>
      </c>
      <c r="E20" s="13" t="s">
        <v>1</v>
      </c>
      <c r="F20" s="32"/>
      <c r="G20" s="19"/>
      <c r="H20" s="22"/>
      <c r="I20" s="21"/>
      <c r="J20" s="13" t="s">
        <v>1</v>
      </c>
      <c r="K20" s="32"/>
      <c r="L20" s="19" t="s">
        <v>1</v>
      </c>
      <c r="M20" s="22">
        <v>659.7</v>
      </c>
      <c r="N20" s="21">
        <v>958.3</v>
      </c>
      <c r="O20" s="13" t="s">
        <v>1</v>
      </c>
      <c r="P20" s="32"/>
      <c r="S20" s="22">
        <v>2</v>
      </c>
      <c r="T20" s="20">
        <v>2</v>
      </c>
      <c r="U20" s="23" t="s">
        <v>75</v>
      </c>
      <c r="V20" s="3"/>
      <c r="W20" s="22"/>
      <c r="X20" s="23" t="s">
        <v>1</v>
      </c>
      <c r="Y20" s="3">
        <v>2</v>
      </c>
      <c r="Z20" s="22">
        <v>9</v>
      </c>
      <c r="AA20" s="21">
        <v>958.3</v>
      </c>
      <c r="AB20" s="23" t="s">
        <v>75</v>
      </c>
    </row>
    <row r="21" spans="1:28" x14ac:dyDescent="0.25">
      <c r="A21" s="3">
        <v>17</v>
      </c>
      <c r="B21" s="19" t="s">
        <v>1</v>
      </c>
      <c r="C21" s="20">
        <v>281.5</v>
      </c>
      <c r="D21" s="21">
        <v>445.41</v>
      </c>
      <c r="E21" s="13" t="s">
        <v>1</v>
      </c>
      <c r="F21" s="32"/>
      <c r="G21" s="19"/>
      <c r="H21" s="22"/>
      <c r="I21" s="21"/>
      <c r="J21" s="13"/>
      <c r="K21" s="32"/>
      <c r="L21" s="19" t="s">
        <v>1</v>
      </c>
      <c r="M21" s="22">
        <v>659.7</v>
      </c>
      <c r="N21" s="21">
        <v>958.3</v>
      </c>
      <c r="O21" s="13" t="s">
        <v>1</v>
      </c>
      <c r="P21" s="32"/>
      <c r="S21" s="22">
        <v>2</v>
      </c>
      <c r="T21" s="20">
        <v>2</v>
      </c>
      <c r="U21" s="23" t="s">
        <v>75</v>
      </c>
      <c r="V21" s="3"/>
      <c r="W21" s="22"/>
      <c r="X21" s="23"/>
      <c r="Y21" s="3">
        <v>2</v>
      </c>
      <c r="Z21" s="22">
        <v>9</v>
      </c>
      <c r="AA21" s="21">
        <v>958.3</v>
      </c>
      <c r="AB21" s="23" t="s">
        <v>75</v>
      </c>
    </row>
    <row r="22" spans="1:28" x14ac:dyDescent="0.25">
      <c r="A22" s="3">
        <v>18</v>
      </c>
      <c r="B22" s="19" t="s">
        <v>1</v>
      </c>
      <c r="C22" s="20"/>
      <c r="D22" s="21"/>
      <c r="E22" s="13"/>
      <c r="F22" s="32"/>
      <c r="G22" s="19"/>
      <c r="H22" s="22"/>
      <c r="I22" s="21"/>
      <c r="J22" s="13"/>
      <c r="K22" s="32"/>
      <c r="L22" s="19" t="s">
        <v>1</v>
      </c>
      <c r="M22" s="22">
        <v>666.1</v>
      </c>
      <c r="N22" s="21">
        <v>958.3</v>
      </c>
      <c r="O22" s="13" t="s">
        <v>1</v>
      </c>
      <c r="P22" s="32"/>
      <c r="S22" s="3" t="s">
        <v>1</v>
      </c>
      <c r="T22" s="20"/>
      <c r="U22" s="23"/>
      <c r="V22" s="3"/>
      <c r="W22" s="22"/>
      <c r="X22" s="23"/>
      <c r="Y22" s="3">
        <v>2</v>
      </c>
      <c r="Z22" s="22">
        <v>9</v>
      </c>
      <c r="AA22" s="21">
        <v>958.3</v>
      </c>
      <c r="AB22" s="32" t="s">
        <v>76</v>
      </c>
    </row>
    <row r="23" spans="1:28" x14ac:dyDescent="0.25">
      <c r="A23" s="3">
        <v>19</v>
      </c>
      <c r="B23" s="19" t="s">
        <v>1</v>
      </c>
      <c r="C23" s="20"/>
      <c r="D23" s="21"/>
      <c r="E23" s="13"/>
      <c r="F23" s="32"/>
      <c r="G23" s="19"/>
      <c r="H23" s="22"/>
      <c r="I23" s="21"/>
      <c r="J23" s="13"/>
      <c r="K23" s="32"/>
      <c r="L23" s="19" t="s">
        <v>1</v>
      </c>
      <c r="M23" s="22">
        <v>666.1</v>
      </c>
      <c r="N23" s="21">
        <v>958.3</v>
      </c>
      <c r="O23" s="13" t="s">
        <v>1</v>
      </c>
      <c r="P23" s="32"/>
      <c r="S23" s="3" t="s">
        <v>1</v>
      </c>
      <c r="T23" s="20"/>
      <c r="U23" s="23"/>
      <c r="V23" s="3"/>
      <c r="W23" s="22"/>
      <c r="X23" s="23"/>
      <c r="Y23" s="3">
        <v>2</v>
      </c>
      <c r="Z23" s="22">
        <v>9</v>
      </c>
      <c r="AA23" s="21">
        <v>958.3</v>
      </c>
      <c r="AB23" s="32" t="s">
        <v>76</v>
      </c>
    </row>
    <row r="24" spans="1:28" x14ac:dyDescent="0.25">
      <c r="A24" s="3">
        <v>20</v>
      </c>
      <c r="B24" s="19" t="s">
        <v>1</v>
      </c>
      <c r="C24" s="20"/>
      <c r="D24" s="21"/>
      <c r="E24" s="13"/>
      <c r="F24" s="32"/>
      <c r="G24" s="19"/>
      <c r="H24" s="22"/>
      <c r="I24" s="21"/>
      <c r="J24" s="13"/>
      <c r="K24" s="32"/>
      <c r="L24" s="19" t="s">
        <v>1</v>
      </c>
      <c r="M24" s="22">
        <v>666.1</v>
      </c>
      <c r="N24" s="21">
        <v>958.3</v>
      </c>
      <c r="O24" s="13" t="s">
        <v>1</v>
      </c>
      <c r="P24" s="32"/>
      <c r="S24" s="3" t="s">
        <v>1</v>
      </c>
      <c r="T24" s="20"/>
      <c r="U24" s="23"/>
      <c r="V24" s="3"/>
      <c r="W24" s="22"/>
      <c r="X24" s="23"/>
      <c r="Y24" s="3">
        <v>2</v>
      </c>
      <c r="Z24" s="22">
        <v>9</v>
      </c>
      <c r="AA24" s="21">
        <v>958.3</v>
      </c>
      <c r="AB24" s="32" t="s">
        <v>76</v>
      </c>
    </row>
    <row r="25" spans="1:28" x14ac:dyDescent="0.25">
      <c r="A25" s="3">
        <v>21</v>
      </c>
      <c r="B25" s="19" t="s">
        <v>1</v>
      </c>
      <c r="C25" s="20"/>
      <c r="D25" s="21"/>
      <c r="E25" s="13"/>
      <c r="F25" s="32"/>
      <c r="G25" s="19"/>
      <c r="H25" s="22"/>
      <c r="I25" s="21"/>
      <c r="J25" s="13"/>
      <c r="K25" s="32"/>
      <c r="L25" s="19" t="s">
        <v>1</v>
      </c>
      <c r="M25" s="22">
        <v>666.1</v>
      </c>
      <c r="N25" s="21">
        <v>958.3</v>
      </c>
      <c r="O25" s="13" t="s">
        <v>1</v>
      </c>
      <c r="P25" s="32"/>
      <c r="S25" s="3" t="s">
        <v>1</v>
      </c>
      <c r="T25" s="20"/>
      <c r="U25" s="23"/>
      <c r="V25" s="3"/>
      <c r="W25" s="22"/>
      <c r="X25" s="23"/>
      <c r="Y25" s="3">
        <v>2</v>
      </c>
      <c r="Z25" s="22">
        <v>9</v>
      </c>
      <c r="AA25" s="21">
        <v>958.3</v>
      </c>
      <c r="AB25" s="32" t="s">
        <v>76</v>
      </c>
    </row>
    <row r="26" spans="1:28" x14ac:dyDescent="0.25">
      <c r="A26" s="3">
        <v>22</v>
      </c>
      <c r="B26" s="19" t="s">
        <v>1</v>
      </c>
      <c r="C26" s="20"/>
      <c r="D26" s="21"/>
      <c r="E26" s="13"/>
      <c r="F26" s="32"/>
      <c r="G26" s="19"/>
      <c r="H26" s="22"/>
      <c r="I26" s="21"/>
      <c r="J26" s="13"/>
      <c r="K26" s="32"/>
      <c r="L26" s="19" t="s">
        <v>1</v>
      </c>
      <c r="M26" s="22">
        <v>653.70000000000005</v>
      </c>
      <c r="N26" s="21">
        <v>958.3</v>
      </c>
      <c r="O26" s="13" t="s">
        <v>1</v>
      </c>
      <c r="P26" s="32"/>
      <c r="S26" s="3" t="s">
        <v>1</v>
      </c>
      <c r="T26" s="20"/>
      <c r="U26" s="23"/>
      <c r="V26" s="3"/>
      <c r="W26" s="22"/>
      <c r="X26" s="23"/>
      <c r="Y26" s="3">
        <v>2</v>
      </c>
      <c r="Z26" s="22">
        <v>9</v>
      </c>
      <c r="AA26" s="21">
        <v>958.3</v>
      </c>
      <c r="AB26" s="32" t="s">
        <v>76</v>
      </c>
    </row>
    <row r="27" spans="1:28" x14ac:dyDescent="0.25">
      <c r="A27" s="3">
        <v>23</v>
      </c>
      <c r="B27" s="19" t="s">
        <v>1</v>
      </c>
      <c r="C27" s="20"/>
      <c r="D27" s="21"/>
      <c r="E27" s="13"/>
      <c r="F27" s="32"/>
      <c r="G27" s="19"/>
      <c r="H27" s="22"/>
      <c r="I27" s="21"/>
      <c r="J27" s="13"/>
      <c r="K27" s="32"/>
      <c r="L27" s="19" t="s">
        <v>1</v>
      </c>
      <c r="M27" s="22">
        <v>666.1</v>
      </c>
      <c r="N27" s="21">
        <v>958.3</v>
      </c>
      <c r="O27" s="13" t="s">
        <v>1</v>
      </c>
      <c r="P27" s="32"/>
      <c r="S27" s="3" t="s">
        <v>1</v>
      </c>
      <c r="T27" s="20"/>
      <c r="U27" s="23"/>
      <c r="V27" s="3"/>
      <c r="W27" s="22"/>
      <c r="X27" s="23"/>
      <c r="Y27" s="3">
        <v>2</v>
      </c>
      <c r="Z27" s="22">
        <v>9</v>
      </c>
      <c r="AA27" s="21">
        <v>958.3</v>
      </c>
      <c r="AB27" s="32" t="s">
        <v>76</v>
      </c>
    </row>
    <row r="28" spans="1:28" x14ac:dyDescent="0.25">
      <c r="A28" s="3">
        <v>24</v>
      </c>
      <c r="B28" s="19"/>
      <c r="D28" s="21"/>
      <c r="E28" s="13"/>
      <c r="F28" s="23"/>
      <c r="G28" s="19"/>
      <c r="H28" s="22"/>
      <c r="I28" s="21"/>
      <c r="J28" s="13"/>
      <c r="K28" s="32"/>
      <c r="L28" s="19" t="s">
        <v>1</v>
      </c>
      <c r="M28" s="22">
        <v>666.1</v>
      </c>
      <c r="N28" s="21">
        <v>958.3</v>
      </c>
      <c r="O28" s="13" t="s">
        <v>1</v>
      </c>
      <c r="P28" s="32"/>
      <c r="S28" s="3"/>
      <c r="T28" s="87"/>
      <c r="U28" s="23"/>
      <c r="V28" s="3"/>
      <c r="W28" s="22"/>
      <c r="X28" s="23"/>
      <c r="Y28" s="3">
        <v>2</v>
      </c>
      <c r="Z28" s="22">
        <v>9</v>
      </c>
      <c r="AA28" s="21">
        <v>958.3</v>
      </c>
      <c r="AB28" s="32" t="s">
        <v>76</v>
      </c>
    </row>
    <row r="29" spans="1:28" x14ac:dyDescent="0.25">
      <c r="A29" s="3">
        <v>25</v>
      </c>
      <c r="B29" s="19"/>
      <c r="C29" s="20"/>
      <c r="D29" s="21"/>
      <c r="E29" s="13"/>
      <c r="F29" s="23"/>
      <c r="G29" s="19"/>
      <c r="H29" s="22"/>
      <c r="I29" s="21"/>
      <c r="J29" s="13"/>
      <c r="K29" s="32"/>
      <c r="L29" s="19" t="s">
        <v>1</v>
      </c>
      <c r="M29" s="22">
        <v>666.1</v>
      </c>
      <c r="N29" s="21">
        <v>958.3</v>
      </c>
      <c r="O29" s="13" t="s">
        <v>1</v>
      </c>
      <c r="P29" s="32"/>
      <c r="S29" s="3"/>
      <c r="T29" s="20"/>
      <c r="U29" s="23"/>
      <c r="V29" s="3"/>
      <c r="W29" s="22"/>
      <c r="X29" s="23"/>
      <c r="Y29" s="3">
        <v>2</v>
      </c>
      <c r="Z29" s="22">
        <v>8</v>
      </c>
      <c r="AA29" s="21">
        <v>958.3</v>
      </c>
      <c r="AB29" s="32" t="s">
        <v>76</v>
      </c>
    </row>
    <row r="30" spans="1:28" x14ac:dyDescent="0.25">
      <c r="A30" s="3">
        <v>26</v>
      </c>
      <c r="B30" s="19"/>
      <c r="C30" s="20"/>
      <c r="D30" s="21"/>
      <c r="E30" s="13"/>
      <c r="F30" s="23"/>
      <c r="G30" s="19"/>
      <c r="H30" s="22"/>
      <c r="I30" s="21"/>
      <c r="J30" s="13"/>
      <c r="K30" s="32"/>
      <c r="L30" s="19" t="s">
        <v>1</v>
      </c>
      <c r="M30" s="22"/>
      <c r="N30" s="21"/>
      <c r="O30" s="13" t="s">
        <v>1</v>
      </c>
      <c r="P30" s="32"/>
      <c r="S30" s="3"/>
      <c r="T30" s="20"/>
      <c r="U30" s="23"/>
      <c r="V30" s="3"/>
      <c r="W30" s="22"/>
      <c r="X30" s="23"/>
      <c r="Y30" s="3" t="s">
        <v>1</v>
      </c>
      <c r="Z30" s="22"/>
      <c r="AA30" s="21"/>
      <c r="AB30" s="23" t="s">
        <v>1</v>
      </c>
    </row>
    <row r="31" spans="1:28" x14ac:dyDescent="0.25">
      <c r="A31" s="3">
        <v>27</v>
      </c>
      <c r="B31" s="19"/>
      <c r="C31" s="20"/>
      <c r="D31" s="21"/>
      <c r="E31" s="13"/>
      <c r="F31" s="23"/>
      <c r="G31" s="19"/>
      <c r="H31" s="22"/>
      <c r="I31" s="21"/>
      <c r="J31" s="13"/>
      <c r="K31" s="32"/>
      <c r="L31" s="19" t="s">
        <v>1</v>
      </c>
      <c r="M31" s="22"/>
      <c r="N31" s="21"/>
      <c r="O31" s="13" t="s">
        <v>1</v>
      </c>
      <c r="P31" s="32"/>
      <c r="S31" s="3"/>
      <c r="T31" s="20"/>
      <c r="U31" s="23"/>
      <c r="V31" s="3"/>
      <c r="W31" s="22"/>
      <c r="X31" s="23"/>
      <c r="Y31" s="3" t="s">
        <v>1</v>
      </c>
      <c r="Z31" s="22"/>
      <c r="AA31" s="21"/>
      <c r="AB31" s="23" t="s">
        <v>1</v>
      </c>
    </row>
    <row r="32" spans="1:28" x14ac:dyDescent="0.25">
      <c r="A32" s="3">
        <v>28</v>
      </c>
      <c r="B32" s="19"/>
      <c r="C32" s="20"/>
      <c r="D32" s="21"/>
      <c r="E32" s="13"/>
      <c r="F32" s="23"/>
      <c r="G32" s="19"/>
      <c r="H32" s="22"/>
      <c r="I32" s="21"/>
      <c r="J32" s="13"/>
      <c r="K32" s="32"/>
      <c r="L32" s="19" t="s">
        <v>1</v>
      </c>
      <c r="M32" s="22"/>
      <c r="N32" s="21"/>
      <c r="O32" s="13" t="s">
        <v>1</v>
      </c>
      <c r="P32" s="32"/>
      <c r="S32" s="3"/>
      <c r="T32" s="20"/>
      <c r="U32" s="23"/>
      <c r="V32" s="3"/>
      <c r="W32" s="22"/>
      <c r="X32" s="23"/>
      <c r="Y32" s="3" t="s">
        <v>1</v>
      </c>
      <c r="Z32" s="22"/>
      <c r="AA32" s="21"/>
      <c r="AB32" s="23" t="s">
        <v>1</v>
      </c>
    </row>
    <row r="33" spans="1:28" x14ac:dyDescent="0.25">
      <c r="A33" s="3">
        <v>29</v>
      </c>
      <c r="B33" s="19"/>
      <c r="C33" s="20"/>
      <c r="D33" s="21"/>
      <c r="E33" s="13"/>
      <c r="F33" s="23"/>
      <c r="G33" s="19"/>
      <c r="H33" s="22"/>
      <c r="I33" s="21"/>
      <c r="J33" s="13"/>
      <c r="K33" s="32"/>
      <c r="L33" s="19" t="s">
        <v>1</v>
      </c>
      <c r="M33" s="22"/>
      <c r="N33" s="21"/>
      <c r="O33" s="13" t="s">
        <v>1</v>
      </c>
      <c r="P33" s="32"/>
      <c r="S33" s="3"/>
      <c r="T33" s="20"/>
      <c r="U33" s="23"/>
      <c r="V33" s="3"/>
      <c r="W33" s="22"/>
      <c r="X33" s="23"/>
      <c r="Y33" s="3" t="s">
        <v>1</v>
      </c>
      <c r="Z33" s="22"/>
      <c r="AA33" s="21"/>
      <c r="AB33" s="23" t="s">
        <v>1</v>
      </c>
    </row>
    <row r="34" spans="1:28" x14ac:dyDescent="0.25">
      <c r="A34" s="3">
        <v>30</v>
      </c>
      <c r="B34" s="19"/>
      <c r="C34" s="20"/>
      <c r="D34" s="21"/>
      <c r="E34" s="13"/>
      <c r="F34" s="23"/>
      <c r="G34" s="19"/>
      <c r="H34" s="22"/>
      <c r="I34" s="21"/>
      <c r="J34" s="13"/>
      <c r="K34" s="32"/>
      <c r="L34" s="19" t="s">
        <v>1</v>
      </c>
      <c r="M34" s="22"/>
      <c r="N34" s="21"/>
      <c r="O34" s="13" t="s">
        <v>1</v>
      </c>
      <c r="P34" s="32"/>
      <c r="S34" s="3"/>
      <c r="T34" s="20"/>
      <c r="U34" s="23"/>
      <c r="V34" s="3"/>
      <c r="W34" s="22"/>
      <c r="X34" s="23"/>
      <c r="Y34" s="3" t="s">
        <v>1</v>
      </c>
      <c r="Z34" s="22"/>
      <c r="AA34" s="21"/>
      <c r="AB34" s="23" t="s">
        <v>1</v>
      </c>
    </row>
    <row r="35" spans="1:28" x14ac:dyDescent="0.25">
      <c r="A35" s="3">
        <v>31</v>
      </c>
      <c r="B35" s="19"/>
      <c r="C35" s="20"/>
      <c r="D35" s="21"/>
      <c r="E35" s="13"/>
      <c r="F35" s="23"/>
      <c r="G35" s="19"/>
      <c r="H35" s="22"/>
      <c r="I35" s="21"/>
      <c r="J35" s="13"/>
      <c r="K35" s="32"/>
      <c r="L35" s="19" t="s">
        <v>1</v>
      </c>
      <c r="M35" s="22"/>
      <c r="N35" s="21"/>
      <c r="O35" s="13" t="s">
        <v>1</v>
      </c>
      <c r="P35" s="32"/>
      <c r="S35" s="3"/>
      <c r="T35" s="20"/>
      <c r="U35" s="23"/>
      <c r="V35" s="3"/>
      <c r="W35" s="22"/>
      <c r="X35" s="23"/>
      <c r="Y35" s="3" t="s">
        <v>1</v>
      </c>
      <c r="Z35" s="22"/>
      <c r="AA35" s="21"/>
      <c r="AB35" s="23" t="s">
        <v>1</v>
      </c>
    </row>
    <row r="36" spans="1:28" x14ac:dyDescent="0.25">
      <c r="A36" s="3">
        <v>32</v>
      </c>
      <c r="B36" s="19"/>
      <c r="C36" s="20"/>
      <c r="D36" s="21"/>
      <c r="E36" s="13"/>
      <c r="F36" s="23"/>
      <c r="G36" s="19"/>
      <c r="H36" s="22"/>
      <c r="I36" s="21"/>
      <c r="J36" s="13"/>
      <c r="K36" s="32"/>
      <c r="L36" s="19" t="s">
        <v>1</v>
      </c>
      <c r="M36" s="22"/>
      <c r="N36" s="21"/>
      <c r="O36" s="13" t="s">
        <v>1</v>
      </c>
      <c r="P36" s="32"/>
      <c r="S36" s="3"/>
      <c r="T36" s="20"/>
      <c r="U36" s="23"/>
      <c r="V36" s="3"/>
      <c r="W36" s="22"/>
      <c r="X36" s="23"/>
      <c r="Y36" s="3" t="s">
        <v>1</v>
      </c>
      <c r="Z36" s="22"/>
      <c r="AA36" s="21"/>
      <c r="AB36" s="23" t="s">
        <v>1</v>
      </c>
    </row>
    <row r="37" spans="1:28" x14ac:dyDescent="0.25">
      <c r="A37" s="3">
        <v>33</v>
      </c>
      <c r="B37" s="19"/>
      <c r="C37" s="20"/>
      <c r="D37" s="21"/>
      <c r="E37" s="13"/>
      <c r="F37" s="23"/>
      <c r="G37" s="19"/>
      <c r="H37" s="22"/>
      <c r="I37" s="21"/>
      <c r="J37" s="13"/>
      <c r="K37" s="32"/>
      <c r="L37" s="19" t="s">
        <v>1</v>
      </c>
      <c r="M37" s="22"/>
      <c r="N37" s="21"/>
      <c r="O37" s="13" t="s">
        <v>1</v>
      </c>
      <c r="P37" s="32"/>
      <c r="S37" s="3"/>
      <c r="T37" s="20"/>
      <c r="U37" s="23"/>
      <c r="V37" s="3"/>
      <c r="W37" s="22"/>
      <c r="X37" s="23"/>
      <c r="Y37" s="3" t="s">
        <v>1</v>
      </c>
      <c r="Z37" s="22"/>
      <c r="AA37" s="21"/>
      <c r="AB37" s="23" t="s">
        <v>1</v>
      </c>
    </row>
    <row r="38" spans="1:28" x14ac:dyDescent="0.25">
      <c r="A38" s="3">
        <v>34</v>
      </c>
      <c r="B38" s="19"/>
      <c r="C38" s="20"/>
      <c r="D38" s="21"/>
      <c r="E38" s="13"/>
      <c r="F38" s="23"/>
      <c r="G38" s="19"/>
      <c r="H38" s="22"/>
      <c r="I38" s="21"/>
      <c r="J38" s="13"/>
      <c r="K38" s="32"/>
      <c r="L38" s="19" t="s">
        <v>1</v>
      </c>
      <c r="M38" s="22"/>
      <c r="N38" s="21"/>
      <c r="O38" s="13" t="s">
        <v>1</v>
      </c>
      <c r="P38" s="32"/>
      <c r="S38" s="3"/>
      <c r="T38" s="20"/>
      <c r="U38" s="23"/>
      <c r="V38" s="3"/>
      <c r="W38" s="22"/>
      <c r="X38" s="23"/>
      <c r="Y38" s="3" t="s">
        <v>1</v>
      </c>
      <c r="Z38" s="22"/>
      <c r="AA38" s="21"/>
      <c r="AB38" s="23" t="s">
        <v>1</v>
      </c>
    </row>
    <row r="39" spans="1:28" x14ac:dyDescent="0.25">
      <c r="A39" s="3">
        <v>35</v>
      </c>
      <c r="B39" s="19"/>
      <c r="C39" s="20"/>
      <c r="D39" s="21"/>
      <c r="E39" s="13"/>
      <c r="F39" s="23"/>
      <c r="G39" s="19"/>
      <c r="H39" s="22"/>
      <c r="I39" s="21"/>
      <c r="J39" s="13"/>
      <c r="K39" s="32"/>
      <c r="L39" s="19" t="s">
        <v>1</v>
      </c>
      <c r="M39" s="22"/>
      <c r="N39" s="21"/>
      <c r="O39" s="13" t="s">
        <v>1</v>
      </c>
      <c r="P39" s="32"/>
      <c r="S39" s="3"/>
      <c r="T39" s="20"/>
      <c r="U39" s="23"/>
      <c r="V39" s="3"/>
      <c r="W39" s="22"/>
      <c r="X39" s="23"/>
      <c r="Y39" s="3" t="s">
        <v>1</v>
      </c>
      <c r="Z39" s="22"/>
      <c r="AA39" s="21"/>
      <c r="AB39" s="23" t="s">
        <v>1</v>
      </c>
    </row>
    <row r="40" spans="1:28" ht="15.75" thickBot="1" x14ac:dyDescent="0.3">
      <c r="A40" s="3">
        <v>36</v>
      </c>
      <c r="B40" s="19"/>
      <c r="C40" s="20"/>
      <c r="D40" s="21"/>
      <c r="E40" s="13"/>
      <c r="F40" s="23"/>
      <c r="G40" s="19"/>
      <c r="H40" s="22"/>
      <c r="I40" s="21"/>
      <c r="J40" s="13"/>
      <c r="K40" s="32"/>
      <c r="L40" s="19" t="s">
        <v>1</v>
      </c>
      <c r="M40" s="22"/>
      <c r="N40" s="21"/>
      <c r="O40" s="13" t="s">
        <v>1</v>
      </c>
      <c r="P40" s="32"/>
      <c r="S40" s="88"/>
      <c r="T40" s="89"/>
      <c r="U40" s="40"/>
      <c r="V40" s="88"/>
      <c r="W40" s="91"/>
      <c r="X40" s="40"/>
      <c r="Y40" s="88" t="s">
        <v>1</v>
      </c>
      <c r="Z40" s="91"/>
      <c r="AA40" s="39"/>
      <c r="AB40" s="40" t="s">
        <v>1</v>
      </c>
    </row>
    <row r="41" spans="1:28" x14ac:dyDescent="0.25">
      <c r="A41" s="3">
        <v>37</v>
      </c>
      <c r="B41" s="19"/>
      <c r="C41" s="20"/>
      <c r="D41" s="21"/>
      <c r="E41" s="13"/>
      <c r="F41" s="23"/>
      <c r="G41" s="19"/>
      <c r="H41" s="22"/>
      <c r="I41" s="21"/>
      <c r="J41" s="13"/>
      <c r="K41" s="32"/>
      <c r="L41" s="19" t="s">
        <v>1</v>
      </c>
      <c r="M41" s="22"/>
      <c r="N41" s="21"/>
      <c r="O41" s="13" t="s">
        <v>1</v>
      </c>
      <c r="P41" s="32"/>
    </row>
    <row r="42" spans="1:28" x14ac:dyDescent="0.25">
      <c r="A42" s="3">
        <v>38</v>
      </c>
      <c r="B42" s="19"/>
      <c r="C42" s="20"/>
      <c r="D42" s="21"/>
      <c r="E42" s="13"/>
      <c r="F42" s="23"/>
      <c r="G42" s="19"/>
      <c r="H42" s="22"/>
      <c r="I42" s="21"/>
      <c r="J42" s="13"/>
      <c r="K42" s="32"/>
      <c r="L42" s="19" t="s">
        <v>1</v>
      </c>
      <c r="M42" s="22"/>
      <c r="N42" s="21"/>
      <c r="O42" s="13" t="s">
        <v>1</v>
      </c>
      <c r="P42" s="32"/>
    </row>
    <row r="43" spans="1:28" x14ac:dyDescent="0.25">
      <c r="A43" s="3">
        <v>39</v>
      </c>
      <c r="B43" s="19"/>
      <c r="C43" s="20"/>
      <c r="D43" s="21"/>
      <c r="E43" s="13"/>
      <c r="F43" s="23"/>
      <c r="G43" s="19"/>
      <c r="H43" s="22"/>
      <c r="I43" s="21"/>
      <c r="J43" s="13"/>
      <c r="K43" s="32"/>
      <c r="L43" s="19" t="s">
        <v>1</v>
      </c>
      <c r="M43" s="22"/>
      <c r="N43" s="21"/>
      <c r="O43" s="13" t="s">
        <v>1</v>
      </c>
      <c r="P43" s="32"/>
    </row>
    <row r="44" spans="1:28" x14ac:dyDescent="0.25">
      <c r="A44" s="3">
        <v>40</v>
      </c>
      <c r="B44" s="19"/>
      <c r="C44" s="20"/>
      <c r="D44" s="21"/>
      <c r="E44" s="13"/>
      <c r="F44" s="23"/>
      <c r="G44" s="19"/>
      <c r="H44" s="22"/>
      <c r="I44" s="21"/>
      <c r="J44" s="13"/>
      <c r="K44" s="32"/>
      <c r="L44" s="19" t="s">
        <v>1</v>
      </c>
      <c r="M44" s="22"/>
      <c r="N44" s="21"/>
      <c r="O44" s="13" t="s">
        <v>1</v>
      </c>
      <c r="P44" s="32"/>
    </row>
    <row r="45" spans="1:28" x14ac:dyDescent="0.25">
      <c r="A45" s="3">
        <v>41</v>
      </c>
      <c r="B45" s="19"/>
      <c r="C45" s="20"/>
      <c r="D45" s="21"/>
      <c r="E45" s="13"/>
      <c r="F45" s="23"/>
      <c r="G45" s="19"/>
      <c r="H45" s="22"/>
      <c r="I45" s="21"/>
      <c r="J45" s="13"/>
      <c r="K45" s="32"/>
      <c r="L45" s="19" t="s">
        <v>1</v>
      </c>
      <c r="M45" s="22"/>
      <c r="N45" s="21"/>
      <c r="O45" s="13" t="s">
        <v>1</v>
      </c>
      <c r="P45" s="32"/>
    </row>
    <row r="46" spans="1:28" x14ac:dyDescent="0.25">
      <c r="A46" s="3">
        <v>42</v>
      </c>
      <c r="B46" s="19"/>
      <c r="C46" s="20"/>
      <c r="D46" s="21"/>
      <c r="E46" s="13"/>
      <c r="F46" s="23"/>
      <c r="G46" s="19"/>
      <c r="H46" s="22"/>
      <c r="I46" s="21"/>
      <c r="J46" s="13"/>
      <c r="K46" s="32"/>
      <c r="L46" s="19" t="s">
        <v>1</v>
      </c>
      <c r="M46" s="22"/>
      <c r="N46" s="21"/>
      <c r="O46" s="13" t="s">
        <v>1</v>
      </c>
      <c r="P46" s="32"/>
    </row>
    <row r="47" spans="1:28" x14ac:dyDescent="0.25">
      <c r="A47" s="3">
        <v>43</v>
      </c>
      <c r="B47" s="19"/>
      <c r="C47" s="20"/>
      <c r="D47" s="21"/>
      <c r="E47" s="13"/>
      <c r="F47" s="23"/>
      <c r="G47" s="19"/>
      <c r="H47" s="3"/>
      <c r="I47" s="21"/>
      <c r="J47" s="13"/>
      <c r="K47" s="23"/>
      <c r="L47" s="19" t="s">
        <v>1</v>
      </c>
      <c r="M47" s="22"/>
      <c r="N47" s="21"/>
      <c r="O47" s="13" t="s">
        <v>1</v>
      </c>
      <c r="P47" s="32"/>
    </row>
    <row r="48" spans="1:28" x14ac:dyDescent="0.25">
      <c r="A48" s="3">
        <v>44</v>
      </c>
      <c r="B48" s="19"/>
      <c r="C48" s="20"/>
      <c r="D48" s="21"/>
      <c r="E48" s="13"/>
      <c r="F48" s="23"/>
      <c r="G48" s="19"/>
      <c r="H48" s="22"/>
      <c r="I48" s="21"/>
      <c r="J48" s="13"/>
      <c r="K48" s="23"/>
      <c r="L48" s="19" t="s">
        <v>1</v>
      </c>
      <c r="M48" s="22"/>
      <c r="N48" s="21"/>
      <c r="O48" s="13" t="s">
        <v>1</v>
      </c>
      <c r="P48" s="32"/>
    </row>
    <row r="49" spans="1:16" x14ac:dyDescent="0.25">
      <c r="A49" s="3">
        <v>45</v>
      </c>
      <c r="B49" s="19"/>
      <c r="C49" s="20"/>
      <c r="D49" s="21"/>
      <c r="E49" s="13"/>
      <c r="F49" s="23"/>
      <c r="G49" s="19"/>
      <c r="H49" s="22"/>
      <c r="I49" s="21"/>
      <c r="J49" s="13"/>
      <c r="K49" s="23"/>
      <c r="L49" s="19" t="s">
        <v>1</v>
      </c>
      <c r="M49" s="22"/>
      <c r="N49" s="21"/>
      <c r="O49" s="13" t="s">
        <v>1</v>
      </c>
      <c r="P49" s="32"/>
    </row>
    <row r="50" spans="1:16" x14ac:dyDescent="0.25">
      <c r="A50" s="3">
        <v>46</v>
      </c>
      <c r="B50" s="19"/>
      <c r="C50" s="20"/>
      <c r="D50" s="21"/>
      <c r="E50" s="13"/>
      <c r="F50" s="23"/>
      <c r="G50" s="19"/>
      <c r="H50" s="22"/>
      <c r="I50" s="21"/>
      <c r="J50" s="13"/>
      <c r="K50" s="23"/>
      <c r="L50" s="19" t="s">
        <v>1</v>
      </c>
      <c r="M50" s="22"/>
      <c r="N50" s="21"/>
      <c r="O50" s="13" t="s">
        <v>1</v>
      </c>
      <c r="P50" s="32"/>
    </row>
    <row r="51" spans="1:16" x14ac:dyDescent="0.25">
      <c r="A51" s="3">
        <v>47</v>
      </c>
      <c r="B51" s="19"/>
      <c r="C51" s="20"/>
      <c r="D51" s="21"/>
      <c r="E51" s="13"/>
      <c r="F51" s="23"/>
      <c r="G51" s="19"/>
      <c r="H51" s="22"/>
      <c r="I51" s="21"/>
      <c r="J51" s="13"/>
      <c r="K51" s="23"/>
      <c r="L51" s="19" t="s">
        <v>1</v>
      </c>
      <c r="M51" s="22"/>
      <c r="N51" s="21"/>
      <c r="O51" s="13" t="s">
        <v>1</v>
      </c>
      <c r="P51" s="32"/>
    </row>
    <row r="52" spans="1:16" x14ac:dyDescent="0.25">
      <c r="A52" s="3">
        <v>48</v>
      </c>
      <c r="B52" s="19"/>
      <c r="C52" s="20"/>
      <c r="D52" s="21"/>
      <c r="E52" s="13"/>
      <c r="F52" s="23"/>
      <c r="G52" s="19"/>
      <c r="H52" s="22"/>
      <c r="I52" s="21"/>
      <c r="J52" s="13"/>
      <c r="K52" s="23"/>
      <c r="L52" s="19" t="s">
        <v>1</v>
      </c>
      <c r="M52" s="22"/>
      <c r="N52" s="24"/>
      <c r="O52" s="13" t="s">
        <v>1</v>
      </c>
      <c r="P52" s="32"/>
    </row>
    <row r="53" spans="1:16" x14ac:dyDescent="0.25">
      <c r="A53" s="3">
        <v>49</v>
      </c>
      <c r="B53" s="19"/>
      <c r="C53" s="20"/>
      <c r="D53" s="21"/>
      <c r="E53" s="13"/>
      <c r="F53" s="23"/>
      <c r="G53" s="19"/>
      <c r="H53" s="22"/>
      <c r="I53" s="21"/>
      <c r="J53" s="13"/>
      <c r="K53" s="23"/>
      <c r="L53" s="19" t="s">
        <v>1</v>
      </c>
      <c r="M53" s="22"/>
      <c r="N53" s="21"/>
      <c r="O53" s="13" t="s">
        <v>1</v>
      </c>
      <c r="P53" s="32"/>
    </row>
    <row r="54" spans="1:16" x14ac:dyDescent="0.25">
      <c r="A54" s="3">
        <v>50</v>
      </c>
      <c r="B54" s="19"/>
      <c r="C54" s="20"/>
      <c r="D54" s="21"/>
      <c r="E54" s="13"/>
      <c r="F54" s="23"/>
      <c r="G54" s="19"/>
      <c r="H54" s="22"/>
      <c r="I54" s="21"/>
      <c r="J54" s="13"/>
      <c r="K54" s="23"/>
      <c r="L54" s="19" t="s">
        <v>1</v>
      </c>
      <c r="M54" s="22"/>
      <c r="N54" s="21"/>
      <c r="O54" s="13" t="s">
        <v>1</v>
      </c>
      <c r="P54" s="32"/>
    </row>
    <row r="55" spans="1:16" x14ac:dyDescent="0.25">
      <c r="A55" s="3">
        <v>51</v>
      </c>
      <c r="B55" s="19"/>
      <c r="C55" s="20"/>
      <c r="D55" s="21"/>
      <c r="E55" s="13"/>
      <c r="F55" s="23"/>
      <c r="G55" s="19"/>
      <c r="H55" s="22"/>
      <c r="I55" s="21"/>
      <c r="J55" s="13"/>
      <c r="K55" s="23"/>
      <c r="L55" s="19" t="s">
        <v>1</v>
      </c>
      <c r="M55" s="22"/>
      <c r="N55" s="21"/>
      <c r="O55" s="13" t="s">
        <v>1</v>
      </c>
      <c r="P55" s="32"/>
    </row>
    <row r="56" spans="1:16" ht="15.75" thickBot="1" x14ac:dyDescent="0.3">
      <c r="A56" s="4">
        <v>52</v>
      </c>
      <c r="B56" s="25"/>
      <c r="C56" s="26"/>
      <c r="D56" s="39"/>
      <c r="E56" s="34"/>
      <c r="F56" s="40"/>
      <c r="G56" s="25"/>
      <c r="H56" s="27"/>
      <c r="I56" s="39"/>
      <c r="J56" s="34"/>
      <c r="K56" s="40"/>
      <c r="L56" s="19" t="s">
        <v>1</v>
      </c>
      <c r="M56" s="4" t="s">
        <v>1</v>
      </c>
      <c r="N56" s="33" t="s">
        <v>1</v>
      </c>
      <c r="O56" s="34"/>
      <c r="P56" s="35"/>
    </row>
    <row r="57" spans="1:16" ht="15.75" thickTop="1" x14ac:dyDescent="0.25">
      <c r="B57" s="9"/>
      <c r="C57" s="9"/>
      <c r="G57" s="9"/>
      <c r="H57" s="9"/>
      <c r="L57" s="9"/>
      <c r="M57" s="9"/>
    </row>
    <row r="60" spans="1:16" x14ac:dyDescent="0.25">
      <c r="F60" s="12"/>
    </row>
    <row r="63" spans="1:16" x14ac:dyDescent="0.25">
      <c r="C63" s="95" t="s">
        <v>25</v>
      </c>
      <c r="D63" s="96" t="s">
        <v>26</v>
      </c>
      <c r="E63" s="97" t="s">
        <v>27</v>
      </c>
      <c r="F63" s="98" t="s">
        <v>28</v>
      </c>
      <c r="G63" s="98"/>
      <c r="H63" s="98"/>
      <c r="I63" s="98"/>
      <c r="J63" s="98"/>
    </row>
    <row r="64" spans="1:16" x14ac:dyDescent="0.25">
      <c r="C64" s="95"/>
      <c r="D64" s="96"/>
      <c r="E64" s="97"/>
      <c r="F64" s="96" t="s">
        <v>29</v>
      </c>
      <c r="G64" s="96"/>
      <c r="H64" s="96"/>
      <c r="I64" s="44" t="s">
        <v>33</v>
      </c>
      <c r="J64" s="96" t="s">
        <v>35</v>
      </c>
    </row>
    <row r="65" spans="3:10" ht="25.5" x14ac:dyDescent="0.25">
      <c r="C65" s="95"/>
      <c r="D65" s="96"/>
      <c r="E65" s="97"/>
      <c r="F65" s="51" t="s">
        <v>30</v>
      </c>
      <c r="G65" s="51" t="s">
        <v>31</v>
      </c>
      <c r="H65" s="44" t="s">
        <v>32</v>
      </c>
      <c r="I65" s="51" t="s">
        <v>34</v>
      </c>
      <c r="J65" s="96"/>
    </row>
    <row r="66" spans="3:10" ht="15.75" x14ac:dyDescent="0.25">
      <c r="C66" s="44">
        <v>9</v>
      </c>
      <c r="D66" s="44" t="s">
        <v>14</v>
      </c>
      <c r="E66" s="44" t="s">
        <v>23</v>
      </c>
      <c r="F66" s="45"/>
      <c r="G66" s="45"/>
      <c r="H66" s="44">
        <v>8633</v>
      </c>
      <c r="I66" s="50">
        <v>15682.3</v>
      </c>
      <c r="J66" s="50">
        <v>24315.3</v>
      </c>
    </row>
    <row r="67" spans="3:10" ht="51.75" x14ac:dyDescent="0.25">
      <c r="C67" s="46">
        <v>10</v>
      </c>
      <c r="D67" s="47" t="s">
        <v>15</v>
      </c>
      <c r="E67" s="44" t="s">
        <v>23</v>
      </c>
      <c r="F67" s="45"/>
      <c r="G67" s="45"/>
      <c r="H67" s="44">
        <v>9215.2000000000007</v>
      </c>
      <c r="I67" s="50">
        <v>15682.3</v>
      </c>
      <c r="J67" s="50">
        <v>24897.5</v>
      </c>
    </row>
    <row r="68" spans="3:10" ht="26.25" x14ac:dyDescent="0.25">
      <c r="C68" s="46">
        <v>11</v>
      </c>
      <c r="D68" s="47" t="s">
        <v>16</v>
      </c>
      <c r="E68" s="96" t="s">
        <v>22</v>
      </c>
      <c r="F68" s="44">
        <v>82</v>
      </c>
      <c r="G68" s="44">
        <v>77</v>
      </c>
      <c r="H68" s="44">
        <v>159</v>
      </c>
      <c r="I68" s="44">
        <v>270</v>
      </c>
      <c r="J68" s="48">
        <v>429</v>
      </c>
    </row>
    <row r="69" spans="3:10" x14ac:dyDescent="0.25">
      <c r="C69" s="46" t="s">
        <v>10</v>
      </c>
      <c r="D69" s="44" t="s">
        <v>17</v>
      </c>
      <c r="E69" s="96"/>
      <c r="F69" s="44">
        <v>60</v>
      </c>
      <c r="G69" s="44">
        <v>38</v>
      </c>
      <c r="H69" s="44">
        <v>98</v>
      </c>
      <c r="I69" s="44">
        <v>128</v>
      </c>
      <c r="J69" s="48">
        <v>226</v>
      </c>
    </row>
    <row r="70" spans="3:10" x14ac:dyDescent="0.25">
      <c r="C70" s="46" t="s">
        <v>11</v>
      </c>
      <c r="D70" s="44" t="s">
        <v>18</v>
      </c>
      <c r="E70" s="96"/>
      <c r="F70" s="49" t="s">
        <v>1</v>
      </c>
      <c r="G70" s="44">
        <v>39</v>
      </c>
      <c r="H70" s="44">
        <v>39</v>
      </c>
      <c r="I70" s="44">
        <v>48</v>
      </c>
      <c r="J70" s="44">
        <v>87</v>
      </c>
    </row>
    <row r="71" spans="3:10" x14ac:dyDescent="0.25">
      <c r="C71" s="46" t="s">
        <v>12</v>
      </c>
      <c r="D71" s="44" t="s">
        <v>19</v>
      </c>
      <c r="E71" s="96"/>
      <c r="F71" s="44">
        <v>16</v>
      </c>
      <c r="G71" s="44" t="s">
        <v>1</v>
      </c>
      <c r="H71" s="44">
        <v>16</v>
      </c>
      <c r="I71" s="44">
        <v>39</v>
      </c>
      <c r="J71" s="44">
        <v>55</v>
      </c>
    </row>
    <row r="72" spans="3:10" x14ac:dyDescent="0.25">
      <c r="C72" s="46" t="s">
        <v>13</v>
      </c>
      <c r="D72" s="47" t="s">
        <v>20</v>
      </c>
      <c r="E72" s="96"/>
      <c r="F72" s="44">
        <v>6</v>
      </c>
      <c r="G72" s="49" t="s">
        <v>1</v>
      </c>
      <c r="H72" s="44">
        <v>6</v>
      </c>
      <c r="I72" s="44">
        <v>55</v>
      </c>
      <c r="J72" s="44">
        <v>61</v>
      </c>
    </row>
    <row r="73" spans="3:10" ht="51.75" x14ac:dyDescent="0.25">
      <c r="C73" s="46">
        <v>12</v>
      </c>
      <c r="D73" s="47" t="s">
        <v>21</v>
      </c>
      <c r="E73" s="44" t="s">
        <v>22</v>
      </c>
      <c r="F73" s="45"/>
      <c r="G73" s="45"/>
      <c r="H73" s="44">
        <v>72</v>
      </c>
      <c r="I73" s="44">
        <v>124</v>
      </c>
      <c r="J73" s="48">
        <v>196</v>
      </c>
    </row>
    <row r="74" spans="3:10" x14ac:dyDescent="0.25">
      <c r="C74" s="46">
        <v>13</v>
      </c>
      <c r="D74" s="13" t="s">
        <v>81</v>
      </c>
      <c r="E74" s="13" t="s">
        <v>82</v>
      </c>
      <c r="F74" s="13">
        <f>870.8 /2</f>
        <v>435.4</v>
      </c>
      <c r="G74" s="13">
        <f>870.8 /2</f>
        <v>435.4</v>
      </c>
      <c r="H74" s="13">
        <f>F74+G74</f>
        <v>870.8</v>
      </c>
      <c r="I74" s="13">
        <v>800.79</v>
      </c>
      <c r="J74" s="13">
        <f>H74+I74</f>
        <v>1671.59</v>
      </c>
    </row>
    <row r="76" spans="3:10" x14ac:dyDescent="0.25">
      <c r="C76" s="1" t="s">
        <v>79</v>
      </c>
    </row>
    <row r="77" spans="3:10" x14ac:dyDescent="0.25">
      <c r="C77" s="1" t="s">
        <v>80</v>
      </c>
    </row>
    <row r="78" spans="3:10" x14ac:dyDescent="0.25">
      <c r="C78" s="1" t="s">
        <v>83</v>
      </c>
      <c r="G78" s="13"/>
      <c r="H78" s="99" t="s">
        <v>85</v>
      </c>
      <c r="I78" s="100"/>
      <c r="J78" s="101"/>
    </row>
    <row r="79" spans="3:10" ht="45" x14ac:dyDescent="0.25">
      <c r="C79" s="1" t="s">
        <v>86</v>
      </c>
      <c r="G79" s="93" t="s">
        <v>84</v>
      </c>
      <c r="H79" s="51" t="s">
        <v>30</v>
      </c>
      <c r="I79" s="51" t="s">
        <v>31</v>
      </c>
      <c r="J79" s="51" t="s">
        <v>34</v>
      </c>
    </row>
    <row r="80" spans="3:10" x14ac:dyDescent="0.25">
      <c r="C80" s="1" t="s">
        <v>87</v>
      </c>
      <c r="G80" s="94">
        <v>1700</v>
      </c>
      <c r="H80" s="94">
        <v>16</v>
      </c>
      <c r="I80" s="94">
        <f>13+1</f>
        <v>14</v>
      </c>
      <c r="J80" s="94"/>
    </row>
    <row r="81" spans="3:10" x14ac:dyDescent="0.25">
      <c r="C81" s="1" t="s">
        <v>88</v>
      </c>
      <c r="G81" s="94">
        <v>1850</v>
      </c>
      <c r="H81" s="94">
        <v>238</v>
      </c>
      <c r="I81" s="94">
        <f>129+25</f>
        <v>154</v>
      </c>
      <c r="J81" s="94"/>
    </row>
    <row r="82" spans="3:10" x14ac:dyDescent="0.25">
      <c r="G82" s="94">
        <v>2200</v>
      </c>
      <c r="H82" s="94"/>
      <c r="I82" s="94"/>
      <c r="J82" s="94">
        <v>929</v>
      </c>
    </row>
    <row r="83" spans="3:10" x14ac:dyDescent="0.25">
      <c r="G83" s="94">
        <v>3040</v>
      </c>
      <c r="H83" s="94"/>
      <c r="I83" s="94">
        <v>28</v>
      </c>
      <c r="J83" s="94"/>
    </row>
    <row r="84" spans="3:10" x14ac:dyDescent="0.25">
      <c r="G84" s="94">
        <v>840</v>
      </c>
      <c r="H84" s="94">
        <v>66</v>
      </c>
      <c r="I84" s="94">
        <v>84</v>
      </c>
      <c r="J84" s="94"/>
    </row>
    <row r="85" spans="3:10" x14ac:dyDescent="0.25">
      <c r="G85" s="94" t="s">
        <v>72</v>
      </c>
      <c r="H85" s="94"/>
      <c r="I85" s="94">
        <v>42</v>
      </c>
      <c r="J85" s="94">
        <v>63</v>
      </c>
    </row>
    <row r="86" spans="3:10" x14ac:dyDescent="0.25">
      <c r="G86" s="94"/>
      <c r="H86" s="94"/>
      <c r="I86" s="94"/>
      <c r="J86" s="94"/>
    </row>
    <row r="87" spans="3:10" x14ac:dyDescent="0.25">
      <c r="G87" s="94" t="s">
        <v>78</v>
      </c>
      <c r="H87" s="94">
        <f>SUM(H80:H84)</f>
        <v>320</v>
      </c>
      <c r="I87" s="94">
        <f>SUM(I80:I85)</f>
        <v>322</v>
      </c>
      <c r="J87" s="94">
        <f>SUM(J80:J85)</f>
        <v>992</v>
      </c>
    </row>
  </sheetData>
  <mergeCells count="15">
    <mergeCell ref="E68:E72"/>
    <mergeCell ref="V3:X3"/>
    <mergeCell ref="Y3:AB3"/>
    <mergeCell ref="H78:J78"/>
    <mergeCell ref="C63:C65"/>
    <mergeCell ref="D63:D65"/>
    <mergeCell ref="E63:E65"/>
    <mergeCell ref="F63:J63"/>
    <mergeCell ref="F64:H64"/>
    <mergeCell ref="J64:J65"/>
    <mergeCell ref="A3:A4"/>
    <mergeCell ref="B3:F3"/>
    <mergeCell ref="G3:K3"/>
    <mergeCell ref="L3:P3"/>
    <mergeCell ref="S3:U3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D13D-F5F6-441F-953F-4E4E028656E2}">
  <dimension ref="A1:L11"/>
  <sheetViews>
    <sheetView workbookViewId="0">
      <selection activeCell="D6" sqref="D6:D10"/>
    </sheetView>
  </sheetViews>
  <sheetFormatPr defaultRowHeight="15" x14ac:dyDescent="0.25"/>
  <cols>
    <col min="2" max="2" width="18.5703125" customWidth="1"/>
  </cols>
  <sheetData>
    <row r="1" spans="1:12" x14ac:dyDescent="0.25">
      <c r="A1" s="70" t="s">
        <v>25</v>
      </c>
      <c r="B1" s="67" t="s">
        <v>26</v>
      </c>
      <c r="C1" s="73" t="s">
        <v>27</v>
      </c>
      <c r="D1" s="76" t="s">
        <v>28</v>
      </c>
      <c r="E1" s="77"/>
      <c r="F1" s="77"/>
      <c r="G1" s="77"/>
      <c r="H1" s="78"/>
    </row>
    <row r="2" spans="1:12" x14ac:dyDescent="0.25">
      <c r="A2" s="71"/>
      <c r="B2" s="68"/>
      <c r="C2" s="74"/>
      <c r="D2" s="79" t="s">
        <v>29</v>
      </c>
      <c r="E2" s="80"/>
      <c r="F2" s="81"/>
      <c r="G2" s="44" t="s">
        <v>33</v>
      </c>
      <c r="H2" s="67" t="s">
        <v>35</v>
      </c>
    </row>
    <row r="3" spans="1:12" ht="25.5" x14ac:dyDescent="0.25">
      <c r="A3" s="72"/>
      <c r="B3" s="69"/>
      <c r="C3" s="75"/>
      <c r="D3" s="51" t="s">
        <v>30</v>
      </c>
      <c r="E3" s="51" t="s">
        <v>31</v>
      </c>
      <c r="F3" s="44" t="s">
        <v>32</v>
      </c>
      <c r="G3" s="51" t="s">
        <v>34</v>
      </c>
      <c r="H3" s="69"/>
    </row>
    <row r="4" spans="1:12" ht="15.75" x14ac:dyDescent="0.25">
      <c r="A4" s="44">
        <v>9</v>
      </c>
      <c r="B4" s="44" t="s">
        <v>14</v>
      </c>
      <c r="C4" s="44" t="s">
        <v>23</v>
      </c>
      <c r="D4" s="45"/>
      <c r="E4" s="45"/>
      <c r="F4" s="44">
        <v>8633</v>
      </c>
      <c r="G4" s="50">
        <v>15682.3</v>
      </c>
      <c r="H4" s="50">
        <v>24315.3</v>
      </c>
    </row>
    <row r="5" spans="1:12" ht="51.75" x14ac:dyDescent="0.25">
      <c r="A5" s="46">
        <v>10</v>
      </c>
      <c r="B5" s="47" t="s">
        <v>15</v>
      </c>
      <c r="C5" s="44" t="s">
        <v>23</v>
      </c>
      <c r="D5" s="45"/>
      <c r="E5" s="45"/>
      <c r="F5" s="44">
        <v>9215.2000000000007</v>
      </c>
      <c r="G5" s="50">
        <v>15682.3</v>
      </c>
      <c r="H5" s="50">
        <v>24897.5</v>
      </c>
      <c r="L5" t="s">
        <v>24</v>
      </c>
    </row>
    <row r="6" spans="1:12" x14ac:dyDescent="0.25">
      <c r="A6" s="46">
        <v>11</v>
      </c>
      <c r="B6" s="47" t="s">
        <v>16</v>
      </c>
      <c r="C6" s="67" t="s">
        <v>22</v>
      </c>
      <c r="D6" s="44">
        <v>82</v>
      </c>
      <c r="E6" s="44">
        <v>77</v>
      </c>
      <c r="F6" s="44">
        <v>159</v>
      </c>
      <c r="G6" s="44">
        <v>270</v>
      </c>
      <c r="H6" s="48">
        <v>429</v>
      </c>
    </row>
    <row r="7" spans="1:12" x14ac:dyDescent="0.25">
      <c r="A7" s="46" t="s">
        <v>10</v>
      </c>
      <c r="B7" s="44" t="s">
        <v>17</v>
      </c>
      <c r="C7" s="68"/>
      <c r="D7" s="44">
        <v>60</v>
      </c>
      <c r="E7" s="44">
        <v>38</v>
      </c>
      <c r="F7" s="44">
        <v>98</v>
      </c>
      <c r="G7" s="44">
        <v>128</v>
      </c>
      <c r="H7" s="48">
        <v>226</v>
      </c>
    </row>
    <row r="8" spans="1:12" x14ac:dyDescent="0.25">
      <c r="A8" s="46" t="s">
        <v>11</v>
      </c>
      <c r="B8" s="44" t="s">
        <v>18</v>
      </c>
      <c r="C8" s="68"/>
      <c r="D8" s="49" t="s">
        <v>1</v>
      </c>
      <c r="E8" s="44">
        <v>39</v>
      </c>
      <c r="F8" s="44">
        <v>39</v>
      </c>
      <c r="G8" s="44">
        <v>48</v>
      </c>
      <c r="H8" s="44">
        <v>87</v>
      </c>
    </row>
    <row r="9" spans="1:12" x14ac:dyDescent="0.25">
      <c r="A9" s="46" t="s">
        <v>12</v>
      </c>
      <c r="B9" s="44" t="s">
        <v>19</v>
      </c>
      <c r="C9" s="68"/>
      <c r="D9" s="44">
        <v>16</v>
      </c>
      <c r="E9" s="44" t="s">
        <v>1</v>
      </c>
      <c r="F9" s="44">
        <v>16</v>
      </c>
      <c r="G9" s="44">
        <v>39</v>
      </c>
      <c r="H9" s="44">
        <v>55</v>
      </c>
    </row>
    <row r="10" spans="1:12" x14ac:dyDescent="0.25">
      <c r="A10" s="46" t="s">
        <v>13</v>
      </c>
      <c r="B10" s="47" t="s">
        <v>20</v>
      </c>
      <c r="C10" s="69"/>
      <c r="D10" s="44">
        <v>6</v>
      </c>
      <c r="E10" s="49" t="s">
        <v>1</v>
      </c>
      <c r="F10" s="44">
        <v>6</v>
      </c>
      <c r="G10" s="44">
        <v>55</v>
      </c>
      <c r="H10" s="44">
        <v>61</v>
      </c>
    </row>
    <row r="11" spans="1:12" ht="51.75" x14ac:dyDescent="0.25">
      <c r="A11" s="46">
        <v>12</v>
      </c>
      <c r="B11" s="47" t="s">
        <v>21</v>
      </c>
      <c r="C11" s="44" t="s">
        <v>22</v>
      </c>
      <c r="D11" s="45"/>
      <c r="E11" s="45"/>
      <c r="F11" s="44">
        <v>72</v>
      </c>
      <c r="G11" s="44">
        <v>124</v>
      </c>
      <c r="H11" s="48">
        <v>196</v>
      </c>
    </row>
  </sheetData>
  <mergeCells count="7">
    <mergeCell ref="C6:C10"/>
    <mergeCell ref="A1:A3"/>
    <mergeCell ref="B1:B3"/>
    <mergeCell ref="C1:C3"/>
    <mergeCell ref="D1:H1"/>
    <mergeCell ref="D2:F2"/>
    <mergeCell ref="H2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4619-BF71-49EB-83A7-236923BC70BA}">
  <dimension ref="A1:K26"/>
  <sheetViews>
    <sheetView zoomScale="115" zoomScaleNormal="115" workbookViewId="0">
      <selection activeCell="H19" sqref="H19"/>
    </sheetView>
  </sheetViews>
  <sheetFormatPr defaultRowHeight="15" x14ac:dyDescent="0.25"/>
  <cols>
    <col min="1" max="1" width="18.5703125" style="53" bestFit="1" customWidth="1"/>
    <col min="2" max="2" width="9.140625" style="53"/>
    <col min="3" max="3" width="14.140625" style="53" bestFit="1" customWidth="1"/>
    <col min="4" max="4" width="9.140625" style="53"/>
    <col min="5" max="5" width="14.140625" style="53" bestFit="1" customWidth="1"/>
    <col min="6" max="9" width="9.140625" style="53"/>
    <col min="10" max="11" width="14.85546875" style="53" bestFit="1" customWidth="1"/>
    <col min="12" max="16384" width="9.140625" style="53"/>
  </cols>
  <sheetData>
    <row r="1" spans="1:11" x14ac:dyDescent="0.25">
      <c r="A1" s="54" t="s">
        <v>46</v>
      </c>
      <c r="B1" s="54" t="s">
        <v>45</v>
      </c>
      <c r="C1" s="54" t="s">
        <v>43</v>
      </c>
      <c r="D1" s="54" t="s">
        <v>44</v>
      </c>
      <c r="E1" s="54" t="s">
        <v>43</v>
      </c>
      <c r="F1" s="54" t="s">
        <v>42</v>
      </c>
    </row>
    <row r="2" spans="1:11" x14ac:dyDescent="0.25">
      <c r="A2" s="53" t="s">
        <v>41</v>
      </c>
      <c r="B2" s="53">
        <v>46</v>
      </c>
      <c r="C2" s="53">
        <v>2</v>
      </c>
      <c r="D2" s="53">
        <v>86</v>
      </c>
      <c r="E2" s="53">
        <v>2</v>
      </c>
      <c r="F2" s="53">
        <f>(B2*C2)+(D2*E2)</f>
        <v>264</v>
      </c>
      <c r="I2" s="53" t="s">
        <v>40</v>
      </c>
      <c r="J2" s="53" t="s">
        <v>39</v>
      </c>
      <c r="K2" s="53" t="s">
        <v>39</v>
      </c>
    </row>
    <row r="3" spans="1:11" x14ac:dyDescent="0.25">
      <c r="I3" s="53">
        <v>2</v>
      </c>
      <c r="J3" s="53">
        <v>9</v>
      </c>
      <c r="K3" s="53">
        <v>9</v>
      </c>
    </row>
    <row r="4" spans="1:11" x14ac:dyDescent="0.25">
      <c r="A4" s="53" t="s">
        <v>38</v>
      </c>
      <c r="B4" s="53">
        <v>4</v>
      </c>
      <c r="I4" s="53">
        <v>3</v>
      </c>
      <c r="J4" s="53">
        <v>9</v>
      </c>
      <c r="K4" s="53">
        <v>9</v>
      </c>
    </row>
    <row r="5" spans="1:11" x14ac:dyDescent="0.25">
      <c r="I5" s="53">
        <v>4</v>
      </c>
      <c r="J5" s="53">
        <v>9</v>
      </c>
      <c r="K5" s="53">
        <v>9</v>
      </c>
    </row>
    <row r="6" spans="1:11" x14ac:dyDescent="0.25">
      <c r="A6" s="53" t="s">
        <v>37</v>
      </c>
      <c r="B6" s="53">
        <v>429</v>
      </c>
      <c r="C6" s="53">
        <v>24</v>
      </c>
      <c r="D6" s="53">
        <f>B6/C6</f>
        <v>17.875</v>
      </c>
      <c r="F6" s="53">
        <v>18</v>
      </c>
      <c r="I6" s="53">
        <v>5</v>
      </c>
      <c r="J6" s="53">
        <v>9</v>
      </c>
      <c r="K6" s="53">
        <v>9</v>
      </c>
    </row>
    <row r="7" spans="1:11" x14ac:dyDescent="0.25">
      <c r="I7" s="53">
        <v>6</v>
      </c>
      <c r="J7" s="53">
        <v>9</v>
      </c>
      <c r="K7" s="53">
        <v>9</v>
      </c>
    </row>
    <row r="8" spans="1:11" x14ac:dyDescent="0.25">
      <c r="A8" s="53" t="s">
        <v>36</v>
      </c>
      <c r="B8" s="53">
        <f>16*25</f>
        <v>400</v>
      </c>
      <c r="I8" s="53">
        <v>7</v>
      </c>
      <c r="J8" s="53">
        <v>9</v>
      </c>
      <c r="K8" s="53">
        <v>9</v>
      </c>
    </row>
    <row r="9" spans="1:11" x14ac:dyDescent="0.25">
      <c r="B9" s="53">
        <f>1.5*B6</f>
        <v>643.5</v>
      </c>
      <c r="I9" s="53">
        <v>8</v>
      </c>
      <c r="J9" s="53">
        <v>9</v>
      </c>
      <c r="K9" s="53">
        <v>9</v>
      </c>
    </row>
    <row r="10" spans="1:11" x14ac:dyDescent="0.25">
      <c r="B10" s="53">
        <f>SUM(B8:B9)</f>
        <v>1043.5</v>
      </c>
      <c r="C10" s="53">
        <v>0.2</v>
      </c>
      <c r="D10" s="53">
        <f>B10*C10</f>
        <v>208.70000000000002</v>
      </c>
      <c r="E10" s="54">
        <f>B10+D10</f>
        <v>1252.2</v>
      </c>
      <c r="I10" s="53">
        <v>9</v>
      </c>
      <c r="J10" s="53">
        <v>9</v>
      </c>
      <c r="K10" s="53">
        <v>9</v>
      </c>
    </row>
    <row r="11" spans="1:11" x14ac:dyDescent="0.25">
      <c r="I11" s="53">
        <v>10</v>
      </c>
      <c r="J11" s="53">
        <v>9</v>
      </c>
      <c r="K11" s="53">
        <v>9</v>
      </c>
    </row>
    <row r="12" spans="1:11" x14ac:dyDescent="0.25">
      <c r="I12" s="53">
        <v>11</v>
      </c>
      <c r="J12" s="53">
        <v>9</v>
      </c>
      <c r="K12" s="53">
        <v>9</v>
      </c>
    </row>
    <row r="13" spans="1:11" x14ac:dyDescent="0.25">
      <c r="I13" s="53">
        <v>12</v>
      </c>
      <c r="J13" s="53">
        <v>9</v>
      </c>
      <c r="K13" s="53">
        <v>9</v>
      </c>
    </row>
    <row r="14" spans="1:11" x14ac:dyDescent="0.25">
      <c r="I14" s="53">
        <v>13</v>
      </c>
      <c r="J14" s="53">
        <v>9</v>
      </c>
      <c r="K14" s="53">
        <v>9</v>
      </c>
    </row>
    <row r="15" spans="1:11" x14ac:dyDescent="0.25">
      <c r="I15" s="53">
        <v>14</v>
      </c>
      <c r="J15" s="53">
        <v>9</v>
      </c>
      <c r="K15" s="53">
        <v>9</v>
      </c>
    </row>
    <row r="16" spans="1:11" x14ac:dyDescent="0.25">
      <c r="C16" s="53">
        <f>24*2</f>
        <v>48</v>
      </c>
      <c r="I16" s="53">
        <v>15</v>
      </c>
      <c r="J16" s="53">
        <v>9</v>
      </c>
      <c r="K16" s="53">
        <v>9</v>
      </c>
    </row>
    <row r="17" spans="9:11" x14ac:dyDescent="0.25">
      <c r="I17" s="53">
        <v>16</v>
      </c>
      <c r="J17" s="53">
        <v>9</v>
      </c>
      <c r="K17" s="53">
        <v>9</v>
      </c>
    </row>
    <row r="18" spans="9:11" x14ac:dyDescent="0.25">
      <c r="I18" s="53">
        <v>17</v>
      </c>
      <c r="J18" s="53">
        <v>9</v>
      </c>
      <c r="K18" s="53">
        <v>9</v>
      </c>
    </row>
    <row r="19" spans="9:11" x14ac:dyDescent="0.25">
      <c r="I19" s="53">
        <v>18</v>
      </c>
      <c r="J19" s="53">
        <v>9</v>
      </c>
      <c r="K19" s="53">
        <v>9</v>
      </c>
    </row>
    <row r="20" spans="9:11" x14ac:dyDescent="0.25">
      <c r="I20" s="53">
        <v>19</v>
      </c>
      <c r="J20" s="53">
        <v>9</v>
      </c>
      <c r="K20" s="53">
        <v>9</v>
      </c>
    </row>
    <row r="21" spans="9:11" x14ac:dyDescent="0.25">
      <c r="I21" s="53">
        <v>20</v>
      </c>
      <c r="J21" s="53">
        <v>9</v>
      </c>
      <c r="K21" s="53">
        <v>9</v>
      </c>
    </row>
    <row r="22" spans="9:11" x14ac:dyDescent="0.25">
      <c r="I22" s="53">
        <v>21</v>
      </c>
      <c r="J22" s="53">
        <v>9</v>
      </c>
      <c r="K22" s="53">
        <v>9</v>
      </c>
    </row>
    <row r="23" spans="9:11" x14ac:dyDescent="0.25">
      <c r="I23" s="53">
        <v>22</v>
      </c>
      <c r="J23" s="53">
        <v>9</v>
      </c>
      <c r="K23" s="53">
        <v>9</v>
      </c>
    </row>
    <row r="24" spans="9:11" x14ac:dyDescent="0.25">
      <c r="I24" s="53">
        <v>23</v>
      </c>
      <c r="J24" s="53">
        <v>9</v>
      </c>
      <c r="K24" s="53">
        <v>9</v>
      </c>
    </row>
    <row r="25" spans="9:11" x14ac:dyDescent="0.25">
      <c r="I25" s="53">
        <v>24</v>
      </c>
      <c r="J25" s="53">
        <v>9</v>
      </c>
      <c r="K25" s="53">
        <v>9</v>
      </c>
    </row>
    <row r="26" spans="9:11" x14ac:dyDescent="0.25">
      <c r="I26" s="53">
        <v>25</v>
      </c>
      <c r="J26" s="53">
        <v>8</v>
      </c>
      <c r="K26" s="53">
        <v>7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C979-521B-4114-B06B-57F6AD5C0D07}">
  <dimension ref="A1:L39"/>
  <sheetViews>
    <sheetView topLeftCell="I1" zoomScale="85" zoomScaleNormal="85" workbookViewId="0">
      <selection activeCell="O56" sqref="O56:AY58"/>
    </sheetView>
  </sheetViews>
  <sheetFormatPr defaultRowHeight="15" x14ac:dyDescent="0.25"/>
  <cols>
    <col min="1" max="1" width="25.140625" style="53" bestFit="1" customWidth="1"/>
    <col min="2" max="11" width="9.140625" style="53"/>
    <col min="12" max="12" width="12.5703125" style="53" bestFit="1" customWidth="1"/>
    <col min="13" max="16384" width="9.140625" style="53"/>
  </cols>
  <sheetData>
    <row r="1" spans="1:12" x14ac:dyDescent="0.25">
      <c r="A1" s="54" t="s">
        <v>64</v>
      </c>
      <c r="B1" s="54" t="s">
        <v>63</v>
      </c>
      <c r="C1" s="54" t="s">
        <v>62</v>
      </c>
      <c r="D1" s="54" t="s">
        <v>61</v>
      </c>
    </row>
    <row r="2" spans="1:12" x14ac:dyDescent="0.25">
      <c r="A2" s="53" t="s">
        <v>60</v>
      </c>
      <c r="B2" s="53">
        <v>3</v>
      </c>
      <c r="C2" s="53">
        <v>55</v>
      </c>
      <c r="D2" s="53">
        <f>B2*C2</f>
        <v>165</v>
      </c>
    </row>
    <row r="3" spans="1:12" x14ac:dyDescent="0.25">
      <c r="A3" s="53" t="s">
        <v>60</v>
      </c>
      <c r="B3" s="53">
        <v>2</v>
      </c>
      <c r="C3" s="53">
        <v>49</v>
      </c>
      <c r="D3" s="53">
        <f>B3*C3</f>
        <v>98</v>
      </c>
    </row>
    <row r="4" spans="1:12" x14ac:dyDescent="0.25">
      <c r="A4" s="82" t="s">
        <v>42</v>
      </c>
      <c r="B4" s="82"/>
      <c r="C4" s="82"/>
      <c r="D4" s="54">
        <f>SUM(D2:D3)</f>
        <v>263</v>
      </c>
    </row>
    <row r="5" spans="1:12" x14ac:dyDescent="0.25">
      <c r="A5" s="53" t="s">
        <v>38</v>
      </c>
      <c r="B5" s="53">
        <v>2</v>
      </c>
    </row>
    <row r="6" spans="1:12" x14ac:dyDescent="0.25">
      <c r="A6" s="53" t="s">
        <v>59</v>
      </c>
      <c r="B6" s="53">
        <v>5</v>
      </c>
    </row>
    <row r="7" spans="1:12" x14ac:dyDescent="0.25">
      <c r="A7" s="53" t="s">
        <v>58</v>
      </c>
      <c r="B7" s="53">
        <v>5</v>
      </c>
    </row>
    <row r="9" spans="1:12" x14ac:dyDescent="0.25">
      <c r="A9" s="53" t="s">
        <v>37</v>
      </c>
      <c r="B9" s="53">
        <v>159</v>
      </c>
      <c r="L9" s="56"/>
    </row>
    <row r="10" spans="1:12" x14ac:dyDescent="0.25">
      <c r="L10" s="56"/>
    </row>
    <row r="11" spans="1:12" x14ac:dyDescent="0.25">
      <c r="L11" s="56"/>
    </row>
    <row r="12" spans="1:12" x14ac:dyDescent="0.25">
      <c r="A12" s="53" t="s">
        <v>57</v>
      </c>
      <c r="B12" s="53">
        <f>(16*16)+(16*14)</f>
        <v>480</v>
      </c>
      <c r="L12" s="56"/>
    </row>
    <row r="13" spans="1:12" x14ac:dyDescent="0.25">
      <c r="A13" s="53" t="s">
        <v>57</v>
      </c>
      <c r="B13" s="53">
        <f>1.5*B9</f>
        <v>238.5</v>
      </c>
      <c r="L13" s="56"/>
    </row>
    <row r="14" spans="1:12" x14ac:dyDescent="0.25">
      <c r="A14" s="53" t="s">
        <v>56</v>
      </c>
      <c r="B14" s="53">
        <f>159*9.4</f>
        <v>1494.6000000000001</v>
      </c>
    </row>
    <row r="15" spans="1:12" x14ac:dyDescent="0.25">
      <c r="A15" s="53" t="s">
        <v>56</v>
      </c>
      <c r="B15" s="53">
        <f>4*1.5*159</f>
        <v>954</v>
      </c>
    </row>
    <row r="16" spans="1:12" x14ac:dyDescent="0.25">
      <c r="B16" s="54">
        <f>SUM(B12:B15)</f>
        <v>3167.1000000000004</v>
      </c>
      <c r="C16" s="53">
        <v>0.2</v>
      </c>
      <c r="D16" s="53">
        <f>B16*C16</f>
        <v>633.42000000000007</v>
      </c>
      <c r="E16" s="53">
        <f>B16+D16</f>
        <v>3800.5200000000004</v>
      </c>
    </row>
    <row r="20" spans="1:4" x14ac:dyDescent="0.25">
      <c r="A20" s="83" t="s">
        <v>55</v>
      </c>
      <c r="B20" s="83"/>
      <c r="C20" s="83"/>
      <c r="D20" s="83"/>
    </row>
    <row r="21" spans="1:4" x14ac:dyDescent="0.25">
      <c r="C21" s="53" t="s">
        <v>54</v>
      </c>
      <c r="D21" s="53" t="s">
        <v>53</v>
      </c>
    </row>
    <row r="22" spans="1:4" x14ac:dyDescent="0.25">
      <c r="A22" s="53" t="s">
        <v>49</v>
      </c>
      <c r="B22" s="53">
        <v>159</v>
      </c>
      <c r="C22" s="53">
        <v>1</v>
      </c>
      <c r="D22" s="55"/>
    </row>
    <row r="23" spans="1:4" x14ac:dyDescent="0.25">
      <c r="A23" s="53" t="s">
        <v>48</v>
      </c>
      <c r="B23" s="53">
        <v>159</v>
      </c>
      <c r="C23" s="53">
        <v>1</v>
      </c>
      <c r="D23" s="53">
        <v>1</v>
      </c>
    </row>
    <row r="24" spans="1:4" x14ac:dyDescent="0.25">
      <c r="A24" s="53" t="s">
        <v>52</v>
      </c>
      <c r="B24" s="53">
        <v>159</v>
      </c>
      <c r="C24" s="53">
        <v>1</v>
      </c>
      <c r="D24" s="55"/>
    </row>
    <row r="25" spans="1:4" x14ac:dyDescent="0.25">
      <c r="A25" s="53" t="s">
        <v>51</v>
      </c>
      <c r="B25" s="53">
        <v>159</v>
      </c>
      <c r="C25" s="53">
        <v>1</v>
      </c>
      <c r="D25" s="53">
        <v>1</v>
      </c>
    </row>
    <row r="26" spans="1:4" x14ac:dyDescent="0.25">
      <c r="A26" s="53" t="s">
        <v>50</v>
      </c>
      <c r="B26" s="53">
        <v>159</v>
      </c>
      <c r="C26" s="53">
        <v>1</v>
      </c>
      <c r="D26" s="53">
        <v>1</v>
      </c>
    </row>
    <row r="27" spans="1:4" x14ac:dyDescent="0.25">
      <c r="A27" s="53" t="s">
        <v>49</v>
      </c>
      <c r="B27" s="53">
        <v>27</v>
      </c>
      <c r="C27" s="53">
        <v>1</v>
      </c>
      <c r="D27" s="55"/>
    </row>
    <row r="28" spans="1:4" x14ac:dyDescent="0.25">
      <c r="A28" s="53" t="s">
        <v>48</v>
      </c>
      <c r="B28" s="53">
        <v>27</v>
      </c>
      <c r="C28" s="53">
        <v>1</v>
      </c>
      <c r="D28" s="53">
        <v>1</v>
      </c>
    </row>
    <row r="33" spans="1:3" x14ac:dyDescent="0.25">
      <c r="A33" s="83" t="s">
        <v>47</v>
      </c>
      <c r="B33" s="83"/>
      <c r="C33" s="83"/>
    </row>
    <row r="34" spans="1:3" x14ac:dyDescent="0.25">
      <c r="A34" s="53">
        <v>2448.6</v>
      </c>
      <c r="B34" s="53">
        <v>580</v>
      </c>
      <c r="C34" s="53">
        <f>A34*B34</f>
        <v>1420188</v>
      </c>
    </row>
    <row r="35" spans="1:3" x14ac:dyDescent="0.25">
      <c r="A35" s="53">
        <v>2448.6</v>
      </c>
      <c r="B35" s="53">
        <v>657.47</v>
      </c>
      <c r="C35" s="53">
        <f>A35*B35</f>
        <v>1609881.0419999999</v>
      </c>
    </row>
    <row r="36" spans="1:3" x14ac:dyDescent="0.25">
      <c r="A36" s="53">
        <v>2448.6</v>
      </c>
      <c r="B36" s="53">
        <v>290</v>
      </c>
      <c r="C36" s="53">
        <f>A36*B36</f>
        <v>710094</v>
      </c>
    </row>
    <row r="37" spans="1:3" x14ac:dyDescent="0.25">
      <c r="A37" s="53">
        <v>2448.6</v>
      </c>
      <c r="B37" s="53">
        <v>32</v>
      </c>
      <c r="C37" s="53">
        <f>A37*B37</f>
        <v>78355.199999999997</v>
      </c>
    </row>
    <row r="38" spans="1:3" x14ac:dyDescent="0.25">
      <c r="A38" s="53">
        <v>2448.6</v>
      </c>
      <c r="B38" s="53">
        <v>260</v>
      </c>
      <c r="C38" s="53">
        <f>A38*B38</f>
        <v>636636</v>
      </c>
    </row>
    <row r="39" spans="1:3" x14ac:dyDescent="0.25">
      <c r="C39" s="53">
        <f>SUM(C34:C38)</f>
        <v>4455154.2420000006</v>
      </c>
    </row>
  </sheetData>
  <mergeCells count="3">
    <mergeCell ref="A4:C4"/>
    <mergeCell ref="A20:D20"/>
    <mergeCell ref="A33:C33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8295-73F5-4175-945A-9B6595DCB0D8}">
  <dimension ref="A2:K10"/>
  <sheetViews>
    <sheetView topLeftCell="B1" workbookViewId="0">
      <selection activeCell="B2" sqref="B2:F10"/>
    </sheetView>
  </sheetViews>
  <sheetFormatPr defaultRowHeight="15" x14ac:dyDescent="0.25"/>
  <cols>
    <col min="1" max="1" width="0" hidden="1" customWidth="1"/>
    <col min="13" max="13" width="11.28515625" customWidth="1"/>
  </cols>
  <sheetData>
    <row r="2" spans="1:11" x14ac:dyDescent="0.25">
      <c r="C2" t="s">
        <v>68</v>
      </c>
      <c r="D2" t="s">
        <v>70</v>
      </c>
      <c r="E2" t="s">
        <v>71</v>
      </c>
      <c r="F2" t="s">
        <v>72</v>
      </c>
    </row>
    <row r="3" spans="1:11" x14ac:dyDescent="0.25">
      <c r="A3" t="s">
        <v>65</v>
      </c>
      <c r="B3">
        <v>1700</v>
      </c>
      <c r="C3">
        <v>16</v>
      </c>
      <c r="D3">
        <f>13+1</f>
        <v>14</v>
      </c>
    </row>
    <row r="4" spans="1:11" x14ac:dyDescent="0.25">
      <c r="A4" t="s">
        <v>73</v>
      </c>
      <c r="B4">
        <v>1850</v>
      </c>
      <c r="C4">
        <v>238</v>
      </c>
      <c r="D4">
        <f>129+25</f>
        <v>154</v>
      </c>
    </row>
    <row r="5" spans="1:11" x14ac:dyDescent="0.25">
      <c r="A5" t="s">
        <v>69</v>
      </c>
      <c r="B5">
        <v>2200</v>
      </c>
      <c r="E5">
        <v>929</v>
      </c>
    </row>
    <row r="6" spans="1:11" x14ac:dyDescent="0.25">
      <c r="A6" t="s">
        <v>66</v>
      </c>
      <c r="B6">
        <v>3040</v>
      </c>
      <c r="D6">
        <v>28</v>
      </c>
    </row>
    <row r="7" spans="1:11" ht="27" customHeight="1" x14ac:dyDescent="0.25">
      <c r="A7" t="s">
        <v>67</v>
      </c>
      <c r="B7">
        <v>840</v>
      </c>
      <c r="C7">
        <v>66</v>
      </c>
      <c r="D7">
        <v>84</v>
      </c>
    </row>
    <row r="8" spans="1:11" x14ac:dyDescent="0.25">
      <c r="B8" t="s">
        <v>72</v>
      </c>
      <c r="D8">
        <v>42</v>
      </c>
      <c r="E8">
        <v>63</v>
      </c>
      <c r="K8" s="52"/>
    </row>
    <row r="10" spans="1:11" x14ac:dyDescent="0.25">
      <c r="C10">
        <f>SUM(C3:C7)</f>
        <v>320</v>
      </c>
      <c r="D10">
        <f>SUM(D3:D8)</f>
        <v>322</v>
      </c>
      <c r="E10">
        <f>SUM(E3:E8)</f>
        <v>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корпус 1.3</vt:lpstr>
      <vt:lpstr>реновация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Мозгова</dc:creator>
  <cp:lastModifiedBy>Евгений Казаков</cp:lastModifiedBy>
  <dcterms:created xsi:type="dcterms:W3CDTF">2025-05-22T12:49:05Z</dcterms:created>
  <dcterms:modified xsi:type="dcterms:W3CDTF">2026-03-06T10:39:40Z</dcterms:modified>
</cp:coreProperties>
</file>