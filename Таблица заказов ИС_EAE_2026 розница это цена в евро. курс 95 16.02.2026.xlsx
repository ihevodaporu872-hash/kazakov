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8_{04DB69BD-F9CE-4234-918A-4FB3E7996F67}" xr6:coauthVersionLast="36" xr6:coauthVersionMax="36" xr10:uidLastSave="{00000000-0000-0000-0000-000000000000}"/>
  <bookViews>
    <workbookView xWindow="0" yWindow="0" windowWidth="22260" windowHeight="9192" xr2:uid="{00000000-000D-0000-FFFF-FFFF00000000}"/>
  </bookViews>
  <sheets>
    <sheet name="ВИС-2026" sheetId="1" r:id="rId1"/>
    <sheet name="Шаблон КП" sheetId="2" r:id="rId2"/>
  </sheets>
  <definedNames>
    <definedName name="_xlnm._FilterDatabase" localSheetId="0" hidden="1">'ВИС-2026'!$A$14:$R$2114</definedName>
    <definedName name="_xlnm._FilterDatabase" localSheetId="1" hidden="1">'Шаблон КП'!$A$13:$Q$1096</definedName>
  </definedNames>
  <calcPr calcId="191028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25" i="1" l="1"/>
  <c r="H722" i="2"/>
  <c r="J722" i="2"/>
  <c r="E722" i="2"/>
  <c r="K722" i="2"/>
  <c r="L722" i="2"/>
  <c r="M722" i="2"/>
  <c r="I722" i="2"/>
  <c r="AK725" i="1"/>
  <c r="R725" i="1"/>
  <c r="M725" i="1"/>
  <c r="O725" i="1"/>
  <c r="P725" i="1"/>
  <c r="L725" i="1"/>
  <c r="M727" i="1"/>
  <c r="N727" i="1"/>
  <c r="K727" i="1"/>
  <c r="AK727" i="1"/>
  <c r="R727" i="1"/>
  <c r="N725" i="1"/>
  <c r="L727" i="1"/>
  <c r="O727" i="1"/>
  <c r="P727" i="1"/>
  <c r="E608" i="2"/>
  <c r="F608" i="2"/>
  <c r="E609" i="2"/>
  <c r="F609" i="2"/>
  <c r="E610" i="2"/>
  <c r="F610" i="2"/>
  <c r="E611" i="2"/>
  <c r="F611" i="2"/>
  <c r="E612" i="2"/>
  <c r="F612" i="2"/>
  <c r="E613" i="2"/>
  <c r="F613" i="2"/>
  <c r="E615" i="2"/>
  <c r="F615" i="2"/>
  <c r="E616" i="2"/>
  <c r="F616" i="2"/>
  <c r="E617" i="2"/>
  <c r="F617" i="2"/>
  <c r="E618" i="2"/>
  <c r="F618" i="2"/>
  <c r="H618" i="2"/>
  <c r="J618" i="2"/>
  <c r="E619" i="2"/>
  <c r="F619" i="2"/>
  <c r="E620" i="2"/>
  <c r="F620" i="2"/>
  <c r="E621" i="2"/>
  <c r="F621" i="2"/>
  <c r="E622" i="2"/>
  <c r="F622" i="2"/>
  <c r="E623" i="2"/>
  <c r="F623" i="2"/>
  <c r="E624" i="2"/>
  <c r="F624" i="2"/>
  <c r="E625" i="2"/>
  <c r="F625" i="2"/>
  <c r="E626" i="2"/>
  <c r="F626" i="2"/>
  <c r="H626" i="2"/>
  <c r="I626" i="2"/>
  <c r="E627" i="2"/>
  <c r="F627" i="2"/>
  <c r="E628" i="2"/>
  <c r="F628" i="2"/>
  <c r="E629" i="2"/>
  <c r="F629" i="2"/>
  <c r="E630" i="2"/>
  <c r="F630" i="2"/>
  <c r="E631" i="2"/>
  <c r="F631" i="2"/>
  <c r="E632" i="2"/>
  <c r="F632" i="2"/>
  <c r="E633" i="2"/>
  <c r="F633" i="2"/>
  <c r="E635" i="2"/>
  <c r="F635" i="2"/>
  <c r="E636" i="2"/>
  <c r="F636" i="2"/>
  <c r="E637" i="2"/>
  <c r="F637" i="2"/>
  <c r="E638" i="2"/>
  <c r="F638" i="2"/>
  <c r="E639" i="2"/>
  <c r="F639" i="2"/>
  <c r="E640" i="2"/>
  <c r="F640" i="2"/>
  <c r="E641" i="2"/>
  <c r="F641" i="2"/>
  <c r="F607" i="2"/>
  <c r="E607" i="2"/>
  <c r="E600" i="2"/>
  <c r="F600" i="2"/>
  <c r="E601" i="2"/>
  <c r="F601" i="2"/>
  <c r="E602" i="2"/>
  <c r="F602" i="2"/>
  <c r="E603" i="2"/>
  <c r="F603" i="2"/>
  <c r="E604" i="2"/>
  <c r="F604" i="2"/>
  <c r="E605" i="2"/>
  <c r="F605" i="2"/>
  <c r="F599" i="2"/>
  <c r="E599" i="2"/>
  <c r="F590" i="2"/>
  <c r="F591" i="2"/>
  <c r="F592" i="2"/>
  <c r="F593" i="2"/>
  <c r="F594" i="2"/>
  <c r="F595" i="2"/>
  <c r="F596" i="2"/>
  <c r="F597" i="2"/>
  <c r="F589" i="2"/>
  <c r="F582" i="2"/>
  <c r="F583" i="2"/>
  <c r="F584" i="2"/>
  <c r="F585" i="2"/>
  <c r="F586" i="2"/>
  <c r="F587" i="2"/>
  <c r="F581" i="2"/>
  <c r="F574" i="2"/>
  <c r="F575" i="2"/>
  <c r="F576" i="2"/>
  <c r="F577" i="2"/>
  <c r="F578" i="2"/>
  <c r="F579" i="2"/>
  <c r="F573" i="2"/>
  <c r="F566" i="2"/>
  <c r="F567" i="2"/>
  <c r="F568" i="2"/>
  <c r="F569" i="2"/>
  <c r="F570" i="2"/>
  <c r="F571" i="2"/>
  <c r="F565" i="2"/>
  <c r="F555" i="2"/>
  <c r="F556" i="2"/>
  <c r="F557" i="2"/>
  <c r="F558" i="2"/>
  <c r="F559" i="2"/>
  <c r="F560" i="2"/>
  <c r="F561" i="2"/>
  <c r="F562" i="2"/>
  <c r="F554" i="2"/>
  <c r="F551" i="2"/>
  <c r="E597" i="2"/>
  <c r="E596" i="2"/>
  <c r="E595" i="2"/>
  <c r="E594" i="2"/>
  <c r="E593" i="2"/>
  <c r="E592" i="2"/>
  <c r="E591" i="2"/>
  <c r="E590" i="2"/>
  <c r="E589" i="2"/>
  <c r="E582" i="2"/>
  <c r="E583" i="2"/>
  <c r="E584" i="2"/>
  <c r="E585" i="2"/>
  <c r="E586" i="2"/>
  <c r="E587" i="2"/>
  <c r="E581" i="2"/>
  <c r="E574" i="2"/>
  <c r="E575" i="2"/>
  <c r="E576" i="2"/>
  <c r="E577" i="2"/>
  <c r="E578" i="2"/>
  <c r="E579" i="2"/>
  <c r="E573" i="2"/>
  <c r="E566" i="2"/>
  <c r="E567" i="2"/>
  <c r="E568" i="2"/>
  <c r="E569" i="2"/>
  <c r="E570" i="2"/>
  <c r="E571" i="2"/>
  <c r="E565" i="2"/>
  <c r="E555" i="2"/>
  <c r="E556" i="2"/>
  <c r="E557" i="2"/>
  <c r="E558" i="2"/>
  <c r="E559" i="2"/>
  <c r="E560" i="2"/>
  <c r="E561" i="2"/>
  <c r="E562" i="2"/>
  <c r="E554" i="2"/>
  <c r="E551" i="2"/>
  <c r="M645" i="1"/>
  <c r="O645" i="1"/>
  <c r="P645" i="1"/>
  <c r="K645" i="1"/>
  <c r="L645" i="1"/>
  <c r="M644" i="1"/>
  <c r="O644" i="1"/>
  <c r="P644" i="1"/>
  <c r="K644" i="1"/>
  <c r="AK644" i="1"/>
  <c r="R644" i="1"/>
  <c r="M643" i="1"/>
  <c r="O643" i="1"/>
  <c r="P643" i="1"/>
  <c r="K643" i="1"/>
  <c r="L643" i="1"/>
  <c r="M642" i="1"/>
  <c r="O642" i="1"/>
  <c r="P642" i="1"/>
  <c r="K642" i="1"/>
  <c r="L642" i="1"/>
  <c r="M641" i="1"/>
  <c r="O641" i="1"/>
  <c r="P641" i="1"/>
  <c r="K641" i="1"/>
  <c r="H637" i="2"/>
  <c r="I637" i="2"/>
  <c r="M640" i="1"/>
  <c r="O640" i="1"/>
  <c r="P640" i="1"/>
  <c r="K640" i="1"/>
  <c r="L640" i="1"/>
  <c r="M639" i="1"/>
  <c r="N639" i="1"/>
  <c r="K639" i="1"/>
  <c r="L639" i="1"/>
  <c r="M637" i="1"/>
  <c r="O637" i="1"/>
  <c r="P637" i="1"/>
  <c r="K637" i="1"/>
  <c r="L637" i="1"/>
  <c r="M636" i="1"/>
  <c r="N636" i="1"/>
  <c r="K636" i="1"/>
  <c r="L636" i="1"/>
  <c r="M635" i="1"/>
  <c r="O635" i="1"/>
  <c r="P635" i="1"/>
  <c r="K635" i="1"/>
  <c r="L635" i="1"/>
  <c r="M634" i="1"/>
  <c r="N634" i="1"/>
  <c r="K634" i="1"/>
  <c r="L634" i="1"/>
  <c r="M633" i="1"/>
  <c r="N633" i="1"/>
  <c r="K633" i="1"/>
  <c r="L633" i="1"/>
  <c r="M632" i="1"/>
  <c r="O632" i="1"/>
  <c r="P632" i="1"/>
  <c r="K632" i="1"/>
  <c r="L632" i="1"/>
  <c r="M631" i="1"/>
  <c r="O631" i="1"/>
  <c r="P631" i="1"/>
  <c r="K631" i="1"/>
  <c r="L631" i="1"/>
  <c r="M629" i="1"/>
  <c r="O629" i="1"/>
  <c r="P629" i="1"/>
  <c r="K629" i="1"/>
  <c r="L629" i="1"/>
  <c r="M628" i="1"/>
  <c r="O628" i="1"/>
  <c r="P628" i="1"/>
  <c r="K628" i="1"/>
  <c r="L628" i="1"/>
  <c r="M627" i="1"/>
  <c r="O627" i="1"/>
  <c r="P627" i="1"/>
  <c r="K627" i="1"/>
  <c r="L627" i="1"/>
  <c r="M626" i="1"/>
  <c r="O626" i="1"/>
  <c r="P626" i="1"/>
  <c r="K626" i="1"/>
  <c r="L626" i="1"/>
  <c r="M625" i="1"/>
  <c r="N625" i="1"/>
  <c r="K625" i="1"/>
  <c r="L625" i="1"/>
  <c r="M624" i="1"/>
  <c r="O624" i="1"/>
  <c r="P624" i="1"/>
  <c r="K624" i="1"/>
  <c r="L624" i="1"/>
  <c r="M623" i="1"/>
  <c r="N623" i="1"/>
  <c r="K623" i="1"/>
  <c r="L623" i="1"/>
  <c r="M621" i="1"/>
  <c r="O621" i="1"/>
  <c r="P621" i="1"/>
  <c r="K621" i="1"/>
  <c r="L621" i="1"/>
  <c r="M620" i="1"/>
  <c r="N620" i="1"/>
  <c r="K620" i="1"/>
  <c r="L620" i="1"/>
  <c r="M619" i="1"/>
  <c r="N619" i="1"/>
  <c r="K619" i="1"/>
  <c r="L619" i="1"/>
  <c r="M617" i="1"/>
  <c r="O617" i="1"/>
  <c r="P617" i="1"/>
  <c r="K617" i="1"/>
  <c r="L617" i="1"/>
  <c r="M616" i="1"/>
  <c r="O616" i="1"/>
  <c r="P616" i="1"/>
  <c r="K616" i="1"/>
  <c r="L616" i="1"/>
  <c r="M615" i="1"/>
  <c r="O615" i="1"/>
  <c r="P615" i="1"/>
  <c r="K615" i="1"/>
  <c r="L615" i="1"/>
  <c r="M614" i="1"/>
  <c r="N614" i="1"/>
  <c r="K614" i="1"/>
  <c r="L614" i="1"/>
  <c r="M613" i="1"/>
  <c r="O613" i="1"/>
  <c r="P613" i="1"/>
  <c r="K613" i="1"/>
  <c r="L613" i="1"/>
  <c r="M612" i="1"/>
  <c r="O612" i="1"/>
  <c r="P612" i="1"/>
  <c r="K612" i="1"/>
  <c r="L612" i="1"/>
  <c r="M611" i="1"/>
  <c r="N611" i="1"/>
  <c r="K611" i="1"/>
  <c r="L611" i="1"/>
  <c r="M609" i="1"/>
  <c r="O609" i="1"/>
  <c r="P609" i="1"/>
  <c r="K609" i="1"/>
  <c r="AK609" i="1"/>
  <c r="R609" i="1"/>
  <c r="M608" i="1"/>
  <c r="N608" i="1"/>
  <c r="K608" i="1"/>
  <c r="L608" i="1"/>
  <c r="M607" i="1"/>
  <c r="O607" i="1"/>
  <c r="P607" i="1"/>
  <c r="K607" i="1"/>
  <c r="L607" i="1"/>
  <c r="M606" i="1"/>
  <c r="N606" i="1"/>
  <c r="K606" i="1"/>
  <c r="L606" i="1"/>
  <c r="M605" i="1"/>
  <c r="N605" i="1"/>
  <c r="K605" i="1"/>
  <c r="L605" i="1"/>
  <c r="M604" i="1"/>
  <c r="O604" i="1"/>
  <c r="P604" i="1"/>
  <c r="K604" i="1"/>
  <c r="L604" i="1"/>
  <c r="M603" i="1"/>
  <c r="O603" i="1"/>
  <c r="P603" i="1"/>
  <c r="K603" i="1"/>
  <c r="L603" i="1"/>
  <c r="M601" i="1"/>
  <c r="O601" i="1"/>
  <c r="P601" i="1"/>
  <c r="K601" i="1"/>
  <c r="L601" i="1"/>
  <c r="M600" i="1"/>
  <c r="O600" i="1"/>
  <c r="P600" i="1"/>
  <c r="K600" i="1"/>
  <c r="L600" i="1"/>
  <c r="M599" i="1"/>
  <c r="O599" i="1"/>
  <c r="P599" i="1"/>
  <c r="K599" i="1"/>
  <c r="L599" i="1"/>
  <c r="M598" i="1"/>
  <c r="O598" i="1"/>
  <c r="P598" i="1"/>
  <c r="K598" i="1"/>
  <c r="L598" i="1"/>
  <c r="M597" i="1"/>
  <c r="N597" i="1"/>
  <c r="K597" i="1"/>
  <c r="L597" i="1"/>
  <c r="M596" i="1"/>
  <c r="O596" i="1"/>
  <c r="P596" i="1"/>
  <c r="K596" i="1"/>
  <c r="L596" i="1"/>
  <c r="M595" i="1"/>
  <c r="O595" i="1"/>
  <c r="P595" i="1"/>
  <c r="K595" i="1"/>
  <c r="L595" i="1"/>
  <c r="M594" i="1"/>
  <c r="O594" i="1"/>
  <c r="P594" i="1"/>
  <c r="K594" i="1"/>
  <c r="L594" i="1"/>
  <c r="M593" i="1"/>
  <c r="N593" i="1"/>
  <c r="K593" i="1"/>
  <c r="L593" i="1"/>
  <c r="M591" i="1"/>
  <c r="N591" i="1"/>
  <c r="K591" i="1"/>
  <c r="L591" i="1"/>
  <c r="M590" i="1"/>
  <c r="O590" i="1"/>
  <c r="P590" i="1"/>
  <c r="K590" i="1"/>
  <c r="L590" i="1"/>
  <c r="M589" i="1"/>
  <c r="O589" i="1"/>
  <c r="P589" i="1"/>
  <c r="K589" i="1"/>
  <c r="L589" i="1"/>
  <c r="M588" i="1"/>
  <c r="O588" i="1"/>
  <c r="P588" i="1"/>
  <c r="K588" i="1"/>
  <c r="L588" i="1"/>
  <c r="M587" i="1"/>
  <c r="N587" i="1"/>
  <c r="K587" i="1"/>
  <c r="L587" i="1"/>
  <c r="M586" i="1"/>
  <c r="O586" i="1"/>
  <c r="P586" i="1"/>
  <c r="K586" i="1"/>
  <c r="L586" i="1"/>
  <c r="M585" i="1"/>
  <c r="O585" i="1"/>
  <c r="P585" i="1"/>
  <c r="K585" i="1"/>
  <c r="L585" i="1"/>
  <c r="M583" i="1"/>
  <c r="O583" i="1"/>
  <c r="P583" i="1"/>
  <c r="K583" i="1"/>
  <c r="L583" i="1"/>
  <c r="M582" i="1"/>
  <c r="O582" i="1"/>
  <c r="P582" i="1"/>
  <c r="K582" i="1"/>
  <c r="L582" i="1"/>
  <c r="M581" i="1"/>
  <c r="N581" i="1"/>
  <c r="K581" i="1"/>
  <c r="L581" i="1"/>
  <c r="M580" i="1"/>
  <c r="N580" i="1"/>
  <c r="K580" i="1"/>
  <c r="L580" i="1"/>
  <c r="M579" i="1"/>
  <c r="N579" i="1"/>
  <c r="K579" i="1"/>
  <c r="L579" i="1"/>
  <c r="M578" i="1"/>
  <c r="N578" i="1"/>
  <c r="K578" i="1"/>
  <c r="L578" i="1"/>
  <c r="M577" i="1"/>
  <c r="O577" i="1"/>
  <c r="P577" i="1"/>
  <c r="K577" i="1"/>
  <c r="L577" i="1"/>
  <c r="M575" i="1"/>
  <c r="O575" i="1"/>
  <c r="P575" i="1"/>
  <c r="K575" i="1"/>
  <c r="L575" i="1"/>
  <c r="M574" i="1"/>
  <c r="O574" i="1"/>
  <c r="P574" i="1"/>
  <c r="K574" i="1"/>
  <c r="L574" i="1"/>
  <c r="M573" i="1"/>
  <c r="O573" i="1"/>
  <c r="P573" i="1"/>
  <c r="K573" i="1"/>
  <c r="L573" i="1"/>
  <c r="M572" i="1"/>
  <c r="O572" i="1"/>
  <c r="P572" i="1"/>
  <c r="K572" i="1"/>
  <c r="L572" i="1"/>
  <c r="M571" i="1"/>
  <c r="O571" i="1"/>
  <c r="P571" i="1"/>
  <c r="K571" i="1"/>
  <c r="L571" i="1"/>
  <c r="M570" i="1"/>
  <c r="O570" i="1"/>
  <c r="P570" i="1"/>
  <c r="K570" i="1"/>
  <c r="L570" i="1"/>
  <c r="M569" i="1"/>
  <c r="O569" i="1"/>
  <c r="P569" i="1"/>
  <c r="K569" i="1"/>
  <c r="L569" i="1"/>
  <c r="M566" i="1"/>
  <c r="N566" i="1"/>
  <c r="K566" i="1"/>
  <c r="L566" i="1"/>
  <c r="M565" i="1"/>
  <c r="N565" i="1"/>
  <c r="K565" i="1"/>
  <c r="L565" i="1"/>
  <c r="M564" i="1"/>
  <c r="N564" i="1"/>
  <c r="K564" i="1"/>
  <c r="L564" i="1"/>
  <c r="M563" i="1"/>
  <c r="O563" i="1"/>
  <c r="P563" i="1"/>
  <c r="K563" i="1"/>
  <c r="L563" i="1"/>
  <c r="M562" i="1"/>
  <c r="O562" i="1"/>
  <c r="P562" i="1"/>
  <c r="K562" i="1"/>
  <c r="L562" i="1"/>
  <c r="M561" i="1"/>
  <c r="O561" i="1"/>
  <c r="P561" i="1"/>
  <c r="K561" i="1"/>
  <c r="L561" i="1"/>
  <c r="M560" i="1"/>
  <c r="O560" i="1"/>
  <c r="P560" i="1"/>
  <c r="K560" i="1"/>
  <c r="L560" i="1"/>
  <c r="M559" i="1"/>
  <c r="N559" i="1"/>
  <c r="K559" i="1"/>
  <c r="L559" i="1"/>
  <c r="M558" i="1"/>
  <c r="O558" i="1"/>
  <c r="P558" i="1"/>
  <c r="K558" i="1"/>
  <c r="L558" i="1"/>
  <c r="M555" i="1"/>
  <c r="O555" i="1"/>
  <c r="P555" i="1"/>
  <c r="K555" i="1"/>
  <c r="L555" i="1"/>
  <c r="L609" i="1"/>
  <c r="O559" i="1"/>
  <c r="P559" i="1"/>
  <c r="O564" i="1"/>
  <c r="P564" i="1"/>
  <c r="O587" i="1"/>
  <c r="P587" i="1"/>
  <c r="L641" i="1"/>
  <c r="O639" i="1"/>
  <c r="P639" i="1"/>
  <c r="O625" i="1"/>
  <c r="P625" i="1"/>
  <c r="AK643" i="1"/>
  <c r="R643" i="1"/>
  <c r="AK629" i="1"/>
  <c r="R629" i="1"/>
  <c r="AK615" i="1"/>
  <c r="R615" i="1"/>
  <c r="AK601" i="1"/>
  <c r="R601" i="1"/>
  <c r="AK588" i="1"/>
  <c r="R588" i="1"/>
  <c r="AK574" i="1"/>
  <c r="R574" i="1"/>
  <c r="AK560" i="1"/>
  <c r="R560" i="1"/>
  <c r="H558" i="2"/>
  <c r="J558" i="2"/>
  <c r="L558" i="2"/>
  <c r="M558" i="2"/>
  <c r="H573" i="2"/>
  <c r="J573" i="2"/>
  <c r="L573" i="2"/>
  <c r="M573" i="2"/>
  <c r="H583" i="2"/>
  <c r="I583" i="2"/>
  <c r="H594" i="2"/>
  <c r="I594" i="2"/>
  <c r="H599" i="2"/>
  <c r="J599" i="2"/>
  <c r="H620" i="2"/>
  <c r="I620" i="2"/>
  <c r="H616" i="2"/>
  <c r="I616" i="2"/>
  <c r="H611" i="2"/>
  <c r="I611" i="2"/>
  <c r="AK642" i="1"/>
  <c r="R642" i="1"/>
  <c r="AK628" i="1"/>
  <c r="R628" i="1"/>
  <c r="AK614" i="1"/>
  <c r="R614" i="1"/>
  <c r="AK600" i="1"/>
  <c r="R600" i="1"/>
  <c r="AK587" i="1"/>
  <c r="R587" i="1"/>
  <c r="AK573" i="1"/>
  <c r="R573" i="1"/>
  <c r="AK559" i="1"/>
  <c r="R559" i="1"/>
  <c r="H551" i="2"/>
  <c r="J551" i="2"/>
  <c r="K551" i="2"/>
  <c r="H570" i="2"/>
  <c r="I570" i="2"/>
  <c r="H579" i="2"/>
  <c r="I579" i="2"/>
  <c r="H605" i="2"/>
  <c r="I605" i="2"/>
  <c r="H601" i="2"/>
  <c r="J601" i="2"/>
  <c r="K601" i="2"/>
  <c r="H640" i="2"/>
  <c r="I640" i="2"/>
  <c r="H636" i="2"/>
  <c r="I636" i="2"/>
  <c r="H631" i="2"/>
  <c r="I631" i="2"/>
  <c r="H627" i="2"/>
  <c r="I627" i="2"/>
  <c r="H623" i="2"/>
  <c r="I623" i="2"/>
  <c r="AK641" i="1"/>
  <c r="R641" i="1"/>
  <c r="AK627" i="1"/>
  <c r="R627" i="1"/>
  <c r="AK613" i="1"/>
  <c r="R613" i="1"/>
  <c r="AK599" i="1"/>
  <c r="R599" i="1"/>
  <c r="AK586" i="1"/>
  <c r="R586" i="1"/>
  <c r="AK572" i="1"/>
  <c r="R572" i="1"/>
  <c r="AK558" i="1"/>
  <c r="R558" i="1"/>
  <c r="H581" i="2"/>
  <c r="J581" i="2"/>
  <c r="K581" i="2"/>
  <c r="H582" i="2"/>
  <c r="I582" i="2"/>
  <c r="H593" i="2"/>
  <c r="I593" i="2"/>
  <c r="L644" i="1"/>
  <c r="AK640" i="1"/>
  <c r="R640" i="1"/>
  <c r="AK626" i="1"/>
  <c r="R626" i="1"/>
  <c r="AK612" i="1"/>
  <c r="R612" i="1"/>
  <c r="AK598" i="1"/>
  <c r="R598" i="1"/>
  <c r="AK585" i="1"/>
  <c r="R585" i="1"/>
  <c r="AK571" i="1"/>
  <c r="R571" i="1"/>
  <c r="H554" i="2"/>
  <c r="J554" i="2"/>
  <c r="K554" i="2"/>
  <c r="H557" i="2"/>
  <c r="H569" i="2"/>
  <c r="J569" i="2"/>
  <c r="L569" i="2"/>
  <c r="M569" i="2"/>
  <c r="H578" i="2"/>
  <c r="I578" i="2"/>
  <c r="H587" i="2"/>
  <c r="I587" i="2"/>
  <c r="H619" i="2"/>
  <c r="I619" i="2"/>
  <c r="H615" i="2"/>
  <c r="J615" i="2"/>
  <c r="K615" i="2"/>
  <c r="H610" i="2"/>
  <c r="I610" i="2"/>
  <c r="AK639" i="1"/>
  <c r="R639" i="1"/>
  <c r="AK625" i="1"/>
  <c r="R625" i="1"/>
  <c r="AK611" i="1"/>
  <c r="R611" i="1"/>
  <c r="AK597" i="1"/>
  <c r="R597" i="1"/>
  <c r="AK583" i="1"/>
  <c r="R583" i="1"/>
  <c r="AK570" i="1"/>
  <c r="R570" i="1"/>
  <c r="H562" i="2"/>
  <c r="I562" i="2"/>
  <c r="H592" i="2"/>
  <c r="I592" i="2"/>
  <c r="H604" i="2"/>
  <c r="J604" i="2"/>
  <c r="L604" i="2"/>
  <c r="M604" i="2"/>
  <c r="H600" i="2"/>
  <c r="I600" i="2"/>
  <c r="H639" i="2"/>
  <c r="I639" i="2"/>
  <c r="H635" i="2"/>
  <c r="I635" i="2"/>
  <c r="H630" i="2"/>
  <c r="I630" i="2"/>
  <c r="H622" i="2"/>
  <c r="I622" i="2"/>
  <c r="AK637" i="1"/>
  <c r="R637" i="1"/>
  <c r="AK624" i="1"/>
  <c r="R624" i="1"/>
  <c r="AK596" i="1"/>
  <c r="R596" i="1"/>
  <c r="AK582" i="1"/>
  <c r="R582" i="1"/>
  <c r="AK569" i="1"/>
  <c r="R569" i="1"/>
  <c r="H556" i="2"/>
  <c r="I556" i="2"/>
  <c r="H568" i="2"/>
  <c r="I568" i="2"/>
  <c r="H577" i="2"/>
  <c r="I577" i="2"/>
  <c r="H589" i="2"/>
  <c r="J589" i="2"/>
  <c r="L589" i="2"/>
  <c r="M589" i="2"/>
  <c r="AK636" i="1"/>
  <c r="R636" i="1"/>
  <c r="AK623" i="1"/>
  <c r="R623" i="1"/>
  <c r="AK608" i="1"/>
  <c r="R608" i="1"/>
  <c r="AK595" i="1"/>
  <c r="R595" i="1"/>
  <c r="AK581" i="1"/>
  <c r="R581" i="1"/>
  <c r="AK566" i="1"/>
  <c r="R566" i="1"/>
  <c r="H561" i="2"/>
  <c r="I561" i="2"/>
  <c r="H586" i="2"/>
  <c r="H597" i="2"/>
  <c r="I597" i="2"/>
  <c r="H591" i="2"/>
  <c r="I591" i="2"/>
  <c r="H613" i="2"/>
  <c r="I613" i="2"/>
  <c r="H609" i="2"/>
  <c r="J609" i="2"/>
  <c r="L609" i="2"/>
  <c r="M609" i="2"/>
  <c r="AK635" i="1"/>
  <c r="R635" i="1"/>
  <c r="AK621" i="1"/>
  <c r="R621" i="1"/>
  <c r="AK607" i="1"/>
  <c r="R607" i="1"/>
  <c r="AK594" i="1"/>
  <c r="R594" i="1"/>
  <c r="AK580" i="1"/>
  <c r="R580" i="1"/>
  <c r="AK565" i="1"/>
  <c r="R565" i="1"/>
  <c r="H555" i="2"/>
  <c r="I555" i="2"/>
  <c r="H567" i="2"/>
  <c r="J567" i="2"/>
  <c r="K567" i="2"/>
  <c r="H576" i="2"/>
  <c r="I576" i="2"/>
  <c r="H603" i="2"/>
  <c r="I603" i="2"/>
  <c r="H638" i="2"/>
  <c r="I638" i="2"/>
  <c r="H633" i="2"/>
  <c r="I633" i="2"/>
  <c r="H629" i="2"/>
  <c r="I629" i="2"/>
  <c r="H625" i="2"/>
  <c r="I625" i="2"/>
  <c r="N635" i="1"/>
  <c r="O579" i="1"/>
  <c r="P579" i="1"/>
  <c r="AK634" i="1"/>
  <c r="R634" i="1"/>
  <c r="AK620" i="1"/>
  <c r="R620" i="1"/>
  <c r="AK606" i="1"/>
  <c r="R606" i="1"/>
  <c r="AK593" i="1"/>
  <c r="R593" i="1"/>
  <c r="AK579" i="1"/>
  <c r="R579" i="1"/>
  <c r="AK564" i="1"/>
  <c r="R564" i="1"/>
  <c r="H560" i="2"/>
  <c r="I560" i="2"/>
  <c r="H585" i="2"/>
  <c r="J585" i="2"/>
  <c r="L585" i="2"/>
  <c r="M585" i="2"/>
  <c r="H596" i="2"/>
  <c r="I596" i="2"/>
  <c r="H590" i="2"/>
  <c r="I590" i="2"/>
  <c r="N573" i="1"/>
  <c r="AK555" i="1"/>
  <c r="R555" i="1"/>
  <c r="AK633" i="1"/>
  <c r="R633" i="1"/>
  <c r="AK619" i="1"/>
  <c r="R619" i="1"/>
  <c r="AK605" i="1"/>
  <c r="R605" i="1"/>
  <c r="AK591" i="1"/>
  <c r="R591" i="1"/>
  <c r="AK578" i="1"/>
  <c r="R578" i="1"/>
  <c r="AK563" i="1"/>
  <c r="R563" i="1"/>
  <c r="H566" i="2"/>
  <c r="I566" i="2"/>
  <c r="H575" i="2"/>
  <c r="I575" i="2"/>
  <c r="H607" i="2"/>
  <c r="J607" i="2"/>
  <c r="K607" i="2"/>
  <c r="H621" i="2"/>
  <c r="H617" i="2"/>
  <c r="I617" i="2"/>
  <c r="H612" i="2"/>
  <c r="J612" i="2"/>
  <c r="K612" i="2"/>
  <c r="H608" i="2"/>
  <c r="I608" i="2"/>
  <c r="N642" i="1"/>
  <c r="AK645" i="1"/>
  <c r="R645" i="1"/>
  <c r="AK632" i="1"/>
  <c r="R632" i="1"/>
  <c r="AK617" i="1"/>
  <c r="R617" i="1"/>
  <c r="AK604" i="1"/>
  <c r="R604" i="1"/>
  <c r="AK590" i="1"/>
  <c r="R590" i="1"/>
  <c r="AK577" i="1"/>
  <c r="R577" i="1"/>
  <c r="AK562" i="1"/>
  <c r="R562" i="1"/>
  <c r="H559" i="2"/>
  <c r="I559" i="2"/>
  <c r="H565" i="2"/>
  <c r="J565" i="2"/>
  <c r="L565" i="2"/>
  <c r="M565" i="2"/>
  <c r="H584" i="2"/>
  <c r="I584" i="2"/>
  <c r="H595" i="2"/>
  <c r="I595" i="2"/>
  <c r="H602" i="2"/>
  <c r="I602" i="2"/>
  <c r="H641" i="2"/>
  <c r="I641" i="2"/>
  <c r="H632" i="2"/>
  <c r="I632" i="2"/>
  <c r="H628" i="2"/>
  <c r="I628" i="2"/>
  <c r="H624" i="2"/>
  <c r="I624" i="2"/>
  <c r="O593" i="1"/>
  <c r="P593" i="1"/>
  <c r="AK631" i="1"/>
  <c r="R631" i="1"/>
  <c r="AK616" i="1"/>
  <c r="R616" i="1"/>
  <c r="AK603" i="1"/>
  <c r="R603" i="1"/>
  <c r="AK589" i="1"/>
  <c r="R589" i="1"/>
  <c r="AK575" i="1"/>
  <c r="R575" i="1"/>
  <c r="AK561" i="1"/>
  <c r="R561" i="1"/>
  <c r="H571" i="2"/>
  <c r="I571" i="2"/>
  <c r="H574" i="2"/>
  <c r="I574" i="2"/>
  <c r="J583" i="2"/>
  <c r="K618" i="2"/>
  <c r="L618" i="2"/>
  <c r="M618" i="2"/>
  <c r="I618" i="2"/>
  <c r="J637" i="2"/>
  <c r="J626" i="2"/>
  <c r="K599" i="2"/>
  <c r="L599" i="2"/>
  <c r="M599" i="2"/>
  <c r="I599" i="2"/>
  <c r="N628" i="1"/>
  <c r="O614" i="1"/>
  <c r="P614" i="1"/>
  <c r="N607" i="1"/>
  <c r="N621" i="1"/>
  <c r="O606" i="1"/>
  <c r="P606" i="1"/>
  <c r="N600" i="1"/>
  <c r="O634" i="1"/>
  <c r="P634" i="1"/>
  <c r="O620" i="1"/>
  <c r="P620" i="1"/>
  <c r="N569" i="1"/>
  <c r="N582" i="1"/>
  <c r="N594" i="1"/>
  <c r="O608" i="1"/>
  <c r="P608" i="1"/>
  <c r="N616" i="1"/>
  <c r="O623" i="1"/>
  <c r="P623" i="1"/>
  <c r="N631" i="1"/>
  <c r="O636" i="1"/>
  <c r="P636" i="1"/>
  <c r="N644" i="1"/>
  <c r="N561" i="1"/>
  <c r="N603" i="1"/>
  <c r="N583" i="1"/>
  <c r="N563" i="1"/>
  <c r="N586" i="1"/>
  <c r="O591" i="1"/>
  <c r="P591" i="1"/>
  <c r="N599" i="1"/>
  <c r="O605" i="1"/>
  <c r="P605" i="1"/>
  <c r="N613" i="1"/>
  <c r="O619" i="1"/>
  <c r="P619" i="1"/>
  <c r="N627" i="1"/>
  <c r="O633" i="1"/>
  <c r="P633" i="1"/>
  <c r="N641" i="1"/>
  <c r="N575" i="1"/>
  <c r="O597" i="1"/>
  <c r="P597" i="1"/>
  <c r="O565" i="1"/>
  <c r="P565" i="1"/>
  <c r="N574" i="1"/>
  <c r="O580" i="1"/>
  <c r="P580" i="1"/>
  <c r="N588" i="1"/>
  <c r="N601" i="1"/>
  <c r="N615" i="1"/>
  <c r="N629" i="1"/>
  <c r="N643" i="1"/>
  <c r="O566" i="1"/>
  <c r="P566" i="1"/>
  <c r="O581" i="1"/>
  <c r="P581" i="1"/>
  <c r="N570" i="1"/>
  <c r="O611" i="1"/>
  <c r="P611" i="1"/>
  <c r="N572" i="1"/>
  <c r="O578" i="1"/>
  <c r="P578" i="1"/>
  <c r="N560" i="1"/>
  <c r="N596" i="1"/>
  <c r="N609" i="1"/>
  <c r="N624" i="1"/>
  <c r="N637" i="1"/>
  <c r="N595" i="1"/>
  <c r="N562" i="1"/>
  <c r="N577" i="1"/>
  <c r="N590" i="1"/>
  <c r="N604" i="1"/>
  <c r="N617" i="1"/>
  <c r="N632" i="1"/>
  <c r="N645" i="1"/>
  <c r="N558" i="1"/>
  <c r="N555" i="1"/>
  <c r="N571" i="1"/>
  <c r="N585" i="1"/>
  <c r="N598" i="1"/>
  <c r="N612" i="1"/>
  <c r="N626" i="1"/>
  <c r="N640" i="1"/>
  <c r="N589" i="1"/>
  <c r="E393" i="2"/>
  <c r="F393" i="2"/>
  <c r="E394" i="2"/>
  <c r="F394" i="2"/>
  <c r="F392" i="2"/>
  <c r="E392" i="2"/>
  <c r="E390" i="2"/>
  <c r="F390" i="2"/>
  <c r="H390" i="2"/>
  <c r="I390" i="2"/>
  <c r="E391" i="2"/>
  <c r="F391" i="2"/>
  <c r="H391" i="2"/>
  <c r="I391" i="2"/>
  <c r="M398" i="1"/>
  <c r="N398" i="1"/>
  <c r="K398" i="1"/>
  <c r="L398" i="1"/>
  <c r="M397" i="1"/>
  <c r="N397" i="1"/>
  <c r="K397" i="1"/>
  <c r="L397" i="1"/>
  <c r="M396" i="1"/>
  <c r="N396" i="1"/>
  <c r="K396" i="1"/>
  <c r="L396" i="1"/>
  <c r="J577" i="2"/>
  <c r="K577" i="2"/>
  <c r="J620" i="2"/>
  <c r="K620" i="2"/>
  <c r="J619" i="2"/>
  <c r="J616" i="2"/>
  <c r="K616" i="2"/>
  <c r="J627" i="2"/>
  <c r="L627" i="2"/>
  <c r="M627" i="2"/>
  <c r="I558" i="2"/>
  <c r="K558" i="2"/>
  <c r="J570" i="2"/>
  <c r="K570" i="2"/>
  <c r="I573" i="2"/>
  <c r="K573" i="2"/>
  <c r="J610" i="2"/>
  <c r="L610" i="2"/>
  <c r="M610" i="2"/>
  <c r="J635" i="2"/>
  <c r="K635" i="2"/>
  <c r="J578" i="2"/>
  <c r="K578" i="2"/>
  <c r="J595" i="2"/>
  <c r="L595" i="2"/>
  <c r="M595" i="2"/>
  <c r="J584" i="2"/>
  <c r="K584" i="2"/>
  <c r="J579" i="2"/>
  <c r="K579" i="2"/>
  <c r="J561" i="2"/>
  <c r="L561" i="2"/>
  <c r="M561" i="2"/>
  <c r="I601" i="2"/>
  <c r="J611" i="2"/>
  <c r="K611" i="2"/>
  <c r="J613" i="2"/>
  <c r="K613" i="2"/>
  <c r="J638" i="2"/>
  <c r="K638" i="2"/>
  <c r="I615" i="2"/>
  <c r="J600" i="2"/>
  <c r="L600" i="2"/>
  <c r="M600" i="2"/>
  <c r="J623" i="2"/>
  <c r="K623" i="2"/>
  <c r="L615" i="2"/>
  <c r="M615" i="2"/>
  <c r="I609" i="2"/>
  <c r="L607" i="2"/>
  <c r="M607" i="2"/>
  <c r="I554" i="2"/>
  <c r="L554" i="2"/>
  <c r="M554" i="2"/>
  <c r="I589" i="2"/>
  <c r="J608" i="2"/>
  <c r="K608" i="2"/>
  <c r="J560" i="2"/>
  <c r="L560" i="2"/>
  <c r="M560" i="2"/>
  <c r="J596" i="2"/>
  <c r="L596" i="2"/>
  <c r="M596" i="2"/>
  <c r="L612" i="2"/>
  <c r="M612" i="2"/>
  <c r="K609" i="2"/>
  <c r="J633" i="2"/>
  <c r="K633" i="2"/>
  <c r="I612" i="2"/>
  <c r="I607" i="2"/>
  <c r="I585" i="2"/>
  <c r="J636" i="2"/>
  <c r="L636" i="2"/>
  <c r="M636" i="2"/>
  <c r="J582" i="2"/>
  <c r="K582" i="2"/>
  <c r="J556" i="2"/>
  <c r="L556" i="2"/>
  <c r="M556" i="2"/>
  <c r="K585" i="2"/>
  <c r="J631" i="2"/>
  <c r="K631" i="2"/>
  <c r="J562" i="2"/>
  <c r="K562" i="2"/>
  <c r="J566" i="2"/>
  <c r="K566" i="2"/>
  <c r="J571" i="2"/>
  <c r="L571" i="2"/>
  <c r="M571" i="2"/>
  <c r="K589" i="2"/>
  <c r="K569" i="2"/>
  <c r="J640" i="2"/>
  <c r="K640" i="2"/>
  <c r="J592" i="2"/>
  <c r="K592" i="2"/>
  <c r="J632" i="2"/>
  <c r="K632" i="2"/>
  <c r="J593" i="2"/>
  <c r="K593" i="2"/>
  <c r="J630" i="2"/>
  <c r="K630" i="2"/>
  <c r="K604" i="2"/>
  <c r="J624" i="2"/>
  <c r="L624" i="2"/>
  <c r="M624" i="2"/>
  <c r="J574" i="2"/>
  <c r="K574" i="2"/>
  <c r="J590" i="2"/>
  <c r="L590" i="2"/>
  <c r="M590" i="2"/>
  <c r="L601" i="2"/>
  <c r="M601" i="2"/>
  <c r="J568" i="2"/>
  <c r="K568" i="2"/>
  <c r="J576" i="2"/>
  <c r="K576" i="2"/>
  <c r="J597" i="2"/>
  <c r="K597" i="2"/>
  <c r="J641" i="2"/>
  <c r="K641" i="2"/>
  <c r="L581" i="2"/>
  <c r="M581" i="2"/>
  <c r="I569" i="2"/>
  <c r="J587" i="2"/>
  <c r="K587" i="2"/>
  <c r="J591" i="2"/>
  <c r="L591" i="2"/>
  <c r="M591" i="2"/>
  <c r="I604" i="2"/>
  <c r="L567" i="2"/>
  <c r="M567" i="2"/>
  <c r="J625" i="2"/>
  <c r="L625" i="2"/>
  <c r="M625" i="2"/>
  <c r="J628" i="2"/>
  <c r="L628" i="2"/>
  <c r="M628" i="2"/>
  <c r="I565" i="2"/>
  <c r="J617" i="2"/>
  <c r="K617" i="2"/>
  <c r="I621" i="2"/>
  <c r="J621" i="2"/>
  <c r="K565" i="2"/>
  <c r="J594" i="2"/>
  <c r="K594" i="2"/>
  <c r="J555" i="2"/>
  <c r="K555" i="2"/>
  <c r="J559" i="2"/>
  <c r="K559" i="2"/>
  <c r="I586" i="2"/>
  <c r="J586" i="2"/>
  <c r="J557" i="2"/>
  <c r="I557" i="2"/>
  <c r="L551" i="2"/>
  <c r="M551" i="2"/>
  <c r="J575" i="2"/>
  <c r="L575" i="2"/>
  <c r="M575" i="2"/>
  <c r="I551" i="2"/>
  <c r="I567" i="2"/>
  <c r="I581" i="2"/>
  <c r="J602" i="2"/>
  <c r="K602" i="2"/>
  <c r="J639" i="2"/>
  <c r="L639" i="2"/>
  <c r="M639" i="2"/>
  <c r="J605" i="2"/>
  <c r="K605" i="2"/>
  <c r="J629" i="2"/>
  <c r="K629" i="2"/>
  <c r="J622" i="2"/>
  <c r="L622" i="2"/>
  <c r="M622" i="2"/>
  <c r="J603" i="2"/>
  <c r="K603" i="2"/>
  <c r="K583" i="2"/>
  <c r="L583" i="2"/>
  <c r="M583" i="2"/>
  <c r="L577" i="2"/>
  <c r="M577" i="2"/>
  <c r="L637" i="2"/>
  <c r="M637" i="2"/>
  <c r="K637" i="2"/>
  <c r="L626" i="2"/>
  <c r="M626" i="2"/>
  <c r="K626" i="2"/>
  <c r="K619" i="2"/>
  <c r="L619" i="2"/>
  <c r="M619" i="2"/>
  <c r="L616" i="2"/>
  <c r="M616" i="2"/>
  <c r="H394" i="2"/>
  <c r="I394" i="2"/>
  <c r="H392" i="2"/>
  <c r="J392" i="2"/>
  <c r="L392" i="2"/>
  <c r="M392" i="2"/>
  <c r="H393" i="2"/>
  <c r="I393" i="2"/>
  <c r="J391" i="2"/>
  <c r="J390" i="2"/>
  <c r="AK398" i="1"/>
  <c r="R398" i="1"/>
  <c r="O396" i="1"/>
  <c r="P396" i="1"/>
  <c r="AK397" i="1"/>
  <c r="R397" i="1"/>
  <c r="O397" i="1"/>
  <c r="P397" i="1"/>
  <c r="O398" i="1"/>
  <c r="P398" i="1"/>
  <c r="AK396" i="1"/>
  <c r="R396" i="1"/>
  <c r="N10" i="2"/>
  <c r="N9" i="2"/>
  <c r="E45" i="2"/>
  <c r="F45" i="2"/>
  <c r="E46" i="2"/>
  <c r="F46" i="2"/>
  <c r="E47" i="2"/>
  <c r="F47" i="2"/>
  <c r="E48" i="2"/>
  <c r="F48" i="2"/>
  <c r="L620" i="2"/>
  <c r="M620" i="2"/>
  <c r="K627" i="2"/>
  <c r="L570" i="2"/>
  <c r="M570" i="2"/>
  <c r="L578" i="2"/>
  <c r="M578" i="2"/>
  <c r="L613" i="2"/>
  <c r="M613" i="2"/>
  <c r="L635" i="2"/>
  <c r="M635" i="2"/>
  <c r="L593" i="2"/>
  <c r="M593" i="2"/>
  <c r="K610" i="2"/>
  <c r="K636" i="2"/>
  <c r="K595" i="2"/>
  <c r="K561" i="2"/>
  <c r="L579" i="2"/>
  <c r="M579" i="2"/>
  <c r="L584" i="2"/>
  <c r="M584" i="2"/>
  <c r="L611" i="2"/>
  <c r="M611" i="2"/>
  <c r="K590" i="2"/>
  <c r="L623" i="2"/>
  <c r="M623" i="2"/>
  <c r="L638" i="2"/>
  <c r="M638" i="2"/>
  <c r="L566" i="2"/>
  <c r="M566" i="2"/>
  <c r="K600" i="2"/>
  <c r="K591" i="2"/>
  <c r="L582" i="2"/>
  <c r="M582" i="2"/>
  <c r="L608" i="2"/>
  <c r="M608" i="2"/>
  <c r="K556" i="2"/>
  <c r="K571" i="2"/>
  <c r="K624" i="2"/>
  <c r="K560" i="2"/>
  <c r="L559" i="2"/>
  <c r="M559" i="2"/>
  <c r="K596" i="2"/>
  <c r="L640" i="2"/>
  <c r="M640" i="2"/>
  <c r="L597" i="2"/>
  <c r="M597" i="2"/>
  <c r="L633" i="2"/>
  <c r="M633" i="2"/>
  <c r="K639" i="2"/>
  <c r="L555" i="2"/>
  <c r="M555" i="2"/>
  <c r="L631" i="2"/>
  <c r="M631" i="2"/>
  <c r="L594" i="2"/>
  <c r="M594" i="2"/>
  <c r="L630" i="2"/>
  <c r="M630" i="2"/>
  <c r="L587" i="2"/>
  <c r="M587" i="2"/>
  <c r="L592" i="2"/>
  <c r="M592" i="2"/>
  <c r="L562" i="2"/>
  <c r="M562" i="2"/>
  <c r="L632" i="2"/>
  <c r="M632" i="2"/>
  <c r="L602" i="2"/>
  <c r="M602" i="2"/>
  <c r="L568" i="2"/>
  <c r="M568" i="2"/>
  <c r="K628" i="2"/>
  <c r="L641" i="2"/>
  <c r="M641" i="2"/>
  <c r="K575" i="2"/>
  <c r="L617" i="2"/>
  <c r="M617" i="2"/>
  <c r="L576" i="2"/>
  <c r="M576" i="2"/>
  <c r="K625" i="2"/>
  <c r="L574" i="2"/>
  <c r="M574" i="2"/>
  <c r="L605" i="2"/>
  <c r="M605" i="2"/>
  <c r="L629" i="2"/>
  <c r="M629" i="2"/>
  <c r="K586" i="2"/>
  <c r="L586" i="2"/>
  <c r="M586" i="2"/>
  <c r="L603" i="2"/>
  <c r="M603" i="2"/>
  <c r="K622" i="2"/>
  <c r="K621" i="2"/>
  <c r="L621" i="2"/>
  <c r="M621" i="2"/>
  <c r="L557" i="2"/>
  <c r="M557" i="2"/>
  <c r="K557" i="2"/>
  <c r="J394" i="2"/>
  <c r="K394" i="2"/>
  <c r="I392" i="2"/>
  <c r="K392" i="2"/>
  <c r="J393" i="2"/>
  <c r="L393" i="2"/>
  <c r="M393" i="2"/>
  <c r="K390" i="2"/>
  <c r="L390" i="2"/>
  <c r="M390" i="2"/>
  <c r="K391" i="2"/>
  <c r="L391" i="2"/>
  <c r="M391" i="2"/>
  <c r="M53" i="1"/>
  <c r="O53" i="1"/>
  <c r="P53" i="1"/>
  <c r="K53" i="1"/>
  <c r="M52" i="1"/>
  <c r="O52" i="1"/>
  <c r="P52" i="1"/>
  <c r="K52" i="1"/>
  <c r="M51" i="1"/>
  <c r="O51" i="1"/>
  <c r="P51" i="1"/>
  <c r="K51" i="1"/>
  <c r="M50" i="1"/>
  <c r="O50" i="1"/>
  <c r="P50" i="1"/>
  <c r="K50" i="1"/>
  <c r="L394" i="2"/>
  <c r="M394" i="2"/>
  <c r="K393" i="2"/>
  <c r="AK50" i="1"/>
  <c r="R50" i="1"/>
  <c r="H45" i="2"/>
  <c r="AK53" i="1"/>
  <c r="R53" i="1"/>
  <c r="H48" i="2"/>
  <c r="AK51" i="1"/>
  <c r="R51" i="1"/>
  <c r="H46" i="2"/>
  <c r="AK52" i="1"/>
  <c r="R52" i="1"/>
  <c r="H47" i="2"/>
  <c r="L50" i="1"/>
  <c r="L52" i="1"/>
  <c r="N50" i="1"/>
  <c r="L51" i="1"/>
  <c r="L53" i="1"/>
  <c r="N51" i="1"/>
  <c r="N52" i="1"/>
  <c r="N53" i="1"/>
  <c r="M890" i="1"/>
  <c r="O890" i="1"/>
  <c r="P890" i="1"/>
  <c r="K890" i="1"/>
  <c r="AK890" i="1"/>
  <c r="R890" i="1"/>
  <c r="M889" i="1"/>
  <c r="O889" i="1"/>
  <c r="P889" i="1"/>
  <c r="K889" i="1"/>
  <c r="AK889" i="1"/>
  <c r="R889" i="1"/>
  <c r="M866" i="1"/>
  <c r="N866" i="1"/>
  <c r="K866" i="1"/>
  <c r="AK866" i="1"/>
  <c r="R866" i="1"/>
  <c r="M865" i="1"/>
  <c r="O865" i="1"/>
  <c r="P865" i="1"/>
  <c r="K865" i="1"/>
  <c r="AK865" i="1"/>
  <c r="R865" i="1"/>
  <c r="K851" i="1"/>
  <c r="L851" i="1"/>
  <c r="M851" i="1"/>
  <c r="N851" i="1"/>
  <c r="K852" i="1"/>
  <c r="AK852" i="1"/>
  <c r="R852" i="1"/>
  <c r="M852" i="1"/>
  <c r="N852" i="1"/>
  <c r="AK853" i="1"/>
  <c r="M840" i="1"/>
  <c r="O840" i="1"/>
  <c r="P840" i="1"/>
  <c r="K840" i="1"/>
  <c r="AK840" i="1"/>
  <c r="R840" i="1"/>
  <c r="M839" i="1"/>
  <c r="O839" i="1"/>
  <c r="P839" i="1"/>
  <c r="K839" i="1"/>
  <c r="AK839" i="1"/>
  <c r="R839" i="1"/>
  <c r="I47" i="2"/>
  <c r="J47" i="2"/>
  <c r="I46" i="2"/>
  <c r="J46" i="2"/>
  <c r="J45" i="2"/>
  <c r="I45" i="2"/>
  <c r="I48" i="2"/>
  <c r="J48" i="2"/>
  <c r="L890" i="1"/>
  <c r="L889" i="1"/>
  <c r="N889" i="1"/>
  <c r="N890" i="1"/>
  <c r="L852" i="1"/>
  <c r="O866" i="1"/>
  <c r="P866" i="1"/>
  <c r="N865" i="1"/>
  <c r="L865" i="1"/>
  <c r="L866" i="1"/>
  <c r="AK851" i="1"/>
  <c r="R851" i="1"/>
  <c r="O852" i="1"/>
  <c r="P852" i="1"/>
  <c r="O851" i="1"/>
  <c r="P851" i="1"/>
  <c r="L839" i="1"/>
  <c r="L840" i="1"/>
  <c r="N839" i="1"/>
  <c r="N840" i="1"/>
  <c r="K48" i="2"/>
  <c r="L48" i="2"/>
  <c r="M48" i="2"/>
  <c r="K47" i="2"/>
  <c r="L47" i="2"/>
  <c r="M47" i="2"/>
  <c r="K45" i="2"/>
  <c r="L45" i="2"/>
  <c r="M45" i="2"/>
  <c r="L46" i="2"/>
  <c r="M46" i="2"/>
  <c r="K46" i="2"/>
  <c r="F908" i="2"/>
  <c r="F909" i="2"/>
  <c r="F910" i="2"/>
  <c r="F911" i="2"/>
  <c r="F912" i="2"/>
  <c r="F913" i="2"/>
  <c r="F914" i="2"/>
  <c r="F915" i="2"/>
  <c r="E908" i="2"/>
  <c r="E909" i="2"/>
  <c r="E910" i="2"/>
  <c r="E911" i="2"/>
  <c r="E912" i="2"/>
  <c r="E913" i="2"/>
  <c r="E914" i="2"/>
  <c r="E915" i="2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K950" i="1"/>
  <c r="K951" i="1"/>
  <c r="K952" i="1"/>
  <c r="K953" i="1"/>
  <c r="K954" i="1"/>
  <c r="K955" i="1"/>
  <c r="K956" i="1"/>
  <c r="K957" i="1"/>
  <c r="L956" i="1"/>
  <c r="H914" i="2"/>
  <c r="AK955" i="1"/>
  <c r="R955" i="1"/>
  <c r="H913" i="2"/>
  <c r="L954" i="1"/>
  <c r="H912" i="2"/>
  <c r="AK952" i="1"/>
  <c r="R952" i="1"/>
  <c r="H910" i="2"/>
  <c r="L957" i="1"/>
  <c r="H915" i="2"/>
  <c r="AK951" i="1"/>
  <c r="R951" i="1"/>
  <c r="H909" i="2"/>
  <c r="AK953" i="1"/>
  <c r="R953" i="1"/>
  <c r="H911" i="2"/>
  <c r="AK950" i="1"/>
  <c r="R950" i="1"/>
  <c r="H908" i="2"/>
  <c r="O952" i="1"/>
  <c r="P952" i="1"/>
  <c r="O950" i="1"/>
  <c r="P950" i="1"/>
  <c r="O956" i="1"/>
  <c r="P956" i="1"/>
  <c r="L955" i="1"/>
  <c r="O954" i="1"/>
  <c r="P954" i="1"/>
  <c r="L950" i="1"/>
  <c r="AK957" i="1"/>
  <c r="R957" i="1"/>
  <c r="L951" i="1"/>
  <c r="AK954" i="1"/>
  <c r="R954" i="1"/>
  <c r="AK956" i="1"/>
  <c r="R956" i="1"/>
  <c r="L953" i="1"/>
  <c r="L952" i="1"/>
  <c r="O957" i="1"/>
  <c r="P957" i="1"/>
  <c r="O953" i="1"/>
  <c r="P953" i="1"/>
  <c r="O955" i="1"/>
  <c r="P955" i="1"/>
  <c r="O951" i="1"/>
  <c r="P951" i="1"/>
  <c r="I910" i="2"/>
  <c r="J910" i="2"/>
  <c r="I908" i="2"/>
  <c r="J908" i="2"/>
  <c r="I912" i="2"/>
  <c r="J912" i="2"/>
  <c r="I911" i="2"/>
  <c r="J911" i="2"/>
  <c r="J913" i="2"/>
  <c r="I913" i="2"/>
  <c r="J909" i="2"/>
  <c r="I909" i="2"/>
  <c r="I914" i="2"/>
  <c r="J914" i="2"/>
  <c r="I915" i="2"/>
  <c r="J915" i="2"/>
  <c r="F696" i="2"/>
  <c r="H696" i="2"/>
  <c r="J696" i="2"/>
  <c r="F713" i="2"/>
  <c r="H40" i="2"/>
  <c r="J40" i="2"/>
  <c r="H39" i="2"/>
  <c r="I39" i="2"/>
  <c r="H38" i="2"/>
  <c r="I38" i="2"/>
  <c r="F1094" i="2"/>
  <c r="F1092" i="2"/>
  <c r="F1091" i="2"/>
  <c r="F1090" i="2"/>
  <c r="F1088" i="2"/>
  <c r="F1087" i="2"/>
  <c r="F1085" i="2"/>
  <c r="F1084" i="2"/>
  <c r="F1082" i="2"/>
  <c r="F1080" i="2"/>
  <c r="F1079" i="2"/>
  <c r="F1078" i="2"/>
  <c r="F1076" i="2"/>
  <c r="F1075" i="2"/>
  <c r="F1074" i="2"/>
  <c r="F1072" i="2"/>
  <c r="F1071" i="2"/>
  <c r="F1070" i="2"/>
  <c r="F1068" i="2"/>
  <c r="F1067" i="2"/>
  <c r="F1065" i="2"/>
  <c r="F1063" i="2"/>
  <c r="F1061" i="2"/>
  <c r="F1060" i="2"/>
  <c r="F1059" i="2"/>
  <c r="F1058" i="2"/>
  <c r="F1056" i="2"/>
  <c r="F1055" i="2"/>
  <c r="F1054" i="2"/>
  <c r="F1053" i="2"/>
  <c r="F1051" i="2"/>
  <c r="F1050" i="2"/>
  <c r="F1049" i="2"/>
  <c r="F1047" i="2"/>
  <c r="F1045" i="2"/>
  <c r="F1044" i="2"/>
  <c r="F1043" i="2"/>
  <c r="F1041" i="2"/>
  <c r="F1040" i="2"/>
  <c r="F1038" i="2"/>
  <c r="F1036" i="2"/>
  <c r="F1034" i="2"/>
  <c r="F1033" i="2"/>
  <c r="F1032" i="2"/>
  <c r="F1031" i="2"/>
  <c r="F1030" i="2"/>
  <c r="F1029" i="2"/>
  <c r="F1027" i="2"/>
  <c r="F1025" i="2"/>
  <c r="F1024" i="2"/>
  <c r="F1022" i="2"/>
  <c r="F1020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2" i="2"/>
  <c r="F1000" i="2"/>
  <c r="F999" i="2"/>
  <c r="F998" i="2"/>
  <c r="F997" i="2"/>
  <c r="F995" i="2"/>
  <c r="F994" i="2"/>
  <c r="F992" i="2"/>
  <c r="F990" i="2"/>
  <c r="F989" i="2"/>
  <c r="F988" i="2"/>
  <c r="F986" i="2"/>
  <c r="F984" i="2"/>
  <c r="F983" i="2"/>
  <c r="F981" i="2"/>
  <c r="F980" i="2"/>
  <c r="F978" i="2"/>
  <c r="F977" i="2"/>
  <c r="F975" i="2"/>
  <c r="F973" i="2"/>
  <c r="F971" i="2"/>
  <c r="F970" i="2"/>
  <c r="F966" i="2"/>
  <c r="F964" i="2"/>
  <c r="F963" i="2"/>
  <c r="F962" i="2"/>
  <c r="F961" i="2"/>
  <c r="F960" i="2"/>
  <c r="F959" i="2"/>
  <c r="F958" i="2"/>
  <c r="F957" i="2"/>
  <c r="F956" i="2"/>
  <c r="F954" i="2"/>
  <c r="F953" i="2"/>
  <c r="F952" i="2"/>
  <c r="F951" i="2"/>
  <c r="F950" i="2"/>
  <c r="F949" i="2"/>
  <c r="F947" i="2"/>
  <c r="F945" i="2"/>
  <c r="F944" i="2"/>
  <c r="F943" i="2"/>
  <c r="F941" i="2"/>
  <c r="F939" i="2"/>
  <c r="F938" i="2"/>
  <c r="F937" i="2"/>
  <c r="F936" i="2"/>
  <c r="F935" i="2"/>
  <c r="F933" i="2"/>
  <c r="F932" i="2"/>
  <c r="F931" i="2"/>
  <c r="F929" i="2"/>
  <c r="F927" i="2"/>
  <c r="F925" i="2"/>
  <c r="F923" i="2"/>
  <c r="F921" i="2"/>
  <c r="F920" i="2"/>
  <c r="F919" i="2"/>
  <c r="F917" i="2"/>
  <c r="F906" i="2"/>
  <c r="F905" i="2"/>
  <c r="F904" i="2"/>
  <c r="F903" i="2"/>
  <c r="F902" i="2"/>
  <c r="F901" i="2"/>
  <c r="F899" i="2"/>
  <c r="F897" i="2"/>
  <c r="F896" i="2"/>
  <c r="F894" i="2"/>
  <c r="F890" i="2"/>
  <c r="F888" i="2"/>
  <c r="F885" i="2"/>
  <c r="F884" i="2"/>
  <c r="F883" i="2"/>
  <c r="F882" i="2"/>
  <c r="F881" i="2"/>
  <c r="F880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3" i="2"/>
  <c r="F862" i="2"/>
  <c r="F861" i="2"/>
  <c r="F859" i="2"/>
  <c r="F858" i="2"/>
  <c r="F857" i="2"/>
  <c r="F854" i="2"/>
  <c r="F853" i="2"/>
  <c r="F845" i="2"/>
  <c r="F843" i="2"/>
  <c r="F842" i="2"/>
  <c r="F840" i="2"/>
  <c r="F834" i="2"/>
  <c r="F833" i="2"/>
  <c r="F831" i="2"/>
  <c r="F829" i="2"/>
  <c r="F828" i="2"/>
  <c r="F822" i="2"/>
  <c r="F817" i="2"/>
  <c r="F814" i="2"/>
  <c r="F812" i="2"/>
  <c r="F811" i="2"/>
  <c r="F810" i="2"/>
  <c r="F809" i="2"/>
  <c r="F806" i="2"/>
  <c r="F805" i="2"/>
  <c r="F804" i="2"/>
  <c r="F802" i="2"/>
  <c r="F801" i="2"/>
  <c r="F799" i="2"/>
  <c r="F798" i="2"/>
  <c r="F797" i="2"/>
  <c r="F796" i="2"/>
  <c r="F794" i="2"/>
  <c r="F793" i="2"/>
  <c r="F792" i="2"/>
  <c r="F790" i="2"/>
  <c r="F789" i="2"/>
  <c r="F788" i="2"/>
  <c r="F787" i="2"/>
  <c r="F786" i="2"/>
  <c r="F784" i="2"/>
  <c r="F783" i="2"/>
  <c r="F782" i="2"/>
  <c r="F778" i="2"/>
  <c r="F777" i="2"/>
  <c r="F776" i="2"/>
  <c r="F775" i="2"/>
  <c r="F773" i="2"/>
  <c r="F772" i="2"/>
  <c r="F770" i="2"/>
  <c r="F769" i="2"/>
  <c r="F768" i="2"/>
  <c r="F767" i="2"/>
  <c r="F766" i="2"/>
  <c r="F763" i="2"/>
  <c r="F762" i="2"/>
  <c r="F761" i="2"/>
  <c r="F759" i="2"/>
  <c r="F758" i="2"/>
  <c r="F756" i="2"/>
  <c r="F755" i="2"/>
  <c r="F754" i="2"/>
  <c r="F753" i="2"/>
  <c r="F752" i="2"/>
  <c r="F751" i="2"/>
  <c r="F750" i="2"/>
  <c r="F749" i="2"/>
  <c r="F748" i="2"/>
  <c r="F747" i="2"/>
  <c r="F746" i="2"/>
  <c r="F744" i="2"/>
  <c r="F743" i="2"/>
  <c r="F742" i="2"/>
  <c r="F741" i="2"/>
  <c r="F740" i="2"/>
  <c r="F739" i="2"/>
  <c r="F738" i="2"/>
  <c r="F737" i="2"/>
  <c r="F736" i="2"/>
  <c r="F735" i="2"/>
  <c r="F734" i="2"/>
  <c r="F730" i="2"/>
  <c r="F728" i="2"/>
  <c r="F726" i="2"/>
  <c r="F725" i="2"/>
  <c r="F724" i="2"/>
  <c r="F719" i="2"/>
  <c r="F716" i="2"/>
  <c r="F714" i="2"/>
  <c r="F711" i="2"/>
  <c r="F708" i="2"/>
  <c r="F706" i="2"/>
  <c r="F701" i="2"/>
  <c r="F700" i="2"/>
  <c r="F699" i="2"/>
  <c r="F697" i="2"/>
  <c r="F694" i="2"/>
  <c r="F692" i="2"/>
  <c r="F690" i="2"/>
  <c r="F688" i="2"/>
  <c r="F687" i="2"/>
  <c r="F684" i="2"/>
  <c r="F683" i="2"/>
  <c r="F682" i="2"/>
  <c r="F679" i="2"/>
  <c r="F678" i="2"/>
  <c r="F677" i="2"/>
  <c r="F676" i="2"/>
  <c r="F675" i="2"/>
  <c r="F674" i="2"/>
  <c r="F672" i="2"/>
  <c r="F671" i="2"/>
  <c r="F670" i="2"/>
  <c r="F669" i="2"/>
  <c r="F668" i="2"/>
  <c r="F667" i="2"/>
  <c r="F666" i="2"/>
  <c r="F665" i="2"/>
  <c r="F663" i="2"/>
  <c r="F662" i="2"/>
  <c r="F661" i="2"/>
  <c r="F658" i="2"/>
  <c r="F657" i="2"/>
  <c r="F656" i="2"/>
  <c r="F655" i="2"/>
  <c r="F651" i="2"/>
  <c r="F650" i="2"/>
  <c r="F649" i="2"/>
  <c r="F648" i="2"/>
  <c r="F647" i="2"/>
  <c r="F646" i="2"/>
  <c r="F547" i="2"/>
  <c r="F545" i="2"/>
  <c r="F544" i="2"/>
  <c r="F543" i="2"/>
  <c r="F541" i="2"/>
  <c r="F540" i="2"/>
  <c r="F539" i="2"/>
  <c r="F538" i="2"/>
  <c r="F536" i="2"/>
  <c r="F535" i="2"/>
  <c r="F533" i="2"/>
  <c r="F532" i="2"/>
  <c r="F531" i="2"/>
  <c r="F530" i="2"/>
  <c r="F529" i="2"/>
  <c r="F527" i="2"/>
  <c r="F525" i="2"/>
  <c r="F524" i="2"/>
  <c r="F522" i="2"/>
  <c r="F521" i="2"/>
  <c r="F519" i="2"/>
  <c r="F518" i="2"/>
  <c r="F517" i="2"/>
  <c r="F516" i="2"/>
  <c r="F515" i="2"/>
  <c r="F514" i="2"/>
  <c r="F513" i="2"/>
  <c r="F512" i="2"/>
  <c r="F511" i="2"/>
  <c r="F510" i="2"/>
  <c r="F509" i="2"/>
  <c r="F507" i="2"/>
  <c r="F506" i="2"/>
  <c r="F504" i="2"/>
  <c r="F502" i="2"/>
  <c r="F500" i="2"/>
  <c r="F498" i="2"/>
  <c r="F497" i="2"/>
  <c r="F495" i="2"/>
  <c r="F494" i="2"/>
  <c r="F492" i="2"/>
  <c r="F491" i="2"/>
  <c r="F490" i="2"/>
  <c r="F488" i="2"/>
  <c r="F487" i="2"/>
  <c r="F486" i="2"/>
  <c r="F483" i="2"/>
  <c r="F482" i="2"/>
  <c r="F480" i="2"/>
  <c r="F479" i="2"/>
  <c r="F478" i="2"/>
  <c r="F477" i="2"/>
  <c r="F476" i="2"/>
  <c r="F474" i="2"/>
  <c r="F472" i="2"/>
  <c r="F471" i="2"/>
  <c r="F470" i="2"/>
  <c r="F469" i="2"/>
  <c r="F467" i="2"/>
  <c r="F465" i="2"/>
  <c r="F464" i="2"/>
  <c r="F463" i="2"/>
  <c r="F461" i="2"/>
  <c r="F460" i="2"/>
  <c r="F458" i="2"/>
  <c r="F457" i="2"/>
  <c r="F455" i="2"/>
  <c r="F453" i="2"/>
  <c r="F451" i="2"/>
  <c r="F449" i="2"/>
  <c r="F447" i="2"/>
  <c r="F445" i="2"/>
  <c r="F444" i="2"/>
  <c r="F442" i="2"/>
  <c r="F441" i="2"/>
  <c r="F439" i="2"/>
  <c r="F438" i="2"/>
  <c r="F437" i="2"/>
  <c r="F436" i="2"/>
  <c r="F434" i="2"/>
  <c r="F433" i="2"/>
  <c r="F431" i="2"/>
  <c r="F430" i="2"/>
  <c r="F428" i="2"/>
  <c r="F427" i="2"/>
  <c r="F426" i="2"/>
  <c r="F425" i="2"/>
  <c r="F423" i="2"/>
  <c r="F422" i="2"/>
  <c r="F420" i="2"/>
  <c r="F419" i="2"/>
  <c r="F418" i="2"/>
  <c r="F417" i="2"/>
  <c r="F416" i="2"/>
  <c r="F414" i="2"/>
  <c r="F413" i="2"/>
  <c r="F412" i="2"/>
  <c r="F411" i="2"/>
  <c r="F410" i="2"/>
  <c r="F408" i="2"/>
  <c r="F406" i="2"/>
  <c r="F405" i="2"/>
  <c r="F404" i="2"/>
  <c r="F403" i="2"/>
  <c r="F402" i="2"/>
  <c r="F400" i="2"/>
  <c r="F399" i="2"/>
  <c r="F398" i="2"/>
  <c r="F397" i="2"/>
  <c r="F396" i="2"/>
  <c r="F389" i="2"/>
  <c r="F388" i="2"/>
  <c r="F386" i="2"/>
  <c r="F385" i="2"/>
  <c r="F384" i="2"/>
  <c r="F382" i="2"/>
  <c r="F381" i="2"/>
  <c r="F380" i="2"/>
  <c r="F379" i="2"/>
  <c r="F377" i="2"/>
  <c r="F376" i="2"/>
  <c r="F375" i="2"/>
  <c r="F374" i="2"/>
  <c r="F372" i="2"/>
  <c r="F371" i="2"/>
  <c r="F370" i="2"/>
  <c r="F369" i="2"/>
  <c r="F367" i="2"/>
  <c r="F366" i="2"/>
  <c r="F365" i="2"/>
  <c r="F364" i="2"/>
  <c r="F362" i="2"/>
  <c r="F361" i="2"/>
  <c r="F358" i="2"/>
  <c r="F357" i="2"/>
  <c r="F356" i="2"/>
  <c r="F355" i="2"/>
  <c r="F354" i="2"/>
  <c r="F353" i="2"/>
  <c r="F352" i="2"/>
  <c r="F350" i="2"/>
  <c r="F349" i="2"/>
  <c r="F348" i="2"/>
  <c r="F347" i="2"/>
  <c r="F346" i="2"/>
  <c r="F344" i="2"/>
  <c r="F342" i="2"/>
  <c r="F340" i="2"/>
  <c r="F339" i="2"/>
  <c r="F337" i="2"/>
  <c r="F336" i="2"/>
  <c r="F334" i="2"/>
  <c r="F333" i="2"/>
  <c r="F331" i="2"/>
  <c r="F330" i="2"/>
  <c r="F329" i="2"/>
  <c r="F328" i="2"/>
  <c r="F327" i="2"/>
  <c r="F326" i="2"/>
  <c r="F325" i="2"/>
  <c r="F324" i="2"/>
  <c r="F323" i="2"/>
  <c r="F321" i="2"/>
  <c r="F320" i="2"/>
  <c r="F319" i="2"/>
  <c r="F318" i="2"/>
  <c r="F317" i="2"/>
  <c r="F316" i="2"/>
  <c r="F315" i="2"/>
  <c r="F314" i="2"/>
  <c r="F313" i="2"/>
  <c r="F311" i="2"/>
  <c r="F310" i="2"/>
  <c r="F309" i="2"/>
  <c r="F307" i="2"/>
  <c r="F306" i="2"/>
  <c r="F305" i="2"/>
  <c r="F304" i="2"/>
  <c r="F303" i="2"/>
  <c r="F302" i="2"/>
  <c r="F301" i="2"/>
  <c r="F300" i="2"/>
  <c r="F299" i="2"/>
  <c r="F297" i="2"/>
  <c r="F296" i="2"/>
  <c r="F295" i="2"/>
  <c r="F294" i="2"/>
  <c r="F293" i="2"/>
  <c r="F292" i="2"/>
  <c r="F291" i="2"/>
  <c r="F290" i="2"/>
  <c r="F289" i="2"/>
  <c r="F287" i="2"/>
  <c r="F286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5" i="2"/>
  <c r="F254" i="2"/>
  <c r="F253" i="2"/>
  <c r="F252" i="2"/>
  <c r="F250" i="2"/>
  <c r="F248" i="2"/>
  <c r="F247" i="2"/>
  <c r="F246" i="2"/>
  <c r="F245" i="2"/>
  <c r="F244" i="2"/>
  <c r="F243" i="2"/>
  <c r="F242" i="2"/>
  <c r="F241" i="2"/>
  <c r="F240" i="2"/>
  <c r="F238" i="2"/>
  <c r="F237" i="2"/>
  <c r="F236" i="2"/>
  <c r="F235" i="2"/>
  <c r="F234" i="2"/>
  <c r="F233" i="2"/>
  <c r="F231" i="2"/>
  <c r="F229" i="2"/>
  <c r="F228" i="2"/>
  <c r="F226" i="2"/>
  <c r="F225" i="2"/>
  <c r="F224" i="2"/>
  <c r="F223" i="2"/>
  <c r="F222" i="2"/>
  <c r="F221" i="2"/>
  <c r="F220" i="2"/>
  <c r="F218" i="2"/>
  <c r="F217" i="2"/>
  <c r="F216" i="2"/>
  <c r="F215" i="2"/>
  <c r="F214" i="2"/>
  <c r="F212" i="2"/>
  <c r="F210" i="2"/>
  <c r="F209" i="2"/>
  <c r="F208" i="2"/>
  <c r="F206" i="2"/>
  <c r="F205" i="2"/>
  <c r="F204" i="2"/>
  <c r="F203" i="2"/>
  <c r="F201" i="2"/>
  <c r="F200" i="2"/>
  <c r="F198" i="2"/>
  <c r="F197" i="2"/>
  <c r="F195" i="2"/>
  <c r="F194" i="2"/>
  <c r="F192" i="2"/>
  <c r="F191" i="2"/>
  <c r="F190" i="2"/>
  <c r="F189" i="2"/>
  <c r="F188" i="2"/>
  <c r="F186" i="2"/>
  <c r="F185" i="2"/>
  <c r="F184" i="2"/>
  <c r="F183" i="2"/>
  <c r="F182" i="2"/>
  <c r="F180" i="2"/>
  <c r="F179" i="2"/>
  <c r="F178" i="2"/>
  <c r="F177" i="2"/>
  <c r="F175" i="2"/>
  <c r="F173" i="2"/>
  <c r="F172" i="2"/>
  <c r="F171" i="2"/>
  <c r="F170" i="2"/>
  <c r="F168" i="2"/>
  <c r="F166" i="2"/>
  <c r="F165" i="2"/>
  <c r="F164" i="2"/>
  <c r="F162" i="2"/>
  <c r="F161" i="2"/>
  <c r="F160" i="2"/>
  <c r="F159" i="2"/>
  <c r="F158" i="2"/>
  <c r="F157" i="2"/>
  <c r="F156" i="2"/>
  <c r="F155" i="2"/>
  <c r="F154" i="2"/>
  <c r="F153" i="2"/>
  <c r="F152" i="2"/>
  <c r="F150" i="2"/>
  <c r="F149" i="2"/>
  <c r="F148" i="2"/>
  <c r="F147" i="2"/>
  <c r="F146" i="2"/>
  <c r="F145" i="2"/>
  <c r="F144" i="2"/>
  <c r="F143" i="2"/>
  <c r="F142" i="2"/>
  <c r="F141" i="2"/>
  <c r="F139" i="2"/>
  <c r="F138" i="2"/>
  <c r="F137" i="2"/>
  <c r="F136" i="2"/>
  <c r="F135" i="2"/>
  <c r="F133" i="2"/>
  <c r="F132" i="2"/>
  <c r="F131" i="2"/>
  <c r="F130" i="2"/>
  <c r="F129" i="2"/>
  <c r="F127" i="2"/>
  <c r="F126" i="2"/>
  <c r="F124" i="2"/>
  <c r="F123" i="2"/>
  <c r="F122" i="2"/>
  <c r="F121" i="2"/>
  <c r="F119" i="2"/>
  <c r="F118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8" i="2"/>
  <c r="F97" i="2"/>
  <c r="F96" i="2"/>
  <c r="F95" i="2"/>
  <c r="F94" i="2"/>
  <c r="F93" i="2"/>
  <c r="F92" i="2"/>
  <c r="F91" i="2"/>
  <c r="F90" i="2"/>
  <c r="F88" i="2"/>
  <c r="F86" i="2"/>
  <c r="F84" i="2"/>
  <c r="F82" i="2"/>
  <c r="F81" i="2"/>
  <c r="F80" i="2"/>
  <c r="F78" i="2"/>
  <c r="F76" i="2"/>
  <c r="F74" i="2"/>
  <c r="F73" i="2"/>
  <c r="F71" i="2"/>
  <c r="F70" i="2"/>
  <c r="F69" i="2"/>
  <c r="F68" i="2"/>
  <c r="F67" i="2"/>
  <c r="F66" i="2"/>
  <c r="F65" i="2"/>
  <c r="F63" i="2"/>
  <c r="F62" i="2"/>
  <c r="F61" i="2"/>
  <c r="F60" i="2"/>
  <c r="F59" i="2"/>
  <c r="F57" i="2"/>
  <c r="F56" i="2"/>
  <c r="F55" i="2"/>
  <c r="F54" i="2"/>
  <c r="F53" i="2"/>
  <c r="F52" i="2"/>
  <c r="F51" i="2"/>
  <c r="F44" i="2"/>
  <c r="F43" i="2"/>
  <c r="F42" i="2"/>
  <c r="F40" i="2"/>
  <c r="F39" i="2"/>
  <c r="F38" i="2"/>
  <c r="F36" i="2"/>
  <c r="F35" i="2"/>
  <c r="F34" i="2"/>
  <c r="F33" i="2"/>
  <c r="F31" i="2"/>
  <c r="F30" i="2"/>
  <c r="F29" i="2"/>
  <c r="F28" i="2"/>
  <c r="F27" i="2"/>
  <c r="F26" i="2"/>
  <c r="F25" i="2"/>
  <c r="F23" i="2"/>
  <c r="F22" i="2"/>
  <c r="F21" i="2"/>
  <c r="F20" i="2"/>
  <c r="F19" i="2"/>
  <c r="F17" i="2"/>
  <c r="F16" i="2"/>
  <c r="E1094" i="2"/>
  <c r="E1092" i="2"/>
  <c r="E1091" i="2"/>
  <c r="E1090" i="2"/>
  <c r="E1088" i="2"/>
  <c r="E1087" i="2"/>
  <c r="E1085" i="2"/>
  <c r="E1084" i="2"/>
  <c r="E1082" i="2"/>
  <c r="E1080" i="2"/>
  <c r="E1079" i="2"/>
  <c r="E1078" i="2"/>
  <c r="E1076" i="2"/>
  <c r="E1075" i="2"/>
  <c r="E1074" i="2"/>
  <c r="E1072" i="2"/>
  <c r="E1071" i="2"/>
  <c r="E1070" i="2"/>
  <c r="E1068" i="2"/>
  <c r="E1067" i="2"/>
  <c r="E1065" i="2"/>
  <c r="E1063" i="2"/>
  <c r="E1061" i="2"/>
  <c r="E1060" i="2"/>
  <c r="E1059" i="2"/>
  <c r="E1058" i="2"/>
  <c r="E1056" i="2"/>
  <c r="E1055" i="2"/>
  <c r="E1054" i="2"/>
  <c r="E1053" i="2"/>
  <c r="E1051" i="2"/>
  <c r="E1050" i="2"/>
  <c r="E1049" i="2"/>
  <c r="E1047" i="2"/>
  <c r="E1045" i="2"/>
  <c r="E1044" i="2"/>
  <c r="E1043" i="2"/>
  <c r="E1041" i="2"/>
  <c r="E1040" i="2"/>
  <c r="E1038" i="2"/>
  <c r="E1036" i="2"/>
  <c r="E1034" i="2"/>
  <c r="E1033" i="2"/>
  <c r="E1032" i="2"/>
  <c r="E1031" i="2"/>
  <c r="E1030" i="2"/>
  <c r="E1029" i="2"/>
  <c r="E1027" i="2"/>
  <c r="E1025" i="2"/>
  <c r="E1024" i="2"/>
  <c r="E1022" i="2"/>
  <c r="E1020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2" i="2"/>
  <c r="E1000" i="2"/>
  <c r="E999" i="2"/>
  <c r="E998" i="2"/>
  <c r="E997" i="2"/>
  <c r="E995" i="2"/>
  <c r="E994" i="2"/>
  <c r="E992" i="2"/>
  <c r="E990" i="2"/>
  <c r="E989" i="2"/>
  <c r="E988" i="2"/>
  <c r="E986" i="2"/>
  <c r="E984" i="2"/>
  <c r="E983" i="2"/>
  <c r="E981" i="2"/>
  <c r="E980" i="2"/>
  <c r="E978" i="2"/>
  <c r="E977" i="2"/>
  <c r="E975" i="2"/>
  <c r="E973" i="2"/>
  <c r="E971" i="2"/>
  <c r="E970" i="2"/>
  <c r="E966" i="2"/>
  <c r="E964" i="2"/>
  <c r="E963" i="2"/>
  <c r="E962" i="2"/>
  <c r="E961" i="2"/>
  <c r="E960" i="2"/>
  <c r="E959" i="2"/>
  <c r="E958" i="2"/>
  <c r="E957" i="2"/>
  <c r="E956" i="2"/>
  <c r="E954" i="2"/>
  <c r="E953" i="2"/>
  <c r="E952" i="2"/>
  <c r="E951" i="2"/>
  <c r="E950" i="2"/>
  <c r="E949" i="2"/>
  <c r="E947" i="2"/>
  <c r="E945" i="2"/>
  <c r="E944" i="2"/>
  <c r="E943" i="2"/>
  <c r="E941" i="2"/>
  <c r="E939" i="2"/>
  <c r="E938" i="2"/>
  <c r="E937" i="2"/>
  <c r="E936" i="2"/>
  <c r="E935" i="2"/>
  <c r="E933" i="2"/>
  <c r="E932" i="2"/>
  <c r="E931" i="2"/>
  <c r="E929" i="2"/>
  <c r="E927" i="2"/>
  <c r="E925" i="2"/>
  <c r="E923" i="2"/>
  <c r="E921" i="2"/>
  <c r="E920" i="2"/>
  <c r="E919" i="2"/>
  <c r="E917" i="2"/>
  <c r="E906" i="2"/>
  <c r="E905" i="2"/>
  <c r="E904" i="2"/>
  <c r="E903" i="2"/>
  <c r="E902" i="2"/>
  <c r="E901" i="2"/>
  <c r="E899" i="2"/>
  <c r="E897" i="2"/>
  <c r="E896" i="2"/>
  <c r="E894" i="2"/>
  <c r="E890" i="2"/>
  <c r="E888" i="2"/>
  <c r="E885" i="2"/>
  <c r="E884" i="2"/>
  <c r="E883" i="2"/>
  <c r="E882" i="2"/>
  <c r="E881" i="2"/>
  <c r="E880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3" i="2"/>
  <c r="E862" i="2"/>
  <c r="E861" i="2"/>
  <c r="E859" i="2"/>
  <c r="E858" i="2"/>
  <c r="E857" i="2"/>
  <c r="E854" i="2"/>
  <c r="E853" i="2"/>
  <c r="E845" i="2"/>
  <c r="E843" i="2"/>
  <c r="E842" i="2"/>
  <c r="E840" i="2"/>
  <c r="E834" i="2"/>
  <c r="E833" i="2"/>
  <c r="E831" i="2"/>
  <c r="E829" i="2"/>
  <c r="E828" i="2"/>
  <c r="E822" i="2"/>
  <c r="E817" i="2"/>
  <c r="E814" i="2"/>
  <c r="E812" i="2"/>
  <c r="E811" i="2"/>
  <c r="E810" i="2"/>
  <c r="E809" i="2"/>
  <c r="E806" i="2"/>
  <c r="E805" i="2"/>
  <c r="E804" i="2"/>
  <c r="E802" i="2"/>
  <c r="E801" i="2"/>
  <c r="E799" i="2"/>
  <c r="E798" i="2"/>
  <c r="E797" i="2"/>
  <c r="E796" i="2"/>
  <c r="E794" i="2"/>
  <c r="E793" i="2"/>
  <c r="E792" i="2"/>
  <c r="E790" i="2"/>
  <c r="E789" i="2"/>
  <c r="E788" i="2"/>
  <c r="E787" i="2"/>
  <c r="E786" i="2"/>
  <c r="E784" i="2"/>
  <c r="E783" i="2"/>
  <c r="E782" i="2"/>
  <c r="E778" i="2"/>
  <c r="E777" i="2"/>
  <c r="E776" i="2"/>
  <c r="E775" i="2"/>
  <c r="E773" i="2"/>
  <c r="E772" i="2"/>
  <c r="E770" i="2"/>
  <c r="E769" i="2"/>
  <c r="E768" i="2"/>
  <c r="E767" i="2"/>
  <c r="E766" i="2"/>
  <c r="E763" i="2"/>
  <c r="E762" i="2"/>
  <c r="E761" i="2"/>
  <c r="E759" i="2"/>
  <c r="E758" i="2"/>
  <c r="E756" i="2"/>
  <c r="E755" i="2"/>
  <c r="E754" i="2"/>
  <c r="E753" i="2"/>
  <c r="E752" i="2"/>
  <c r="E751" i="2"/>
  <c r="E750" i="2"/>
  <c r="E749" i="2"/>
  <c r="E748" i="2"/>
  <c r="E747" i="2"/>
  <c r="E746" i="2"/>
  <c r="E744" i="2"/>
  <c r="E743" i="2"/>
  <c r="E742" i="2"/>
  <c r="E741" i="2"/>
  <c r="E740" i="2"/>
  <c r="E739" i="2"/>
  <c r="E738" i="2"/>
  <c r="E737" i="2"/>
  <c r="E736" i="2"/>
  <c r="E735" i="2"/>
  <c r="E734" i="2"/>
  <c r="E730" i="2"/>
  <c r="E728" i="2"/>
  <c r="E726" i="2"/>
  <c r="E725" i="2"/>
  <c r="E724" i="2"/>
  <c r="E719" i="2"/>
  <c r="E716" i="2"/>
  <c r="E714" i="2"/>
  <c r="E711" i="2"/>
  <c r="E708" i="2"/>
  <c r="E706" i="2"/>
  <c r="E701" i="2"/>
  <c r="E700" i="2"/>
  <c r="E699" i="2"/>
  <c r="E697" i="2"/>
  <c r="E694" i="2"/>
  <c r="E692" i="2"/>
  <c r="E690" i="2"/>
  <c r="E688" i="2"/>
  <c r="E687" i="2"/>
  <c r="E684" i="2"/>
  <c r="E683" i="2"/>
  <c r="E682" i="2"/>
  <c r="E679" i="2"/>
  <c r="E678" i="2"/>
  <c r="E677" i="2"/>
  <c r="E676" i="2"/>
  <c r="E675" i="2"/>
  <c r="E674" i="2"/>
  <c r="E672" i="2"/>
  <c r="E671" i="2"/>
  <c r="E670" i="2"/>
  <c r="E669" i="2"/>
  <c r="E668" i="2"/>
  <c r="E667" i="2"/>
  <c r="E666" i="2"/>
  <c r="E665" i="2"/>
  <c r="E663" i="2"/>
  <c r="E662" i="2"/>
  <c r="E661" i="2"/>
  <c r="E658" i="2"/>
  <c r="E657" i="2"/>
  <c r="E656" i="2"/>
  <c r="E655" i="2"/>
  <c r="E651" i="2"/>
  <c r="E650" i="2"/>
  <c r="E649" i="2"/>
  <c r="E648" i="2"/>
  <c r="E647" i="2"/>
  <c r="E646" i="2"/>
  <c r="E547" i="2"/>
  <c r="E545" i="2"/>
  <c r="E544" i="2"/>
  <c r="E543" i="2"/>
  <c r="E541" i="2"/>
  <c r="E540" i="2"/>
  <c r="E539" i="2"/>
  <c r="E538" i="2"/>
  <c r="E536" i="2"/>
  <c r="E535" i="2"/>
  <c r="E533" i="2"/>
  <c r="E532" i="2"/>
  <c r="E531" i="2"/>
  <c r="E530" i="2"/>
  <c r="E529" i="2"/>
  <c r="E527" i="2"/>
  <c r="E525" i="2"/>
  <c r="E524" i="2"/>
  <c r="E522" i="2"/>
  <c r="E521" i="2"/>
  <c r="E519" i="2"/>
  <c r="E518" i="2"/>
  <c r="E517" i="2"/>
  <c r="E516" i="2"/>
  <c r="E515" i="2"/>
  <c r="E514" i="2"/>
  <c r="E513" i="2"/>
  <c r="E512" i="2"/>
  <c r="E511" i="2"/>
  <c r="E510" i="2"/>
  <c r="E509" i="2"/>
  <c r="E507" i="2"/>
  <c r="E506" i="2"/>
  <c r="E504" i="2"/>
  <c r="E502" i="2"/>
  <c r="E500" i="2"/>
  <c r="E498" i="2"/>
  <c r="E497" i="2"/>
  <c r="E495" i="2"/>
  <c r="E494" i="2"/>
  <c r="E492" i="2"/>
  <c r="E491" i="2"/>
  <c r="E490" i="2"/>
  <c r="E488" i="2"/>
  <c r="E487" i="2"/>
  <c r="E486" i="2"/>
  <c r="E483" i="2"/>
  <c r="E482" i="2"/>
  <c r="E480" i="2"/>
  <c r="E479" i="2"/>
  <c r="E478" i="2"/>
  <c r="E477" i="2"/>
  <c r="E476" i="2"/>
  <c r="E474" i="2"/>
  <c r="E472" i="2"/>
  <c r="E471" i="2"/>
  <c r="E470" i="2"/>
  <c r="E469" i="2"/>
  <c r="E467" i="2"/>
  <c r="E465" i="2"/>
  <c r="E464" i="2"/>
  <c r="E463" i="2"/>
  <c r="E461" i="2"/>
  <c r="E460" i="2"/>
  <c r="E458" i="2"/>
  <c r="E457" i="2"/>
  <c r="E455" i="2"/>
  <c r="E453" i="2"/>
  <c r="E451" i="2"/>
  <c r="E449" i="2"/>
  <c r="E447" i="2"/>
  <c r="E445" i="2"/>
  <c r="E444" i="2"/>
  <c r="E442" i="2"/>
  <c r="E441" i="2"/>
  <c r="E439" i="2"/>
  <c r="E438" i="2"/>
  <c r="E437" i="2"/>
  <c r="E436" i="2"/>
  <c r="E434" i="2"/>
  <c r="E433" i="2"/>
  <c r="E431" i="2"/>
  <c r="E430" i="2"/>
  <c r="E428" i="2"/>
  <c r="E427" i="2"/>
  <c r="E426" i="2"/>
  <c r="E425" i="2"/>
  <c r="E423" i="2"/>
  <c r="E422" i="2"/>
  <c r="E420" i="2"/>
  <c r="E419" i="2"/>
  <c r="E418" i="2"/>
  <c r="E417" i="2"/>
  <c r="E416" i="2"/>
  <c r="E414" i="2"/>
  <c r="E413" i="2"/>
  <c r="E412" i="2"/>
  <c r="E411" i="2"/>
  <c r="E410" i="2"/>
  <c r="E408" i="2"/>
  <c r="E406" i="2"/>
  <c r="E405" i="2"/>
  <c r="E404" i="2"/>
  <c r="E403" i="2"/>
  <c r="E402" i="2"/>
  <c r="E400" i="2"/>
  <c r="E399" i="2"/>
  <c r="E398" i="2"/>
  <c r="E397" i="2"/>
  <c r="E396" i="2"/>
  <c r="E389" i="2"/>
  <c r="E388" i="2"/>
  <c r="E386" i="2"/>
  <c r="E385" i="2"/>
  <c r="E384" i="2"/>
  <c r="E382" i="2"/>
  <c r="E381" i="2"/>
  <c r="E380" i="2"/>
  <c r="E379" i="2"/>
  <c r="E377" i="2"/>
  <c r="E376" i="2"/>
  <c r="E375" i="2"/>
  <c r="E374" i="2"/>
  <c r="E372" i="2"/>
  <c r="E371" i="2"/>
  <c r="E370" i="2"/>
  <c r="E369" i="2"/>
  <c r="E367" i="2"/>
  <c r="E366" i="2"/>
  <c r="E365" i="2"/>
  <c r="E364" i="2"/>
  <c r="E362" i="2"/>
  <c r="E361" i="2"/>
  <c r="E358" i="2"/>
  <c r="E357" i="2"/>
  <c r="E356" i="2"/>
  <c r="E355" i="2"/>
  <c r="E354" i="2"/>
  <c r="E353" i="2"/>
  <c r="E352" i="2"/>
  <c r="E350" i="2"/>
  <c r="E349" i="2"/>
  <c r="E348" i="2"/>
  <c r="E347" i="2"/>
  <c r="E346" i="2"/>
  <c r="E344" i="2"/>
  <c r="E342" i="2"/>
  <c r="E340" i="2"/>
  <c r="E339" i="2"/>
  <c r="E337" i="2"/>
  <c r="E336" i="2"/>
  <c r="E334" i="2"/>
  <c r="E333" i="2"/>
  <c r="E331" i="2"/>
  <c r="E330" i="2"/>
  <c r="E329" i="2"/>
  <c r="E328" i="2"/>
  <c r="E327" i="2"/>
  <c r="E326" i="2"/>
  <c r="E325" i="2"/>
  <c r="E324" i="2"/>
  <c r="E323" i="2"/>
  <c r="E321" i="2"/>
  <c r="E320" i="2"/>
  <c r="E319" i="2"/>
  <c r="E318" i="2"/>
  <c r="E317" i="2"/>
  <c r="E316" i="2"/>
  <c r="E315" i="2"/>
  <c r="E314" i="2"/>
  <c r="E313" i="2"/>
  <c r="E311" i="2"/>
  <c r="E310" i="2"/>
  <c r="E309" i="2"/>
  <c r="E307" i="2"/>
  <c r="E306" i="2"/>
  <c r="E305" i="2"/>
  <c r="E304" i="2"/>
  <c r="E303" i="2"/>
  <c r="E302" i="2"/>
  <c r="E301" i="2"/>
  <c r="E300" i="2"/>
  <c r="E299" i="2"/>
  <c r="E297" i="2"/>
  <c r="E296" i="2"/>
  <c r="E295" i="2"/>
  <c r="E294" i="2"/>
  <c r="E293" i="2"/>
  <c r="E292" i="2"/>
  <c r="E291" i="2"/>
  <c r="E290" i="2"/>
  <c r="E289" i="2"/>
  <c r="E287" i="2"/>
  <c r="E286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5" i="2"/>
  <c r="E254" i="2"/>
  <c r="E253" i="2"/>
  <c r="E252" i="2"/>
  <c r="E250" i="2"/>
  <c r="E248" i="2"/>
  <c r="E247" i="2"/>
  <c r="E246" i="2"/>
  <c r="E245" i="2"/>
  <c r="E244" i="2"/>
  <c r="E243" i="2"/>
  <c r="E242" i="2"/>
  <c r="E241" i="2"/>
  <c r="E240" i="2"/>
  <c r="E238" i="2"/>
  <c r="E237" i="2"/>
  <c r="E236" i="2"/>
  <c r="E235" i="2"/>
  <c r="E234" i="2"/>
  <c r="E233" i="2"/>
  <c r="E231" i="2"/>
  <c r="E229" i="2"/>
  <c r="E228" i="2"/>
  <c r="E226" i="2"/>
  <c r="E225" i="2"/>
  <c r="E224" i="2"/>
  <c r="E223" i="2"/>
  <c r="E222" i="2"/>
  <c r="E221" i="2"/>
  <c r="E220" i="2"/>
  <c r="E218" i="2"/>
  <c r="E217" i="2"/>
  <c r="E216" i="2"/>
  <c r="E215" i="2"/>
  <c r="E214" i="2"/>
  <c r="E212" i="2"/>
  <c r="E210" i="2"/>
  <c r="E209" i="2"/>
  <c r="E208" i="2"/>
  <c r="E206" i="2"/>
  <c r="E205" i="2"/>
  <c r="E204" i="2"/>
  <c r="E203" i="2"/>
  <c r="E201" i="2"/>
  <c r="E200" i="2"/>
  <c r="E198" i="2"/>
  <c r="E197" i="2"/>
  <c r="E195" i="2"/>
  <c r="E194" i="2"/>
  <c r="E192" i="2"/>
  <c r="E191" i="2"/>
  <c r="E190" i="2"/>
  <c r="E189" i="2"/>
  <c r="E188" i="2"/>
  <c r="E186" i="2"/>
  <c r="E185" i="2"/>
  <c r="E184" i="2"/>
  <c r="E183" i="2"/>
  <c r="E182" i="2"/>
  <c r="E180" i="2"/>
  <c r="E179" i="2"/>
  <c r="E178" i="2"/>
  <c r="E177" i="2"/>
  <c r="E175" i="2"/>
  <c r="E173" i="2"/>
  <c r="E172" i="2"/>
  <c r="E171" i="2"/>
  <c r="E170" i="2"/>
  <c r="E168" i="2"/>
  <c r="E166" i="2"/>
  <c r="E165" i="2"/>
  <c r="E164" i="2"/>
  <c r="E162" i="2"/>
  <c r="E161" i="2"/>
  <c r="E160" i="2"/>
  <c r="E159" i="2"/>
  <c r="E158" i="2"/>
  <c r="E157" i="2"/>
  <c r="E156" i="2"/>
  <c r="E155" i="2"/>
  <c r="E154" i="2"/>
  <c r="E153" i="2"/>
  <c r="E152" i="2"/>
  <c r="E150" i="2"/>
  <c r="E149" i="2"/>
  <c r="E148" i="2"/>
  <c r="E147" i="2"/>
  <c r="E146" i="2"/>
  <c r="E145" i="2"/>
  <c r="E144" i="2"/>
  <c r="E143" i="2"/>
  <c r="E142" i="2"/>
  <c r="E141" i="2"/>
  <c r="E139" i="2"/>
  <c r="E138" i="2"/>
  <c r="E137" i="2"/>
  <c r="E136" i="2"/>
  <c r="E135" i="2"/>
  <c r="E133" i="2"/>
  <c r="E132" i="2"/>
  <c r="E131" i="2"/>
  <c r="E130" i="2"/>
  <c r="E129" i="2"/>
  <c r="E127" i="2"/>
  <c r="E126" i="2"/>
  <c r="E124" i="2"/>
  <c r="E123" i="2"/>
  <c r="E122" i="2"/>
  <c r="E121" i="2"/>
  <c r="E119" i="2"/>
  <c r="E118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8" i="2"/>
  <c r="E97" i="2"/>
  <c r="E96" i="2"/>
  <c r="E95" i="2"/>
  <c r="E94" i="2"/>
  <c r="E93" i="2"/>
  <c r="E92" i="2"/>
  <c r="E91" i="2"/>
  <c r="E90" i="2"/>
  <c r="E88" i="2"/>
  <c r="E86" i="2"/>
  <c r="E84" i="2"/>
  <c r="E82" i="2"/>
  <c r="E81" i="2"/>
  <c r="E80" i="2"/>
  <c r="E78" i="2"/>
  <c r="E76" i="2"/>
  <c r="E74" i="2"/>
  <c r="E73" i="2"/>
  <c r="E71" i="2"/>
  <c r="E70" i="2"/>
  <c r="E69" i="2"/>
  <c r="E68" i="2"/>
  <c r="E67" i="2"/>
  <c r="E66" i="2"/>
  <c r="E65" i="2"/>
  <c r="E63" i="2"/>
  <c r="E62" i="2"/>
  <c r="E61" i="2"/>
  <c r="E60" i="2"/>
  <c r="E59" i="2"/>
  <c r="E57" i="2"/>
  <c r="E56" i="2"/>
  <c r="E55" i="2"/>
  <c r="E54" i="2"/>
  <c r="E53" i="2"/>
  <c r="E52" i="2"/>
  <c r="E51" i="2"/>
  <c r="E44" i="2"/>
  <c r="E43" i="2"/>
  <c r="E42" i="2"/>
  <c r="E40" i="2"/>
  <c r="E39" i="2"/>
  <c r="E38" i="2"/>
  <c r="E36" i="2"/>
  <c r="E35" i="2"/>
  <c r="E34" i="2"/>
  <c r="E33" i="2"/>
  <c r="E31" i="2"/>
  <c r="E30" i="2"/>
  <c r="E29" i="2"/>
  <c r="E28" i="2"/>
  <c r="E27" i="2"/>
  <c r="E26" i="2"/>
  <c r="E25" i="2"/>
  <c r="E23" i="2"/>
  <c r="E22" i="2"/>
  <c r="E21" i="2"/>
  <c r="E20" i="2"/>
  <c r="E19" i="2"/>
  <c r="E17" i="2"/>
  <c r="E58" i="2"/>
  <c r="E64" i="2"/>
  <c r="E72" i="2"/>
  <c r="E75" i="2"/>
  <c r="E77" i="2"/>
  <c r="E79" i="2"/>
  <c r="E83" i="2"/>
  <c r="E85" i="2"/>
  <c r="E87" i="2"/>
  <c r="E89" i="2"/>
  <c r="E99" i="2"/>
  <c r="E117" i="2"/>
  <c r="E120" i="2"/>
  <c r="E125" i="2"/>
  <c r="E24" i="2"/>
  <c r="E32" i="2"/>
  <c r="E37" i="2"/>
  <c r="E41" i="2"/>
  <c r="E16" i="2"/>
  <c r="K915" i="2"/>
  <c r="L915" i="2"/>
  <c r="M915" i="2"/>
  <c r="L911" i="2"/>
  <c r="M911" i="2"/>
  <c r="K911" i="2"/>
  <c r="K914" i="2"/>
  <c r="L914" i="2"/>
  <c r="M914" i="2"/>
  <c r="L912" i="2"/>
  <c r="M912" i="2"/>
  <c r="K912" i="2"/>
  <c r="K908" i="2"/>
  <c r="L908" i="2"/>
  <c r="M908" i="2"/>
  <c r="L909" i="2"/>
  <c r="M909" i="2"/>
  <c r="K909" i="2"/>
  <c r="L910" i="2"/>
  <c r="M910" i="2"/>
  <c r="K910" i="2"/>
  <c r="L913" i="2"/>
  <c r="M913" i="2"/>
  <c r="K913" i="2"/>
  <c r="I696" i="2"/>
  <c r="K696" i="2"/>
  <c r="L696" i="2"/>
  <c r="M696" i="2"/>
  <c r="J38" i="2"/>
  <c r="K38" i="2"/>
  <c r="J39" i="2"/>
  <c r="L40" i="2"/>
  <c r="M40" i="2"/>
  <c r="K40" i="2"/>
  <c r="I40" i="2"/>
  <c r="L38" i="2"/>
  <c r="M38" i="2"/>
  <c r="L39" i="2"/>
  <c r="M39" i="2"/>
  <c r="K39" i="2"/>
  <c r="H976" i="2"/>
  <c r="J976" i="2"/>
  <c r="H974" i="2"/>
  <c r="I974" i="2"/>
  <c r="H972" i="2"/>
  <c r="J972" i="2"/>
  <c r="H967" i="2"/>
  <c r="J967" i="2"/>
  <c r="H965" i="2"/>
  <c r="J965" i="2"/>
  <c r="H948" i="2"/>
  <c r="I948" i="2"/>
  <c r="H946" i="2"/>
  <c r="J946" i="2"/>
  <c r="H942" i="2"/>
  <c r="J942" i="2"/>
  <c r="H940" i="2"/>
  <c r="J940" i="2"/>
  <c r="H924" i="2"/>
  <c r="J924" i="2"/>
  <c r="L924" i="2"/>
  <c r="M924" i="2"/>
  <c r="M932" i="1"/>
  <c r="N932" i="1"/>
  <c r="K932" i="1"/>
  <c r="L932" i="1"/>
  <c r="M930" i="1"/>
  <c r="N930" i="1"/>
  <c r="K930" i="1"/>
  <c r="M927" i="1"/>
  <c r="N927" i="1"/>
  <c r="K927" i="1"/>
  <c r="M926" i="1"/>
  <c r="N926" i="1"/>
  <c r="K926" i="1"/>
  <c r="M925" i="1"/>
  <c r="N925" i="1"/>
  <c r="K925" i="1"/>
  <c r="M924" i="1"/>
  <c r="N924" i="1"/>
  <c r="K924" i="1"/>
  <c r="M923" i="1"/>
  <c r="N923" i="1"/>
  <c r="K923" i="1"/>
  <c r="M922" i="1"/>
  <c r="N922" i="1"/>
  <c r="K922" i="1"/>
  <c r="M919" i="1"/>
  <c r="N919" i="1"/>
  <c r="K919" i="1"/>
  <c r="M918" i="1"/>
  <c r="N918" i="1"/>
  <c r="K918" i="1"/>
  <c r="M917" i="1"/>
  <c r="N917" i="1"/>
  <c r="K917" i="1"/>
  <c r="M916" i="1"/>
  <c r="N916" i="1"/>
  <c r="K916" i="1"/>
  <c r="M915" i="1"/>
  <c r="N915" i="1"/>
  <c r="K915" i="1"/>
  <c r="M914" i="1"/>
  <c r="N914" i="1"/>
  <c r="K914" i="1"/>
  <c r="M913" i="1"/>
  <c r="N913" i="1"/>
  <c r="K913" i="1"/>
  <c r="M912" i="1"/>
  <c r="N912" i="1"/>
  <c r="K912" i="1"/>
  <c r="M911" i="1"/>
  <c r="N911" i="1"/>
  <c r="K911" i="1"/>
  <c r="M910" i="1"/>
  <c r="N910" i="1"/>
  <c r="K910" i="1"/>
  <c r="M909" i="1"/>
  <c r="N909" i="1"/>
  <c r="K909" i="1"/>
  <c r="M908" i="1"/>
  <c r="N908" i="1"/>
  <c r="K908" i="1"/>
  <c r="L911" i="1"/>
  <c r="H869" i="2"/>
  <c r="L915" i="1"/>
  <c r="H873" i="2"/>
  <c r="L919" i="1"/>
  <c r="H877" i="2"/>
  <c r="L924" i="1"/>
  <c r="H882" i="2"/>
  <c r="L927" i="1"/>
  <c r="H885" i="2"/>
  <c r="L930" i="1"/>
  <c r="H888" i="2"/>
  <c r="L908" i="1"/>
  <c r="H866" i="2"/>
  <c r="L912" i="1"/>
  <c r="H870" i="2"/>
  <c r="L916" i="1"/>
  <c r="H874" i="2"/>
  <c r="L925" i="1"/>
  <c r="H883" i="2"/>
  <c r="L909" i="1"/>
  <c r="H867" i="2"/>
  <c r="L917" i="1"/>
  <c r="H875" i="2"/>
  <c r="L922" i="1"/>
  <c r="H880" i="2"/>
  <c r="L926" i="1"/>
  <c r="H884" i="2"/>
  <c r="L918" i="1"/>
  <c r="H876" i="2"/>
  <c r="L923" i="1"/>
  <c r="H881" i="2"/>
  <c r="L913" i="1"/>
  <c r="H871" i="2"/>
  <c r="L914" i="1"/>
  <c r="H872" i="2"/>
  <c r="L910" i="1"/>
  <c r="H868" i="2"/>
  <c r="AK924" i="1"/>
  <c r="R924" i="1"/>
  <c r="H922" i="2"/>
  <c r="J922" i="2"/>
  <c r="L922" i="2"/>
  <c r="M922" i="2"/>
  <c r="AK918" i="1"/>
  <c r="R918" i="1"/>
  <c r="H916" i="2"/>
  <c r="I916" i="2"/>
  <c r="H918" i="2"/>
  <c r="I918" i="2"/>
  <c r="J948" i="2"/>
  <c r="K948" i="2"/>
  <c r="K942" i="2"/>
  <c r="L942" i="2"/>
  <c r="M942" i="2"/>
  <c r="I942" i="2"/>
  <c r="K940" i="2"/>
  <c r="L940" i="2"/>
  <c r="M940" i="2"/>
  <c r="J974" i="2"/>
  <c r="L974" i="2"/>
  <c r="M974" i="2"/>
  <c r="I940" i="2"/>
  <c r="L965" i="2"/>
  <c r="M965" i="2"/>
  <c r="K965" i="2"/>
  <c r="K924" i="2"/>
  <c r="L946" i="2"/>
  <c r="M946" i="2"/>
  <c r="K946" i="2"/>
  <c r="L967" i="2"/>
  <c r="M967" i="2"/>
  <c r="K967" i="2"/>
  <c r="L972" i="2"/>
  <c r="M972" i="2"/>
  <c r="K972" i="2"/>
  <c r="I924" i="2"/>
  <c r="K976" i="2"/>
  <c r="L976" i="2"/>
  <c r="M976" i="2"/>
  <c r="I967" i="2"/>
  <c r="I972" i="2"/>
  <c r="I946" i="2"/>
  <c r="I965" i="2"/>
  <c r="I976" i="2"/>
  <c r="O925" i="1"/>
  <c r="P925" i="1"/>
  <c r="O912" i="1"/>
  <c r="P912" i="1"/>
  <c r="AK915" i="1"/>
  <c r="R915" i="1"/>
  <c r="AK910" i="1"/>
  <c r="R910" i="1"/>
  <c r="O916" i="1"/>
  <c r="P916" i="1"/>
  <c r="AK930" i="1"/>
  <c r="R930" i="1"/>
  <c r="AK926" i="1"/>
  <c r="R926" i="1"/>
  <c r="O908" i="1"/>
  <c r="P908" i="1"/>
  <c r="O932" i="1"/>
  <c r="P932" i="1"/>
  <c r="AK923" i="1"/>
  <c r="R923" i="1"/>
  <c r="AK911" i="1"/>
  <c r="R911" i="1"/>
  <c r="O913" i="1"/>
  <c r="P913" i="1"/>
  <c r="AK919" i="1"/>
  <c r="R919" i="1"/>
  <c r="O922" i="1"/>
  <c r="P922" i="1"/>
  <c r="AK927" i="1"/>
  <c r="R927" i="1"/>
  <c r="AK908" i="1"/>
  <c r="R908" i="1"/>
  <c r="O910" i="1"/>
  <c r="P910" i="1"/>
  <c r="AK916" i="1"/>
  <c r="R916" i="1"/>
  <c r="O918" i="1"/>
  <c r="P918" i="1"/>
  <c r="AK925" i="1"/>
  <c r="R925" i="1"/>
  <c r="AK932" i="1"/>
  <c r="R932" i="1"/>
  <c r="AK913" i="1"/>
  <c r="R913" i="1"/>
  <c r="O915" i="1"/>
  <c r="P915" i="1"/>
  <c r="AK922" i="1"/>
  <c r="R922" i="1"/>
  <c r="O924" i="1"/>
  <c r="P924" i="1"/>
  <c r="O930" i="1"/>
  <c r="P930" i="1"/>
  <c r="O909" i="1"/>
  <c r="P909" i="1"/>
  <c r="O917" i="1"/>
  <c r="P917" i="1"/>
  <c r="O926" i="1"/>
  <c r="P926" i="1"/>
  <c r="AK912" i="1"/>
  <c r="R912" i="1"/>
  <c r="O914" i="1"/>
  <c r="P914" i="1"/>
  <c r="O923" i="1"/>
  <c r="P923" i="1"/>
  <c r="AK909" i="1"/>
  <c r="R909" i="1"/>
  <c r="O911" i="1"/>
  <c r="P911" i="1"/>
  <c r="AK917" i="1"/>
  <c r="R917" i="1"/>
  <c r="O919" i="1"/>
  <c r="P919" i="1"/>
  <c r="O927" i="1"/>
  <c r="P927" i="1"/>
  <c r="AK914" i="1"/>
  <c r="R914" i="1"/>
  <c r="M393" i="1"/>
  <c r="N393" i="1"/>
  <c r="K393" i="1"/>
  <c r="M392" i="1"/>
  <c r="O392" i="1"/>
  <c r="P392" i="1"/>
  <c r="K392" i="1"/>
  <c r="I884" i="2"/>
  <c r="J884" i="2"/>
  <c r="I870" i="2"/>
  <c r="J870" i="2"/>
  <c r="I882" i="2"/>
  <c r="J882" i="2"/>
  <c r="J881" i="2"/>
  <c r="I881" i="2"/>
  <c r="I883" i="2"/>
  <c r="J883" i="2"/>
  <c r="I877" i="2"/>
  <c r="J877" i="2"/>
  <c r="J868" i="2"/>
  <c r="I868" i="2"/>
  <c r="I880" i="2"/>
  <c r="J880" i="2"/>
  <c r="I866" i="2"/>
  <c r="J866" i="2"/>
  <c r="J876" i="2"/>
  <c r="I876" i="2"/>
  <c r="I875" i="2"/>
  <c r="J875" i="2"/>
  <c r="J888" i="2"/>
  <c r="I888" i="2"/>
  <c r="J873" i="2"/>
  <c r="I873" i="2"/>
  <c r="I872" i="2"/>
  <c r="J872" i="2"/>
  <c r="J871" i="2"/>
  <c r="I871" i="2"/>
  <c r="J867" i="2"/>
  <c r="I867" i="2"/>
  <c r="I874" i="2"/>
  <c r="J874" i="2"/>
  <c r="I885" i="2"/>
  <c r="J885" i="2"/>
  <c r="I869" i="2"/>
  <c r="J869" i="2"/>
  <c r="AK393" i="1"/>
  <c r="R393" i="1"/>
  <c r="H389" i="2"/>
  <c r="AK392" i="1"/>
  <c r="R392" i="1"/>
  <c r="H388" i="2"/>
  <c r="L948" i="2"/>
  <c r="M948" i="2"/>
  <c r="K922" i="2"/>
  <c r="I922" i="2"/>
  <c r="J916" i="2"/>
  <c r="L916" i="2"/>
  <c r="M916" i="2"/>
  <c r="J918" i="2"/>
  <c r="K918" i="2"/>
  <c r="K974" i="2"/>
  <c r="L392" i="1"/>
  <c r="L393" i="1"/>
  <c r="N392" i="1"/>
  <c r="O393" i="1"/>
  <c r="P393" i="1"/>
  <c r="M32" i="1"/>
  <c r="O32" i="1"/>
  <c r="P32" i="1"/>
  <c r="K32" i="1"/>
  <c r="F41" i="2"/>
  <c r="M47" i="1"/>
  <c r="O47" i="1"/>
  <c r="P47" i="1"/>
  <c r="K47" i="1"/>
  <c r="K810" i="1"/>
  <c r="M810" i="1"/>
  <c r="O810" i="1"/>
  <c r="P810" i="1"/>
  <c r="M49" i="1"/>
  <c r="N49" i="1"/>
  <c r="K49" i="1"/>
  <c r="H44" i="2"/>
  <c r="M48" i="1"/>
  <c r="K48" i="1"/>
  <c r="H43" i="2"/>
  <c r="F664" i="2"/>
  <c r="M471" i="1"/>
  <c r="O471" i="1"/>
  <c r="P471" i="1"/>
  <c r="K471" i="1"/>
  <c r="M549" i="1"/>
  <c r="O549" i="1"/>
  <c r="P549" i="1"/>
  <c r="K549" i="1"/>
  <c r="K815" i="1"/>
  <c r="H811" i="2"/>
  <c r="K816" i="1"/>
  <c r="H812" i="2"/>
  <c r="M816" i="1"/>
  <c r="O816" i="1"/>
  <c r="P816" i="1"/>
  <c r="M815" i="1"/>
  <c r="K30" i="1"/>
  <c r="M30" i="1"/>
  <c r="N30" i="1"/>
  <c r="R30" i="1"/>
  <c r="K27" i="1"/>
  <c r="M27" i="1"/>
  <c r="N27" i="1"/>
  <c r="K28" i="1"/>
  <c r="AK28" i="1"/>
  <c r="R28" i="1"/>
  <c r="M28" i="1"/>
  <c r="K29" i="1"/>
  <c r="AK29" i="1"/>
  <c r="R29" i="1"/>
  <c r="M29" i="1"/>
  <c r="O29" i="1"/>
  <c r="P29" i="1"/>
  <c r="M26" i="1"/>
  <c r="N26" i="1"/>
  <c r="K26" i="1"/>
  <c r="AK26" i="1"/>
  <c r="R26" i="1"/>
  <c r="K661" i="1"/>
  <c r="H657" i="2"/>
  <c r="K662" i="1"/>
  <c r="K660" i="1"/>
  <c r="M31" i="1"/>
  <c r="N31" i="1"/>
  <c r="K31" i="1"/>
  <c r="M693" i="1"/>
  <c r="O693" i="1"/>
  <c r="P693" i="1"/>
  <c r="K693" i="1"/>
  <c r="H688" i="2"/>
  <c r="M506" i="1"/>
  <c r="O506" i="1"/>
  <c r="P506" i="1"/>
  <c r="K506" i="1"/>
  <c r="M821" i="1"/>
  <c r="O821" i="1"/>
  <c r="P821" i="1"/>
  <c r="K821" i="1"/>
  <c r="M761" i="1"/>
  <c r="N761" i="1"/>
  <c r="K761" i="1"/>
  <c r="M760" i="1"/>
  <c r="N760" i="1"/>
  <c r="K760" i="1"/>
  <c r="M759" i="1"/>
  <c r="O759" i="1"/>
  <c r="P759" i="1"/>
  <c r="K759" i="1"/>
  <c r="M758" i="1"/>
  <c r="K758" i="1"/>
  <c r="M757" i="1"/>
  <c r="O757" i="1"/>
  <c r="P757" i="1"/>
  <c r="K757" i="1"/>
  <c r="H752" i="2"/>
  <c r="M756" i="1"/>
  <c r="K756" i="1"/>
  <c r="M755" i="1"/>
  <c r="O755" i="1"/>
  <c r="P755" i="1"/>
  <c r="K755" i="1"/>
  <c r="M754" i="1"/>
  <c r="N754" i="1"/>
  <c r="K754" i="1"/>
  <c r="H749" i="2"/>
  <c r="M753" i="1"/>
  <c r="O753" i="1"/>
  <c r="P753" i="1"/>
  <c r="K753" i="1"/>
  <c r="H748" i="2"/>
  <c r="M752" i="1"/>
  <c r="O752" i="1"/>
  <c r="P752" i="1"/>
  <c r="K752" i="1"/>
  <c r="M751" i="1"/>
  <c r="O751" i="1"/>
  <c r="P751" i="1"/>
  <c r="K751" i="1"/>
  <c r="M749" i="1"/>
  <c r="O749" i="1"/>
  <c r="P749" i="1"/>
  <c r="K749" i="1"/>
  <c r="M748" i="1"/>
  <c r="K748" i="1"/>
  <c r="M747" i="1"/>
  <c r="O747" i="1"/>
  <c r="P747" i="1"/>
  <c r="K747" i="1"/>
  <c r="H742" i="2"/>
  <c r="M746" i="1"/>
  <c r="N746" i="1"/>
  <c r="K746" i="1"/>
  <c r="M745" i="1"/>
  <c r="O745" i="1"/>
  <c r="P745" i="1"/>
  <c r="K745" i="1"/>
  <c r="M744" i="1"/>
  <c r="N744" i="1"/>
  <c r="K744" i="1"/>
  <c r="M743" i="1"/>
  <c r="O743" i="1"/>
  <c r="P743" i="1"/>
  <c r="K743" i="1"/>
  <c r="M742" i="1"/>
  <c r="N742" i="1"/>
  <c r="K742" i="1"/>
  <c r="H737" i="2"/>
  <c r="M741" i="1"/>
  <c r="O741" i="1"/>
  <c r="P741" i="1"/>
  <c r="K741" i="1"/>
  <c r="M740" i="1"/>
  <c r="K740" i="1"/>
  <c r="M739" i="1"/>
  <c r="N739" i="1"/>
  <c r="K739" i="1"/>
  <c r="M494" i="1"/>
  <c r="K494" i="1"/>
  <c r="K24" i="1"/>
  <c r="H23" i="2"/>
  <c r="M24" i="1"/>
  <c r="O24" i="1"/>
  <c r="P24" i="1"/>
  <c r="K18" i="1"/>
  <c r="H17" i="2"/>
  <c r="M18" i="1"/>
  <c r="N18" i="1"/>
  <c r="M495" i="1"/>
  <c r="N495" i="1"/>
  <c r="K495" i="1"/>
  <c r="M904" i="1"/>
  <c r="K904" i="1"/>
  <c r="L904" i="1"/>
  <c r="M877" i="1"/>
  <c r="N877" i="1"/>
  <c r="K877" i="1"/>
  <c r="L877" i="1"/>
  <c r="M854" i="1"/>
  <c r="K854" i="1"/>
  <c r="L854" i="1"/>
  <c r="M708" i="1"/>
  <c r="N708" i="1"/>
  <c r="K708" i="1"/>
  <c r="K936" i="1"/>
  <c r="H894" i="2"/>
  <c r="M936" i="1"/>
  <c r="O936" i="1"/>
  <c r="P936" i="1"/>
  <c r="M499" i="1"/>
  <c r="O499" i="1"/>
  <c r="P499" i="1"/>
  <c r="K499" i="1"/>
  <c r="H495" i="2"/>
  <c r="M498" i="1"/>
  <c r="K498" i="1"/>
  <c r="M504" i="1"/>
  <c r="O504" i="1"/>
  <c r="P504" i="1"/>
  <c r="K504" i="1"/>
  <c r="F448" i="2"/>
  <c r="M342" i="1"/>
  <c r="K342" i="1"/>
  <c r="M491" i="1"/>
  <c r="O491" i="1"/>
  <c r="P491" i="1"/>
  <c r="K491" i="1"/>
  <c r="M490" i="1"/>
  <c r="O490" i="1"/>
  <c r="P490" i="1"/>
  <c r="K490" i="1"/>
  <c r="F715" i="2"/>
  <c r="F712" i="2"/>
  <c r="F710" i="2"/>
  <c r="F709" i="2"/>
  <c r="H707" i="2"/>
  <c r="J707" i="2"/>
  <c r="L707" i="2"/>
  <c r="M707" i="2"/>
  <c r="F707" i="2"/>
  <c r="F705" i="2"/>
  <c r="F704" i="2"/>
  <c r="F703" i="2"/>
  <c r="H702" i="2"/>
  <c r="J702" i="2"/>
  <c r="L702" i="2"/>
  <c r="M702" i="2"/>
  <c r="F702" i="2"/>
  <c r="F698" i="2"/>
  <c r="H695" i="2"/>
  <c r="J695" i="2"/>
  <c r="L695" i="2"/>
  <c r="M695" i="2"/>
  <c r="F695" i="2"/>
  <c r="F693" i="2"/>
  <c r="F691" i="2"/>
  <c r="F689" i="2"/>
  <c r="F686" i="2"/>
  <c r="F685" i="2"/>
  <c r="F680" i="2"/>
  <c r="F673" i="2"/>
  <c r="F660" i="2"/>
  <c r="H659" i="2"/>
  <c r="I659" i="2"/>
  <c r="F659" i="2"/>
  <c r="F654" i="2"/>
  <c r="F653" i="2"/>
  <c r="H652" i="2"/>
  <c r="I652" i="2"/>
  <c r="F652" i="2"/>
  <c r="F645" i="2"/>
  <c r="H644" i="2"/>
  <c r="J644" i="2"/>
  <c r="F644" i="2"/>
  <c r="F643" i="2"/>
  <c r="F546" i="2"/>
  <c r="H542" i="2"/>
  <c r="J542" i="2"/>
  <c r="L542" i="2"/>
  <c r="M542" i="2"/>
  <c r="F542" i="2"/>
  <c r="F537" i="2"/>
  <c r="F534" i="2"/>
  <c r="F528" i="2"/>
  <c r="F526" i="2"/>
  <c r="H523" i="2"/>
  <c r="J523" i="2"/>
  <c r="F523" i="2"/>
  <c r="F520" i="2"/>
  <c r="F508" i="2"/>
  <c r="F505" i="2"/>
  <c r="H503" i="2"/>
  <c r="I503" i="2"/>
  <c r="F503" i="2"/>
  <c r="F501" i="2"/>
  <c r="F499" i="2"/>
  <c r="F496" i="2"/>
  <c r="F493" i="2"/>
  <c r="F489" i="2"/>
  <c r="F485" i="2"/>
  <c r="F484" i="2"/>
  <c r="F481" i="2"/>
  <c r="H475" i="2"/>
  <c r="J475" i="2"/>
  <c r="F475" i="2"/>
  <c r="F473" i="2"/>
  <c r="F468" i="2"/>
  <c r="F466" i="2"/>
  <c r="F462" i="2"/>
  <c r="F459" i="2"/>
  <c r="F456" i="2"/>
  <c r="F454" i="2"/>
  <c r="F452" i="2"/>
  <c r="F450" i="2"/>
  <c r="H446" i="2"/>
  <c r="J446" i="2"/>
  <c r="K446" i="2"/>
  <c r="F446" i="2"/>
  <c r="F443" i="2"/>
  <c r="F440" i="2"/>
  <c r="F435" i="2"/>
  <c r="F432" i="2"/>
  <c r="F429" i="2"/>
  <c r="F424" i="2"/>
  <c r="F421" i="2"/>
  <c r="F415" i="2"/>
  <c r="F409" i="2"/>
  <c r="F407" i="2"/>
  <c r="F401" i="2"/>
  <c r="F395" i="2"/>
  <c r="F387" i="2"/>
  <c r="F383" i="2"/>
  <c r="F378" i="2"/>
  <c r="F373" i="2"/>
  <c r="F368" i="2"/>
  <c r="F363" i="2"/>
  <c r="F360" i="2"/>
  <c r="F359" i="2"/>
  <c r="F351" i="2"/>
  <c r="F345" i="2"/>
  <c r="F343" i="2"/>
  <c r="F341" i="2"/>
  <c r="F338" i="2"/>
  <c r="F335" i="2"/>
  <c r="F332" i="2"/>
  <c r="F322" i="2"/>
  <c r="F312" i="2"/>
  <c r="H308" i="2"/>
  <c r="J308" i="2"/>
  <c r="L308" i="2"/>
  <c r="M308" i="2"/>
  <c r="F308" i="2"/>
  <c r="F298" i="2"/>
  <c r="F288" i="2"/>
  <c r="F285" i="2"/>
  <c r="F270" i="2"/>
  <c r="H256" i="2"/>
  <c r="J256" i="2"/>
  <c r="L256" i="2"/>
  <c r="M256" i="2"/>
  <c r="F256" i="2"/>
  <c r="F251" i="2"/>
  <c r="H249" i="2"/>
  <c r="J249" i="2"/>
  <c r="K249" i="2"/>
  <c r="F249" i="2"/>
  <c r="F239" i="2"/>
  <c r="H232" i="2"/>
  <c r="F232" i="2"/>
  <c r="F230" i="2"/>
  <c r="F227" i="2"/>
  <c r="F219" i="2"/>
  <c r="F213" i="2"/>
  <c r="F211" i="2"/>
  <c r="H207" i="2"/>
  <c r="I207" i="2"/>
  <c r="F207" i="2"/>
  <c r="F202" i="2"/>
  <c r="F199" i="2"/>
  <c r="F196" i="2"/>
  <c r="F193" i="2"/>
  <c r="F187" i="2"/>
  <c r="F181" i="2"/>
  <c r="F176" i="2"/>
  <c r="F174" i="2"/>
  <c r="H169" i="2"/>
  <c r="J169" i="2"/>
  <c r="F169" i="2"/>
  <c r="F167" i="2"/>
  <c r="H163" i="2"/>
  <c r="F163" i="2"/>
  <c r="F151" i="2"/>
  <c r="F140" i="2"/>
  <c r="F134" i="2"/>
  <c r="F128" i="2"/>
  <c r="F125" i="2"/>
  <c r="F120" i="2"/>
  <c r="F117" i="2"/>
  <c r="F99" i="2"/>
  <c r="H89" i="2"/>
  <c r="F89" i="2"/>
  <c r="F87" i="2"/>
  <c r="H85" i="2"/>
  <c r="I85" i="2"/>
  <c r="F85" i="2"/>
  <c r="H83" i="2"/>
  <c r="I83" i="2"/>
  <c r="F83" i="2"/>
  <c r="F79" i="2"/>
  <c r="F77" i="2"/>
  <c r="F75" i="2"/>
  <c r="F72" i="2"/>
  <c r="F64" i="2"/>
  <c r="F58" i="2"/>
  <c r="F50" i="2"/>
  <c r="F49" i="2"/>
  <c r="F24" i="2"/>
  <c r="F32" i="2"/>
  <c r="F37" i="2"/>
  <c r="F18" i="2"/>
  <c r="M455" i="1"/>
  <c r="N455" i="1"/>
  <c r="K455" i="1"/>
  <c r="M438" i="1"/>
  <c r="O438" i="1"/>
  <c r="P438" i="1"/>
  <c r="K438" i="1"/>
  <c r="M437" i="1"/>
  <c r="O437" i="1"/>
  <c r="P437" i="1"/>
  <c r="K437" i="1"/>
  <c r="M435" i="1"/>
  <c r="N435" i="1"/>
  <c r="K435" i="1"/>
  <c r="H431" i="2"/>
  <c r="M434" i="1"/>
  <c r="K434" i="1"/>
  <c r="M432" i="1"/>
  <c r="O432" i="1"/>
  <c r="P432" i="1"/>
  <c r="K432" i="1"/>
  <c r="M431" i="1"/>
  <c r="N431" i="1"/>
  <c r="K431" i="1"/>
  <c r="M430" i="1"/>
  <c r="O430" i="1"/>
  <c r="P430" i="1"/>
  <c r="K430" i="1"/>
  <c r="H426" i="2"/>
  <c r="M429" i="1"/>
  <c r="O429" i="1"/>
  <c r="P429" i="1"/>
  <c r="K429" i="1"/>
  <c r="M418" i="1"/>
  <c r="O418" i="1"/>
  <c r="P418" i="1"/>
  <c r="K418" i="1"/>
  <c r="M417" i="1"/>
  <c r="K417" i="1"/>
  <c r="M416" i="1"/>
  <c r="N416" i="1"/>
  <c r="K416" i="1"/>
  <c r="M415" i="1"/>
  <c r="O415" i="1"/>
  <c r="P415" i="1"/>
  <c r="K415" i="1"/>
  <c r="H411" i="2"/>
  <c r="M414" i="1"/>
  <c r="O414" i="1"/>
  <c r="P414" i="1"/>
  <c r="K414" i="1"/>
  <c r="M404" i="1"/>
  <c r="N404" i="1"/>
  <c r="K404" i="1"/>
  <c r="M403" i="1"/>
  <c r="O403" i="1"/>
  <c r="P403" i="1"/>
  <c r="K403" i="1"/>
  <c r="M402" i="1"/>
  <c r="O402" i="1"/>
  <c r="P402" i="1"/>
  <c r="K402" i="1"/>
  <c r="M401" i="1"/>
  <c r="N401" i="1"/>
  <c r="K401" i="1"/>
  <c r="M400" i="1"/>
  <c r="O400" i="1"/>
  <c r="P400" i="1"/>
  <c r="K400" i="1"/>
  <c r="H396" i="2"/>
  <c r="M371" i="1"/>
  <c r="O371" i="1"/>
  <c r="P371" i="1"/>
  <c r="K371" i="1"/>
  <c r="M370" i="1"/>
  <c r="K370" i="1"/>
  <c r="H366" i="2"/>
  <c r="M369" i="1"/>
  <c r="K369" i="1"/>
  <c r="H365" i="2"/>
  <c r="M368" i="1"/>
  <c r="O368" i="1"/>
  <c r="P368" i="1"/>
  <c r="K368" i="1"/>
  <c r="H364" i="2"/>
  <c r="M355" i="1"/>
  <c r="N355" i="1"/>
  <c r="K355" i="1"/>
  <c r="H350" i="2"/>
  <c r="M354" i="1"/>
  <c r="N354" i="1"/>
  <c r="K354" i="1"/>
  <c r="H349" i="2"/>
  <c r="M353" i="1"/>
  <c r="O353" i="1"/>
  <c r="P353" i="1"/>
  <c r="K353" i="1"/>
  <c r="H348" i="2"/>
  <c r="M352" i="1"/>
  <c r="N352" i="1"/>
  <c r="K352" i="1"/>
  <c r="M351" i="1"/>
  <c r="N351" i="1"/>
  <c r="K351" i="1"/>
  <c r="H346" i="2"/>
  <c r="M345" i="1"/>
  <c r="K345" i="1"/>
  <c r="H340" i="2"/>
  <c r="M344" i="1"/>
  <c r="K344" i="1"/>
  <c r="M326" i="1"/>
  <c r="O326" i="1"/>
  <c r="P326" i="1"/>
  <c r="K326" i="1"/>
  <c r="H321" i="2"/>
  <c r="M325" i="1"/>
  <c r="O325" i="1"/>
  <c r="P325" i="1"/>
  <c r="K325" i="1"/>
  <c r="M324" i="1"/>
  <c r="N324" i="1"/>
  <c r="K324" i="1"/>
  <c r="H319" i="2"/>
  <c r="M323" i="1"/>
  <c r="K323" i="1"/>
  <c r="H318" i="2"/>
  <c r="M322" i="1"/>
  <c r="O322" i="1"/>
  <c r="P322" i="1"/>
  <c r="K322" i="1"/>
  <c r="M321" i="1"/>
  <c r="O321" i="1"/>
  <c r="P321" i="1"/>
  <c r="K321" i="1"/>
  <c r="H316" i="2"/>
  <c r="M320" i="1"/>
  <c r="O320" i="1"/>
  <c r="P320" i="1"/>
  <c r="K320" i="1"/>
  <c r="H315" i="2"/>
  <c r="M319" i="1"/>
  <c r="O319" i="1"/>
  <c r="P319" i="1"/>
  <c r="K319" i="1"/>
  <c r="M318" i="1"/>
  <c r="K318" i="1"/>
  <c r="H313" i="2"/>
  <c r="M302" i="1"/>
  <c r="K302" i="1"/>
  <c r="M301" i="1"/>
  <c r="O301" i="1"/>
  <c r="P301" i="1"/>
  <c r="K301" i="1"/>
  <c r="H296" i="2"/>
  <c r="M300" i="1"/>
  <c r="O300" i="1"/>
  <c r="P300" i="1"/>
  <c r="K300" i="1"/>
  <c r="M299" i="1"/>
  <c r="O299" i="1"/>
  <c r="P299" i="1"/>
  <c r="K299" i="1"/>
  <c r="H294" i="2"/>
  <c r="M298" i="1"/>
  <c r="O298" i="1"/>
  <c r="P298" i="1"/>
  <c r="K298" i="1"/>
  <c r="M297" i="1"/>
  <c r="K297" i="1"/>
  <c r="H292" i="2"/>
  <c r="M296" i="1"/>
  <c r="K296" i="1"/>
  <c r="H291" i="2"/>
  <c r="M295" i="1"/>
  <c r="K295" i="1"/>
  <c r="M294" i="1"/>
  <c r="O294" i="1"/>
  <c r="P294" i="1"/>
  <c r="K294" i="1"/>
  <c r="M274" i="1"/>
  <c r="K274" i="1"/>
  <c r="M273" i="1"/>
  <c r="K273" i="1"/>
  <c r="M272" i="1"/>
  <c r="O272" i="1"/>
  <c r="P272" i="1"/>
  <c r="K272" i="1"/>
  <c r="M271" i="1"/>
  <c r="O271" i="1"/>
  <c r="P271" i="1"/>
  <c r="K271" i="1"/>
  <c r="M270" i="1"/>
  <c r="O270" i="1"/>
  <c r="P270" i="1"/>
  <c r="K270" i="1"/>
  <c r="M269" i="1"/>
  <c r="K269" i="1"/>
  <c r="H264" i="2"/>
  <c r="M268" i="1"/>
  <c r="K268" i="1"/>
  <c r="H263" i="2"/>
  <c r="M267" i="1"/>
  <c r="N267" i="1"/>
  <c r="K267" i="1"/>
  <c r="M266" i="1"/>
  <c r="K266" i="1"/>
  <c r="M265" i="1"/>
  <c r="K265" i="1"/>
  <c r="M264" i="1"/>
  <c r="K264" i="1"/>
  <c r="M263" i="1"/>
  <c r="O263" i="1"/>
  <c r="P263" i="1"/>
  <c r="K263" i="1"/>
  <c r="H258" i="2"/>
  <c r="M262" i="1"/>
  <c r="K262" i="1"/>
  <c r="M243" i="1"/>
  <c r="O243" i="1"/>
  <c r="P243" i="1"/>
  <c r="K243" i="1"/>
  <c r="H238" i="2"/>
  <c r="M242" i="1"/>
  <c r="K242" i="1"/>
  <c r="H237" i="2"/>
  <c r="M241" i="1"/>
  <c r="N241" i="1"/>
  <c r="K241" i="1"/>
  <c r="M240" i="1"/>
  <c r="N240" i="1"/>
  <c r="K240" i="1"/>
  <c r="H235" i="2"/>
  <c r="M239" i="1"/>
  <c r="K239" i="1"/>
  <c r="M238" i="1"/>
  <c r="N238" i="1"/>
  <c r="K238" i="1"/>
  <c r="H233" i="2"/>
  <c r="M223" i="1"/>
  <c r="O223" i="1"/>
  <c r="P223" i="1"/>
  <c r="K223" i="1"/>
  <c r="H218" i="2"/>
  <c r="M222" i="1"/>
  <c r="O222" i="1"/>
  <c r="P222" i="1"/>
  <c r="K222" i="1"/>
  <c r="M221" i="1"/>
  <c r="K221" i="1"/>
  <c r="M220" i="1"/>
  <c r="K220" i="1"/>
  <c r="M219" i="1"/>
  <c r="O219" i="1"/>
  <c r="P219" i="1"/>
  <c r="K219" i="1"/>
  <c r="H214" i="2"/>
  <c r="M211" i="1"/>
  <c r="O211" i="1"/>
  <c r="P211" i="1"/>
  <c r="K211" i="1"/>
  <c r="M210" i="1"/>
  <c r="O210" i="1"/>
  <c r="P210" i="1"/>
  <c r="K210" i="1"/>
  <c r="M209" i="1"/>
  <c r="O209" i="1"/>
  <c r="P209" i="1"/>
  <c r="K209" i="1"/>
  <c r="M208" i="1"/>
  <c r="K208" i="1"/>
  <c r="H203" i="2"/>
  <c r="M191" i="1"/>
  <c r="K191" i="1"/>
  <c r="H186" i="2"/>
  <c r="M190" i="1"/>
  <c r="N190" i="1"/>
  <c r="K190" i="1"/>
  <c r="H185" i="2"/>
  <c r="M189" i="1"/>
  <c r="O189" i="1"/>
  <c r="P189" i="1"/>
  <c r="K189" i="1"/>
  <c r="H184" i="2"/>
  <c r="M188" i="1"/>
  <c r="K188" i="1"/>
  <c r="H183" i="2"/>
  <c r="M187" i="1"/>
  <c r="O187" i="1"/>
  <c r="P187" i="1"/>
  <c r="K187" i="1"/>
  <c r="H182" i="2"/>
  <c r="M155" i="1"/>
  <c r="K155" i="1"/>
  <c r="M154" i="1"/>
  <c r="O154" i="1"/>
  <c r="P154" i="1"/>
  <c r="K154" i="1"/>
  <c r="M153" i="1"/>
  <c r="K153" i="1"/>
  <c r="H148" i="2"/>
  <c r="M152" i="1"/>
  <c r="K152" i="1"/>
  <c r="M151" i="1"/>
  <c r="N151" i="1"/>
  <c r="K151" i="1"/>
  <c r="H146" i="2"/>
  <c r="M150" i="1"/>
  <c r="K150" i="1"/>
  <c r="M149" i="1"/>
  <c r="K149" i="1"/>
  <c r="H144" i="2"/>
  <c r="M148" i="1"/>
  <c r="N148" i="1"/>
  <c r="K148" i="1"/>
  <c r="M147" i="1"/>
  <c r="N147" i="1"/>
  <c r="K147" i="1"/>
  <c r="H142" i="2"/>
  <c r="M146" i="1"/>
  <c r="N146" i="1"/>
  <c r="K146" i="1"/>
  <c r="M138" i="1"/>
  <c r="K138" i="1"/>
  <c r="M137" i="1"/>
  <c r="N137" i="1"/>
  <c r="K137" i="1"/>
  <c r="M136" i="1"/>
  <c r="N136" i="1"/>
  <c r="K136" i="1"/>
  <c r="M135" i="1"/>
  <c r="N135" i="1"/>
  <c r="K135" i="1"/>
  <c r="M134" i="1"/>
  <c r="K134" i="1"/>
  <c r="M103" i="1"/>
  <c r="N103" i="1"/>
  <c r="K103" i="1"/>
  <c r="M102" i="1"/>
  <c r="N102" i="1"/>
  <c r="K102" i="1"/>
  <c r="H97" i="2"/>
  <c r="M101" i="1"/>
  <c r="N101" i="1"/>
  <c r="K101" i="1"/>
  <c r="M100" i="1"/>
  <c r="N100" i="1"/>
  <c r="K100" i="1"/>
  <c r="M99" i="1"/>
  <c r="N99" i="1"/>
  <c r="K99" i="1"/>
  <c r="H94" i="2"/>
  <c r="M98" i="1"/>
  <c r="N98" i="1"/>
  <c r="K98" i="1"/>
  <c r="M97" i="1"/>
  <c r="K97" i="1"/>
  <c r="H92" i="2"/>
  <c r="M96" i="1"/>
  <c r="N96" i="1"/>
  <c r="K96" i="1"/>
  <c r="M95" i="1"/>
  <c r="N95" i="1"/>
  <c r="K95" i="1"/>
  <c r="H90" i="2"/>
  <c r="M91" i="1"/>
  <c r="O91" i="1"/>
  <c r="P91" i="1"/>
  <c r="K91" i="1"/>
  <c r="H86" i="2"/>
  <c r="M87" i="1"/>
  <c r="O87" i="1"/>
  <c r="P87" i="1"/>
  <c r="K87" i="1"/>
  <c r="M86" i="1"/>
  <c r="N86" i="1"/>
  <c r="K86" i="1"/>
  <c r="M85" i="1"/>
  <c r="O85" i="1"/>
  <c r="P85" i="1"/>
  <c r="K85" i="1"/>
  <c r="M81" i="1"/>
  <c r="N81" i="1"/>
  <c r="K81" i="1"/>
  <c r="H76" i="2"/>
  <c r="M68" i="1"/>
  <c r="O68" i="1"/>
  <c r="P68" i="1"/>
  <c r="K68" i="1"/>
  <c r="M67" i="1"/>
  <c r="K67" i="1"/>
  <c r="H62" i="2"/>
  <c r="M66" i="1"/>
  <c r="N66" i="1"/>
  <c r="K66" i="1"/>
  <c r="M65" i="1"/>
  <c r="K65" i="1"/>
  <c r="H60" i="2"/>
  <c r="M64" i="1"/>
  <c r="N64" i="1"/>
  <c r="K64" i="1"/>
  <c r="K420" i="1"/>
  <c r="M420" i="1"/>
  <c r="O420" i="1"/>
  <c r="P420" i="1"/>
  <c r="K421" i="1"/>
  <c r="M421" i="1"/>
  <c r="N421" i="1"/>
  <c r="K422" i="1"/>
  <c r="M422" i="1"/>
  <c r="O422" i="1"/>
  <c r="P422" i="1"/>
  <c r="K423" i="1"/>
  <c r="M423" i="1"/>
  <c r="O423" i="1"/>
  <c r="P423" i="1"/>
  <c r="K424" i="1"/>
  <c r="H420" i="2"/>
  <c r="M424" i="1"/>
  <c r="O424" i="1"/>
  <c r="P424" i="1"/>
  <c r="K426" i="1"/>
  <c r="H422" i="2"/>
  <c r="M426" i="1"/>
  <c r="O426" i="1"/>
  <c r="P426" i="1"/>
  <c r="K427" i="1"/>
  <c r="H423" i="2"/>
  <c r="M427" i="1"/>
  <c r="N427" i="1"/>
  <c r="M462" i="1"/>
  <c r="O462" i="1"/>
  <c r="P462" i="1"/>
  <c r="K462" i="1"/>
  <c r="M461" i="1"/>
  <c r="N461" i="1"/>
  <c r="K461" i="1"/>
  <c r="K203" i="1"/>
  <c r="H198" i="2"/>
  <c r="M203" i="1"/>
  <c r="N203" i="1"/>
  <c r="M202" i="1"/>
  <c r="N202" i="1"/>
  <c r="K202" i="1"/>
  <c r="M803" i="1"/>
  <c r="N803" i="1"/>
  <c r="M804" i="1"/>
  <c r="O804" i="1"/>
  <c r="P804" i="1"/>
  <c r="M805" i="1"/>
  <c r="O805" i="1"/>
  <c r="P805" i="1"/>
  <c r="M811" i="1"/>
  <c r="M806" i="1"/>
  <c r="N806" i="1"/>
  <c r="M802" i="1"/>
  <c r="O802" i="1"/>
  <c r="P802" i="1"/>
  <c r="K803" i="1"/>
  <c r="H797" i="2"/>
  <c r="K804" i="1"/>
  <c r="K805" i="1"/>
  <c r="K811" i="1"/>
  <c r="H806" i="2"/>
  <c r="K806" i="1"/>
  <c r="H801" i="2"/>
  <c r="K802" i="1"/>
  <c r="K487" i="1"/>
  <c r="M487" i="1"/>
  <c r="N487" i="1"/>
  <c r="K286" i="1"/>
  <c r="M286" i="1"/>
  <c r="O286" i="1"/>
  <c r="P286" i="1"/>
  <c r="K287" i="1"/>
  <c r="M287" i="1"/>
  <c r="K288" i="1"/>
  <c r="H283" i="2"/>
  <c r="M288" i="1"/>
  <c r="K289" i="1"/>
  <c r="M289" i="1"/>
  <c r="N289" i="1"/>
  <c r="K278" i="1"/>
  <c r="M278" i="1"/>
  <c r="O278" i="1"/>
  <c r="P278" i="1"/>
  <c r="K336" i="1"/>
  <c r="H331" i="2"/>
  <c r="M336" i="1"/>
  <c r="O336" i="1"/>
  <c r="P336" i="1"/>
  <c r="K312" i="1"/>
  <c r="M312" i="1"/>
  <c r="N312" i="1"/>
  <c r="K310" i="1"/>
  <c r="M310" i="1"/>
  <c r="N310" i="1"/>
  <c r="K231" i="1"/>
  <c r="H226" i="2"/>
  <c r="M231" i="1"/>
  <c r="O231" i="1"/>
  <c r="P231" i="1"/>
  <c r="K230" i="1"/>
  <c r="M230" i="1"/>
  <c r="N230" i="1"/>
  <c r="K449" i="1"/>
  <c r="H445" i="2"/>
  <c r="M449" i="1"/>
  <c r="N449" i="1"/>
  <c r="K443" i="1"/>
  <c r="M443" i="1"/>
  <c r="N443" i="1"/>
  <c r="K465" i="1"/>
  <c r="H461" i="2"/>
  <c r="M465" i="1"/>
  <c r="O465" i="1"/>
  <c r="P465" i="1"/>
  <c r="K464" i="1"/>
  <c r="K167" i="1"/>
  <c r="M167" i="1"/>
  <c r="N167" i="1"/>
  <c r="K160" i="1"/>
  <c r="M160" i="1"/>
  <c r="N160" i="1"/>
  <c r="K164" i="1"/>
  <c r="M164" i="1"/>
  <c r="O164" i="1"/>
  <c r="P164" i="1"/>
  <c r="K165" i="1"/>
  <c r="M165" i="1"/>
  <c r="K163" i="1"/>
  <c r="H158" i="2"/>
  <c r="M163" i="1"/>
  <c r="O163" i="1"/>
  <c r="P163" i="1"/>
  <c r="K162" i="1"/>
  <c r="H157" i="2"/>
  <c r="M162" i="1"/>
  <c r="N162" i="1"/>
  <c r="K144" i="1"/>
  <c r="H139" i="2"/>
  <c r="M144" i="1"/>
  <c r="N144" i="1"/>
  <c r="K143" i="1"/>
  <c r="M143" i="1"/>
  <c r="O143" i="1"/>
  <c r="P143" i="1"/>
  <c r="K141" i="1"/>
  <c r="H136" i="2"/>
  <c r="M141" i="1"/>
  <c r="N141" i="1"/>
  <c r="K121" i="1"/>
  <c r="H116" i="2"/>
  <c r="M121" i="1"/>
  <c r="N121" i="1"/>
  <c r="K120" i="1"/>
  <c r="M120" i="1"/>
  <c r="K116" i="1"/>
  <c r="M116" i="1"/>
  <c r="K117" i="1"/>
  <c r="M117" i="1"/>
  <c r="K118" i="1"/>
  <c r="M118" i="1"/>
  <c r="N118" i="1"/>
  <c r="K114" i="1"/>
  <c r="H109" i="2"/>
  <c r="M114" i="1"/>
  <c r="O114" i="1"/>
  <c r="P114" i="1"/>
  <c r="K111" i="1"/>
  <c r="H106" i="2"/>
  <c r="M111" i="1"/>
  <c r="N111" i="1"/>
  <c r="K197" i="1"/>
  <c r="M197" i="1"/>
  <c r="N197" i="1"/>
  <c r="K195" i="1"/>
  <c r="H190" i="2"/>
  <c r="M195" i="1"/>
  <c r="O195" i="1"/>
  <c r="P195" i="1"/>
  <c r="M194" i="1"/>
  <c r="N194" i="1"/>
  <c r="K194" i="1"/>
  <c r="H189" i="2"/>
  <c r="K76" i="1"/>
  <c r="H71" i="2"/>
  <c r="M76" i="1"/>
  <c r="N76" i="1"/>
  <c r="K74" i="1"/>
  <c r="H69" i="2"/>
  <c r="M74" i="1"/>
  <c r="N74" i="1"/>
  <c r="K214" i="1"/>
  <c r="H209" i="2"/>
  <c r="M214" i="1"/>
  <c r="N214" i="1"/>
  <c r="K215" i="1"/>
  <c r="M215" i="1"/>
  <c r="O215" i="1"/>
  <c r="P215" i="1"/>
  <c r="M213" i="1"/>
  <c r="N213" i="1"/>
  <c r="K213" i="1"/>
  <c r="K206" i="1"/>
  <c r="H201" i="2"/>
  <c r="M206" i="1"/>
  <c r="N206" i="1"/>
  <c r="M510" i="1"/>
  <c r="O510" i="1"/>
  <c r="P510" i="1"/>
  <c r="K510" i="1"/>
  <c r="H506" i="2"/>
  <c r="M476" i="1"/>
  <c r="N476" i="1"/>
  <c r="K476" i="1"/>
  <c r="H472" i="2"/>
  <c r="M475" i="1"/>
  <c r="N475" i="1"/>
  <c r="K475" i="1"/>
  <c r="H471" i="2"/>
  <c r="M474" i="1"/>
  <c r="N474" i="1"/>
  <c r="K474" i="1"/>
  <c r="H470" i="2"/>
  <c r="M486" i="1"/>
  <c r="O486" i="1"/>
  <c r="P486" i="1"/>
  <c r="K486" i="1"/>
  <c r="M464" i="1"/>
  <c r="N464" i="1"/>
  <c r="M457" i="1"/>
  <c r="O457" i="1"/>
  <c r="P457" i="1"/>
  <c r="K457" i="1"/>
  <c r="K410" i="1"/>
  <c r="M410" i="1"/>
  <c r="O410" i="1"/>
  <c r="P410" i="1"/>
  <c r="K334" i="1"/>
  <c r="H329" i="2"/>
  <c r="M334" i="1"/>
  <c r="O334" i="1"/>
  <c r="P334" i="1"/>
  <c r="K335" i="1"/>
  <c r="H330" i="2"/>
  <c r="M335" i="1"/>
  <c r="N335" i="1"/>
  <c r="K307" i="1"/>
  <c r="M307" i="1"/>
  <c r="O307" i="1"/>
  <c r="P307" i="1"/>
  <c r="K284" i="1"/>
  <c r="M284" i="1"/>
  <c r="O284" i="1"/>
  <c r="P284" i="1"/>
  <c r="M205" i="1"/>
  <c r="N205" i="1"/>
  <c r="K205" i="1"/>
  <c r="M525" i="1"/>
  <c r="O525" i="1"/>
  <c r="P525" i="1"/>
  <c r="K525" i="1"/>
  <c r="K113" i="1"/>
  <c r="H108" i="2"/>
  <c r="M113" i="1"/>
  <c r="N113" i="1"/>
  <c r="M112" i="1"/>
  <c r="O112" i="1"/>
  <c r="P112" i="1"/>
  <c r="K112" i="1"/>
  <c r="M110" i="1"/>
  <c r="N110" i="1"/>
  <c r="K110" i="1"/>
  <c r="H105" i="2"/>
  <c r="K166" i="1"/>
  <c r="H161" i="2"/>
  <c r="M166" i="1"/>
  <c r="N166" i="1"/>
  <c r="K374" i="1"/>
  <c r="H370" i="2"/>
  <c r="M374" i="1"/>
  <c r="N374" i="1"/>
  <c r="K375" i="1"/>
  <c r="M375" i="1"/>
  <c r="N375" i="1"/>
  <c r="K376" i="1"/>
  <c r="M376" i="1"/>
  <c r="O376" i="1"/>
  <c r="P376" i="1"/>
  <c r="M373" i="1"/>
  <c r="N373" i="1"/>
  <c r="K373" i="1"/>
  <c r="M361" i="1"/>
  <c r="O361" i="1"/>
  <c r="P361" i="1"/>
  <c r="K361" i="1"/>
  <c r="H356" i="2"/>
  <c r="M251" i="1"/>
  <c r="O251" i="1"/>
  <c r="P251" i="1"/>
  <c r="K251" i="1"/>
  <c r="H246" i="2"/>
  <c r="M249" i="1"/>
  <c r="K249" i="1"/>
  <c r="H244" i="2"/>
  <c r="M250" i="1"/>
  <c r="K250" i="1"/>
  <c r="H245" i="2"/>
  <c r="M246" i="1"/>
  <c r="K246" i="1"/>
  <c r="M229" i="1"/>
  <c r="O229" i="1"/>
  <c r="P229" i="1"/>
  <c r="K229" i="1"/>
  <c r="H224" i="2"/>
  <c r="K60" i="1"/>
  <c r="M60" i="1"/>
  <c r="N60" i="1"/>
  <c r="K704" i="1"/>
  <c r="M705" i="1"/>
  <c r="O705" i="1"/>
  <c r="P705" i="1"/>
  <c r="K705" i="1"/>
  <c r="M704" i="1"/>
  <c r="O704" i="1"/>
  <c r="P704" i="1"/>
  <c r="M703" i="1"/>
  <c r="O703" i="1"/>
  <c r="P703" i="1"/>
  <c r="K703" i="1"/>
  <c r="M548" i="1"/>
  <c r="N548" i="1"/>
  <c r="K548" i="1"/>
  <c r="H544" i="2"/>
  <c r="M526" i="1"/>
  <c r="N526" i="1"/>
  <c r="K526" i="1"/>
  <c r="M902" i="1"/>
  <c r="N902" i="1"/>
  <c r="K902" i="1"/>
  <c r="AK902" i="1"/>
  <c r="R902" i="1"/>
  <c r="M901" i="1"/>
  <c r="O901" i="1"/>
  <c r="P901" i="1"/>
  <c r="K901" i="1"/>
  <c r="L901" i="1"/>
  <c r="M729" i="1"/>
  <c r="O729" i="1"/>
  <c r="P729" i="1"/>
  <c r="K729" i="1"/>
  <c r="AK729" i="1"/>
  <c r="R729" i="1"/>
  <c r="M728" i="1"/>
  <c r="O728" i="1"/>
  <c r="P728" i="1"/>
  <c r="K728" i="1"/>
  <c r="M551" i="1"/>
  <c r="O551" i="1"/>
  <c r="P551" i="1"/>
  <c r="K551" i="1"/>
  <c r="AK387" i="1"/>
  <c r="M390" i="1"/>
  <c r="N390" i="1"/>
  <c r="K390" i="1"/>
  <c r="M389" i="1"/>
  <c r="N389" i="1"/>
  <c r="K389" i="1"/>
  <c r="M388" i="1"/>
  <c r="O388" i="1"/>
  <c r="P388" i="1"/>
  <c r="K388" i="1"/>
  <c r="M386" i="1"/>
  <c r="O386" i="1"/>
  <c r="P386" i="1"/>
  <c r="K386" i="1"/>
  <c r="M385" i="1"/>
  <c r="N385" i="1"/>
  <c r="K385" i="1"/>
  <c r="H381" i="2"/>
  <c r="M384" i="1"/>
  <c r="O384" i="1"/>
  <c r="P384" i="1"/>
  <c r="K384" i="1"/>
  <c r="H380" i="2"/>
  <c r="M383" i="1"/>
  <c r="N383" i="1"/>
  <c r="K383" i="1"/>
  <c r="K362" i="1"/>
  <c r="M362" i="1"/>
  <c r="N362" i="1"/>
  <c r="K363" i="1"/>
  <c r="M363" i="1"/>
  <c r="K252" i="1"/>
  <c r="M252" i="1"/>
  <c r="N252" i="1"/>
  <c r="K253" i="1"/>
  <c r="H248" i="2"/>
  <c r="M253" i="1"/>
  <c r="N253" i="1"/>
  <c r="K115" i="1"/>
  <c r="M115" i="1"/>
  <c r="N115" i="1"/>
  <c r="K119" i="1"/>
  <c r="AK119" i="1"/>
  <c r="R119" i="1"/>
  <c r="M119" i="1"/>
  <c r="O119" i="1"/>
  <c r="P119" i="1"/>
  <c r="K75" i="1"/>
  <c r="M75" i="1"/>
  <c r="N75" i="1"/>
  <c r="K61" i="1"/>
  <c r="H56" i="2"/>
  <c r="M61" i="1"/>
  <c r="N61" i="1"/>
  <c r="K62" i="1"/>
  <c r="H57" i="2"/>
  <c r="M62" i="1"/>
  <c r="N62" i="1"/>
  <c r="M769" i="1"/>
  <c r="N769" i="1"/>
  <c r="K769" i="1"/>
  <c r="M768" i="1"/>
  <c r="O768" i="1"/>
  <c r="P768" i="1"/>
  <c r="K768" i="1"/>
  <c r="M683" i="1"/>
  <c r="O683" i="1"/>
  <c r="P683" i="1"/>
  <c r="K683" i="1"/>
  <c r="M682" i="1"/>
  <c r="O682" i="1"/>
  <c r="P682" i="1"/>
  <c r="K682" i="1"/>
  <c r="M681" i="1"/>
  <c r="N681" i="1"/>
  <c r="K681" i="1"/>
  <c r="M676" i="1"/>
  <c r="O676" i="1"/>
  <c r="P676" i="1"/>
  <c r="K676" i="1"/>
  <c r="M675" i="1"/>
  <c r="N675" i="1"/>
  <c r="K675" i="1"/>
  <c r="H671" i="2"/>
  <c r="M674" i="1"/>
  <c r="N674" i="1"/>
  <c r="K674" i="1"/>
  <c r="M673" i="1"/>
  <c r="N673" i="1"/>
  <c r="K673" i="1"/>
  <c r="M672" i="1"/>
  <c r="N672" i="1"/>
  <c r="K672" i="1"/>
  <c r="M667" i="1"/>
  <c r="O667" i="1"/>
  <c r="P667" i="1"/>
  <c r="K667" i="1"/>
  <c r="M666" i="1"/>
  <c r="N666" i="1"/>
  <c r="K666" i="1"/>
  <c r="H662" i="2"/>
  <c r="M665" i="1"/>
  <c r="N665" i="1"/>
  <c r="K665" i="1"/>
  <c r="H661" i="2"/>
  <c r="M662" i="1"/>
  <c r="O662" i="1"/>
  <c r="P662" i="1"/>
  <c r="M661" i="1"/>
  <c r="O661" i="1"/>
  <c r="P661" i="1"/>
  <c r="M660" i="1"/>
  <c r="O660" i="1"/>
  <c r="P660" i="1"/>
  <c r="M23" i="1"/>
  <c r="O23" i="1"/>
  <c r="P23" i="1"/>
  <c r="K23" i="1"/>
  <c r="H22" i="2"/>
  <c r="M22" i="1"/>
  <c r="N22" i="1"/>
  <c r="K22" i="1"/>
  <c r="M21" i="1"/>
  <c r="N21" i="1"/>
  <c r="K21" i="1"/>
  <c r="H20" i="2"/>
  <c r="M529" i="1"/>
  <c r="O529" i="1"/>
  <c r="P529" i="1"/>
  <c r="K529" i="1"/>
  <c r="H525" i="2"/>
  <c r="K473" i="1"/>
  <c r="M473" i="1"/>
  <c r="O473" i="1"/>
  <c r="P473" i="1"/>
  <c r="H717" i="2"/>
  <c r="I717" i="2"/>
  <c r="H718" i="2"/>
  <c r="I718" i="2"/>
  <c r="H745" i="2"/>
  <c r="J745" i="2"/>
  <c r="H760" i="2"/>
  <c r="J760" i="2"/>
  <c r="H764" i="2"/>
  <c r="J764" i="2"/>
  <c r="L764" i="2"/>
  <c r="M764" i="2"/>
  <c r="H771" i="2"/>
  <c r="I771" i="2"/>
  <c r="H779" i="2"/>
  <c r="I779" i="2"/>
  <c r="H781" i="2"/>
  <c r="J781" i="2"/>
  <c r="L781" i="2"/>
  <c r="M781" i="2"/>
  <c r="H785" i="2"/>
  <c r="J785" i="2"/>
  <c r="L785" i="2"/>
  <c r="M785" i="2"/>
  <c r="H791" i="2"/>
  <c r="J791" i="2"/>
  <c r="L791" i="2"/>
  <c r="M791" i="2"/>
  <c r="H795" i="2"/>
  <c r="J795" i="2"/>
  <c r="H803" i="2"/>
  <c r="J803" i="2"/>
  <c r="K803" i="2"/>
  <c r="H813" i="2"/>
  <c r="J813" i="2"/>
  <c r="H823" i="2"/>
  <c r="J823" i="2"/>
  <c r="L823" i="2"/>
  <c r="M823" i="2"/>
  <c r="H826" i="2"/>
  <c r="H846" i="2"/>
  <c r="I846" i="2"/>
  <c r="H847" i="2"/>
  <c r="I847" i="2"/>
  <c r="H849" i="2"/>
  <c r="J849" i="2"/>
  <c r="H851" i="2"/>
  <c r="I851" i="2"/>
  <c r="H852" i="2"/>
  <c r="J852" i="2"/>
  <c r="H855" i="2"/>
  <c r="J855" i="2"/>
  <c r="L855" i="2"/>
  <c r="M855" i="2"/>
  <c r="H856" i="2"/>
  <c r="J856" i="2"/>
  <c r="H860" i="2"/>
  <c r="J860" i="2"/>
  <c r="K860" i="2"/>
  <c r="H864" i="2"/>
  <c r="H865" i="2"/>
  <c r="J865" i="2"/>
  <c r="L865" i="2"/>
  <c r="M865" i="2"/>
  <c r="H878" i="2"/>
  <c r="J878" i="2"/>
  <c r="L878" i="2"/>
  <c r="M878" i="2"/>
  <c r="H879" i="2"/>
  <c r="I879" i="2"/>
  <c r="H889" i="2"/>
  <c r="J889" i="2"/>
  <c r="H900" i="2"/>
  <c r="M528" i="1"/>
  <c r="N528" i="1"/>
  <c r="K528" i="1"/>
  <c r="M905" i="1"/>
  <c r="N905" i="1"/>
  <c r="K905" i="1"/>
  <c r="AK905" i="1"/>
  <c r="R905" i="1"/>
  <c r="M856" i="1"/>
  <c r="O856" i="1"/>
  <c r="P856" i="1"/>
  <c r="K856" i="1"/>
  <c r="K878" i="1"/>
  <c r="AK878" i="1"/>
  <c r="R878" i="1"/>
  <c r="M878" i="1"/>
  <c r="O878" i="1"/>
  <c r="P878" i="1"/>
  <c r="K483" i="1"/>
  <c r="M483" i="1"/>
  <c r="N483" i="1"/>
  <c r="K484" i="1"/>
  <c r="M484" i="1"/>
  <c r="O484" i="1"/>
  <c r="P484" i="1"/>
  <c r="M482" i="1"/>
  <c r="N482" i="1"/>
  <c r="K482" i="1"/>
  <c r="M481" i="1"/>
  <c r="O481" i="1"/>
  <c r="P481" i="1"/>
  <c r="K481" i="1"/>
  <c r="H477" i="2"/>
  <c r="M480" i="1"/>
  <c r="N480" i="1"/>
  <c r="K480" i="1"/>
  <c r="H476" i="2"/>
  <c r="H979" i="2"/>
  <c r="I979" i="2"/>
  <c r="H982" i="2"/>
  <c r="J982" i="2"/>
  <c r="L982" i="2"/>
  <c r="M982" i="2"/>
  <c r="H985" i="2"/>
  <c r="I985" i="2"/>
  <c r="H987" i="2"/>
  <c r="I987" i="2"/>
  <c r="H991" i="2"/>
  <c r="I991" i="2"/>
  <c r="H993" i="2"/>
  <c r="J993" i="2"/>
  <c r="K993" i="2"/>
  <c r="H996" i="2"/>
  <c r="J996" i="2"/>
  <c r="H1001" i="2"/>
  <c r="I1001" i="2"/>
  <c r="H1003" i="2"/>
  <c r="I1003" i="2"/>
  <c r="H1019" i="2"/>
  <c r="J1019" i="2"/>
  <c r="L1019" i="2"/>
  <c r="M1019" i="2"/>
  <c r="H1021" i="2"/>
  <c r="H1023" i="2"/>
  <c r="J1023" i="2"/>
  <c r="L1023" i="2"/>
  <c r="M1023" i="2"/>
  <c r="H1026" i="2"/>
  <c r="I1026" i="2"/>
  <c r="H1028" i="2"/>
  <c r="I1028" i="2"/>
  <c r="H1035" i="2"/>
  <c r="H1037" i="2"/>
  <c r="H1039" i="2"/>
  <c r="J1039" i="2"/>
  <c r="H1042" i="2"/>
  <c r="J1042" i="2"/>
  <c r="K1042" i="2"/>
  <c r="H1046" i="2"/>
  <c r="I1046" i="2"/>
  <c r="H1048" i="2"/>
  <c r="H1052" i="2"/>
  <c r="I1052" i="2"/>
  <c r="H1057" i="2"/>
  <c r="J1057" i="2"/>
  <c r="K1057" i="2"/>
  <c r="H1062" i="2"/>
  <c r="I1062" i="2"/>
  <c r="H1064" i="2"/>
  <c r="H1066" i="2"/>
  <c r="I1066" i="2"/>
  <c r="H1069" i="2"/>
  <c r="I1069" i="2"/>
  <c r="H1073" i="2"/>
  <c r="I1073" i="2"/>
  <c r="H1077" i="2"/>
  <c r="J1077" i="2"/>
  <c r="H1081" i="2"/>
  <c r="I1081" i="2"/>
  <c r="H1083" i="2"/>
  <c r="H1086" i="2"/>
  <c r="J1086" i="2"/>
  <c r="H1089" i="2"/>
  <c r="J1089" i="2"/>
  <c r="H1093" i="2"/>
  <c r="I1093" i="2"/>
  <c r="K359" i="1"/>
  <c r="M359" i="1"/>
  <c r="K360" i="1"/>
  <c r="H355" i="2"/>
  <c r="M360" i="1"/>
  <c r="O360" i="1"/>
  <c r="P360" i="1"/>
  <c r="M358" i="1"/>
  <c r="K358" i="1"/>
  <c r="H353" i="2"/>
  <c r="M357" i="1"/>
  <c r="O357" i="1"/>
  <c r="P357" i="1"/>
  <c r="K357" i="1"/>
  <c r="H352" i="2"/>
  <c r="M248" i="1"/>
  <c r="K248" i="1"/>
  <c r="H243" i="2"/>
  <c r="M247" i="1"/>
  <c r="K247" i="1"/>
  <c r="H242" i="2"/>
  <c r="M245" i="1"/>
  <c r="K245" i="1"/>
  <c r="H240" i="2"/>
  <c r="K227" i="1"/>
  <c r="H222" i="2"/>
  <c r="M227" i="1"/>
  <c r="O227" i="1"/>
  <c r="P227" i="1"/>
  <c r="K228" i="1"/>
  <c r="M228" i="1"/>
  <c r="N228" i="1"/>
  <c r="M226" i="1"/>
  <c r="K226" i="1"/>
  <c r="H221" i="2"/>
  <c r="M225" i="1"/>
  <c r="N225" i="1"/>
  <c r="K225" i="1"/>
  <c r="M196" i="1"/>
  <c r="O196" i="1"/>
  <c r="P196" i="1"/>
  <c r="K196" i="1"/>
  <c r="H191" i="2"/>
  <c r="M193" i="1"/>
  <c r="K193" i="1"/>
  <c r="H188" i="2"/>
  <c r="K159" i="1"/>
  <c r="H154" i="2"/>
  <c r="M159" i="1"/>
  <c r="K161" i="1"/>
  <c r="H156" i="2"/>
  <c r="M161" i="1"/>
  <c r="M158" i="1"/>
  <c r="O158" i="1"/>
  <c r="P158" i="1"/>
  <c r="K158" i="1"/>
  <c r="M157" i="1"/>
  <c r="K157" i="1"/>
  <c r="H152" i="2"/>
  <c r="M142" i="1"/>
  <c r="K142" i="1"/>
  <c r="M140" i="1"/>
  <c r="K140" i="1"/>
  <c r="H135" i="2"/>
  <c r="K109" i="1"/>
  <c r="H104" i="2"/>
  <c r="M109" i="1"/>
  <c r="O109" i="1"/>
  <c r="P109" i="1"/>
  <c r="M108" i="1"/>
  <c r="K108" i="1"/>
  <c r="H103" i="2"/>
  <c r="M107" i="1"/>
  <c r="K107" i="1"/>
  <c r="M106" i="1"/>
  <c r="K106" i="1"/>
  <c r="M105" i="1"/>
  <c r="K105" i="1"/>
  <c r="H100" i="2"/>
  <c r="K73" i="1"/>
  <c r="H68" i="2"/>
  <c r="M73" i="1"/>
  <c r="M72" i="1"/>
  <c r="O72" i="1"/>
  <c r="P72" i="1"/>
  <c r="K72" i="1"/>
  <c r="H67" i="2"/>
  <c r="M71" i="1"/>
  <c r="K71" i="1"/>
  <c r="H66" i="2"/>
  <c r="M70" i="1"/>
  <c r="K70" i="1"/>
  <c r="H65" i="2"/>
  <c r="K58" i="1"/>
  <c r="H53" i="2"/>
  <c r="M58" i="1"/>
  <c r="O58" i="1"/>
  <c r="P58" i="1"/>
  <c r="K59" i="1"/>
  <c r="H54" i="2"/>
  <c r="M59" i="1"/>
  <c r="M57" i="1"/>
  <c r="K57" i="1"/>
  <c r="H52" i="2"/>
  <c r="M56" i="1"/>
  <c r="N56" i="1"/>
  <c r="K56" i="1"/>
  <c r="H51" i="2"/>
  <c r="M20" i="1"/>
  <c r="K20" i="1"/>
  <c r="H19" i="2"/>
  <c r="M508" i="1"/>
  <c r="K508" i="1"/>
  <c r="H504" i="2"/>
  <c r="AK1147" i="1"/>
  <c r="AK1144" i="1"/>
  <c r="AK1141" i="1"/>
  <c r="AK1148" i="1"/>
  <c r="AK1145" i="1"/>
  <c r="AK1142" i="1"/>
  <c r="AK1146" i="1"/>
  <c r="AK1143" i="1"/>
  <c r="M347" i="1"/>
  <c r="K347" i="1"/>
  <c r="H342" i="2"/>
  <c r="K408" i="1"/>
  <c r="H404" i="2"/>
  <c r="M408" i="1"/>
  <c r="N408" i="1"/>
  <c r="K409" i="1"/>
  <c r="H405" i="2"/>
  <c r="M409" i="1"/>
  <c r="O409" i="1"/>
  <c r="P409" i="1"/>
  <c r="M407" i="1"/>
  <c r="K407" i="1"/>
  <c r="H403" i="2"/>
  <c r="M406" i="1"/>
  <c r="N406" i="1"/>
  <c r="K406" i="1"/>
  <c r="H402" i="2"/>
  <c r="K306" i="1"/>
  <c r="H301" i="2"/>
  <c r="M306" i="1"/>
  <c r="K308" i="1"/>
  <c r="H303" i="2"/>
  <c r="M308" i="1"/>
  <c r="K309" i="1"/>
  <c r="H304" i="2"/>
  <c r="M309" i="1"/>
  <c r="K311" i="1"/>
  <c r="H306" i="2"/>
  <c r="M311" i="1"/>
  <c r="M305" i="1"/>
  <c r="N305" i="1"/>
  <c r="K305" i="1"/>
  <c r="H300" i="2"/>
  <c r="M304" i="1"/>
  <c r="K304" i="1"/>
  <c r="K279" i="1"/>
  <c r="H274" i="2"/>
  <c r="M279" i="1"/>
  <c r="K280" i="1"/>
  <c r="H275" i="2"/>
  <c r="M280" i="1"/>
  <c r="K281" i="1"/>
  <c r="M281" i="1"/>
  <c r="K282" i="1"/>
  <c r="H277" i="2"/>
  <c r="M282" i="1"/>
  <c r="K283" i="1"/>
  <c r="H278" i="2"/>
  <c r="M283" i="1"/>
  <c r="K285" i="1"/>
  <c r="H280" i="2"/>
  <c r="M285" i="1"/>
  <c r="N285" i="1"/>
  <c r="M277" i="1"/>
  <c r="K277" i="1"/>
  <c r="H272" i="2"/>
  <c r="M276" i="1"/>
  <c r="N276" i="1"/>
  <c r="K276" i="1"/>
  <c r="H271" i="2"/>
  <c r="M448" i="1"/>
  <c r="K448" i="1"/>
  <c r="H444" i="2"/>
  <c r="K445" i="1"/>
  <c r="H441" i="2"/>
  <c r="M445" i="1"/>
  <c r="K446" i="1"/>
  <c r="H442" i="2"/>
  <c r="M446" i="1"/>
  <c r="M442" i="1"/>
  <c r="K442" i="1"/>
  <c r="H438" i="2"/>
  <c r="M441" i="1"/>
  <c r="O441" i="1"/>
  <c r="P441" i="1"/>
  <c r="K441" i="1"/>
  <c r="H437" i="2"/>
  <c r="M440" i="1"/>
  <c r="K440" i="1"/>
  <c r="K330" i="1"/>
  <c r="H325" i="2"/>
  <c r="M330" i="1"/>
  <c r="O330" i="1"/>
  <c r="P330" i="1"/>
  <c r="K331" i="1"/>
  <c r="M331" i="1"/>
  <c r="K332" i="1"/>
  <c r="M332" i="1"/>
  <c r="O332" i="1"/>
  <c r="P332" i="1"/>
  <c r="K333" i="1"/>
  <c r="H328" i="2"/>
  <c r="M333" i="1"/>
  <c r="M329" i="1"/>
  <c r="K329" i="1"/>
  <c r="H324" i="2"/>
  <c r="M328" i="1"/>
  <c r="N328" i="1"/>
  <c r="K328" i="1"/>
  <c r="M496" i="1"/>
  <c r="K496" i="1"/>
  <c r="H492" i="2"/>
  <c r="M1134" i="1"/>
  <c r="K1134" i="1"/>
  <c r="H1094" i="2"/>
  <c r="K492" i="1"/>
  <c r="H488" i="2"/>
  <c r="M492" i="1"/>
  <c r="O492" i="1"/>
  <c r="P492" i="1"/>
  <c r="M341" i="1"/>
  <c r="O341" i="1"/>
  <c r="P341" i="1"/>
  <c r="K341" i="1"/>
  <c r="H336" i="2"/>
  <c r="M655" i="1"/>
  <c r="O655" i="1"/>
  <c r="P655" i="1"/>
  <c r="K655" i="1"/>
  <c r="H651" i="2"/>
  <c r="M654" i="1"/>
  <c r="O654" i="1"/>
  <c r="P654" i="1"/>
  <c r="K654" i="1"/>
  <c r="M794" i="1"/>
  <c r="N794" i="1"/>
  <c r="K794" i="1"/>
  <c r="H788" i="2"/>
  <c r="M793" i="1"/>
  <c r="N793" i="1"/>
  <c r="K793" i="1"/>
  <c r="M979" i="1"/>
  <c r="O979" i="1"/>
  <c r="P979" i="1"/>
  <c r="K979" i="1"/>
  <c r="H939" i="2"/>
  <c r="M978" i="1"/>
  <c r="O978" i="1"/>
  <c r="P978" i="1"/>
  <c r="K978" i="1"/>
  <c r="H938" i="2"/>
  <c r="M977" i="1"/>
  <c r="O977" i="1"/>
  <c r="P977" i="1"/>
  <c r="K977" i="1"/>
  <c r="H937" i="2"/>
  <c r="M976" i="1"/>
  <c r="K976" i="1"/>
  <c r="H936" i="2"/>
  <c r="K975" i="1"/>
  <c r="H935" i="2"/>
  <c r="M975" i="1"/>
  <c r="M814" i="1"/>
  <c r="O814" i="1"/>
  <c r="P814" i="1"/>
  <c r="K814" i="1"/>
  <c r="M813" i="1"/>
  <c r="O813" i="1"/>
  <c r="P813" i="1"/>
  <c r="K813" i="1"/>
  <c r="H809" i="2"/>
  <c r="K37" i="1"/>
  <c r="M37" i="1"/>
  <c r="O37" i="1"/>
  <c r="P37" i="1"/>
  <c r="M36" i="1"/>
  <c r="K36" i="1"/>
  <c r="H35" i="2"/>
  <c r="M35" i="1"/>
  <c r="O35" i="1"/>
  <c r="P35" i="1"/>
  <c r="K35" i="1"/>
  <c r="M34" i="1"/>
  <c r="K34" i="1"/>
  <c r="M653" i="1"/>
  <c r="N653" i="1"/>
  <c r="K653" i="1"/>
  <c r="M650" i="1"/>
  <c r="O650" i="1"/>
  <c r="P650" i="1"/>
  <c r="K650" i="1"/>
  <c r="H646" i="2"/>
  <c r="M796" i="1"/>
  <c r="N796" i="1"/>
  <c r="K796" i="1"/>
  <c r="H790" i="2"/>
  <c r="M795" i="1"/>
  <c r="K795" i="1"/>
  <c r="M792" i="1"/>
  <c r="N792" i="1"/>
  <c r="K792" i="1"/>
  <c r="H786" i="2"/>
  <c r="M790" i="1"/>
  <c r="N790" i="1"/>
  <c r="K790" i="1"/>
  <c r="M789" i="1"/>
  <c r="K789" i="1"/>
  <c r="M788" i="1"/>
  <c r="N788" i="1"/>
  <c r="K788" i="1"/>
  <c r="K44" i="1"/>
  <c r="AK44" i="1"/>
  <c r="M44" i="1"/>
  <c r="N44" i="1"/>
  <c r="K45" i="1"/>
  <c r="M45" i="1"/>
  <c r="M43" i="1"/>
  <c r="O43" i="1"/>
  <c r="P43" i="1"/>
  <c r="K43" i="1"/>
  <c r="AK43" i="1"/>
  <c r="H24" i="2"/>
  <c r="K651" i="1"/>
  <c r="H647" i="2"/>
  <c r="M651" i="1"/>
  <c r="O651" i="1"/>
  <c r="P651" i="1"/>
  <c r="K652" i="1"/>
  <c r="H648" i="2"/>
  <c r="M652" i="1"/>
  <c r="N652" i="1"/>
  <c r="K468" i="1"/>
  <c r="M468" i="1"/>
  <c r="K469" i="1"/>
  <c r="M469" i="1"/>
  <c r="M467" i="1"/>
  <c r="N467" i="1"/>
  <c r="K467" i="1"/>
  <c r="H463" i="2"/>
  <c r="H481" i="2"/>
  <c r="K17" i="1"/>
  <c r="H16" i="2"/>
  <c r="M17" i="1"/>
  <c r="N17" i="1"/>
  <c r="K78" i="1"/>
  <c r="M78" i="1"/>
  <c r="K79" i="1"/>
  <c r="H74" i="2"/>
  <c r="M79" i="1"/>
  <c r="K83" i="1"/>
  <c r="H78" i="2"/>
  <c r="M83" i="1"/>
  <c r="N83" i="1"/>
  <c r="K89" i="1"/>
  <c r="H84" i="2"/>
  <c r="M89" i="1"/>
  <c r="N89" i="1"/>
  <c r="K93" i="1"/>
  <c r="M93" i="1"/>
  <c r="K123" i="1"/>
  <c r="M123" i="1"/>
  <c r="O123" i="1"/>
  <c r="P123" i="1"/>
  <c r="K124" i="1"/>
  <c r="H119" i="2"/>
  <c r="M124" i="1"/>
  <c r="K126" i="1"/>
  <c r="M126" i="1"/>
  <c r="K127" i="1"/>
  <c r="M127" i="1"/>
  <c r="O127" i="1"/>
  <c r="P127" i="1"/>
  <c r="K128" i="1"/>
  <c r="M128" i="1"/>
  <c r="N128" i="1"/>
  <c r="K129" i="1"/>
  <c r="H124" i="2"/>
  <c r="M129" i="1"/>
  <c r="K131" i="1"/>
  <c r="H126" i="2"/>
  <c r="M131" i="1"/>
  <c r="O131" i="1"/>
  <c r="P131" i="1"/>
  <c r="K132" i="1"/>
  <c r="M132" i="1"/>
  <c r="O132" i="1"/>
  <c r="P132" i="1"/>
  <c r="K169" i="1"/>
  <c r="M169" i="1"/>
  <c r="O169" i="1"/>
  <c r="P169" i="1"/>
  <c r="K170" i="1"/>
  <c r="M170" i="1"/>
  <c r="K171" i="1"/>
  <c r="H166" i="2"/>
  <c r="M171" i="1"/>
  <c r="N171" i="1"/>
  <c r="K173" i="1"/>
  <c r="M173" i="1"/>
  <c r="N173" i="1"/>
  <c r="K175" i="1"/>
  <c r="M175" i="1"/>
  <c r="H211" i="2"/>
  <c r="K176" i="1"/>
  <c r="H171" i="2"/>
  <c r="M176" i="1"/>
  <c r="K177" i="1"/>
  <c r="H172" i="2"/>
  <c r="M177" i="1"/>
  <c r="K178" i="1"/>
  <c r="M178" i="1"/>
  <c r="K180" i="1"/>
  <c r="H175" i="2"/>
  <c r="M180" i="1"/>
  <c r="O180" i="1"/>
  <c r="P180" i="1"/>
  <c r="K182" i="1"/>
  <c r="M182" i="1"/>
  <c r="K183" i="1"/>
  <c r="M183" i="1"/>
  <c r="K184" i="1"/>
  <c r="M184" i="1"/>
  <c r="K185" i="1"/>
  <c r="H180" i="2"/>
  <c r="M185" i="1"/>
  <c r="O185" i="1"/>
  <c r="P185" i="1"/>
  <c r="K199" i="1"/>
  <c r="M199" i="1"/>
  <c r="K200" i="1"/>
  <c r="M200" i="1"/>
  <c r="K217" i="1"/>
  <c r="H212" i="2"/>
  <c r="M217" i="1"/>
  <c r="O217" i="1"/>
  <c r="P217" i="1"/>
  <c r="H270" i="2"/>
  <c r="I270" i="2"/>
  <c r="K233" i="1"/>
  <c r="H228" i="2"/>
  <c r="M233" i="1"/>
  <c r="N233" i="1"/>
  <c r="K234" i="1"/>
  <c r="H229" i="2"/>
  <c r="M234" i="1"/>
  <c r="K236" i="1"/>
  <c r="M236" i="1"/>
  <c r="K255" i="1"/>
  <c r="H250" i="2"/>
  <c r="M255" i="1"/>
  <c r="N255" i="1"/>
  <c r="H322" i="2"/>
  <c r="K257" i="1"/>
  <c r="M257" i="1"/>
  <c r="K258" i="1"/>
  <c r="M258" i="1"/>
  <c r="K259" i="1"/>
  <c r="M259" i="1"/>
  <c r="K260" i="1"/>
  <c r="M260" i="1"/>
  <c r="O260" i="1"/>
  <c r="P260" i="1"/>
  <c r="K291" i="1"/>
  <c r="H286" i="2"/>
  <c r="M291" i="1"/>
  <c r="K292" i="1"/>
  <c r="H287" i="2"/>
  <c r="M292" i="1"/>
  <c r="N292" i="1"/>
  <c r="H373" i="2"/>
  <c r="K314" i="1"/>
  <c r="H309" i="2"/>
  <c r="M314" i="1"/>
  <c r="N314" i="1"/>
  <c r="K315" i="1"/>
  <c r="M315" i="1"/>
  <c r="N315" i="1"/>
  <c r="K316" i="1"/>
  <c r="M316" i="1"/>
  <c r="O316" i="1"/>
  <c r="P316" i="1"/>
  <c r="K338" i="1"/>
  <c r="M338" i="1"/>
  <c r="N338" i="1"/>
  <c r="K339" i="1"/>
  <c r="H334" i="2"/>
  <c r="M339" i="1"/>
  <c r="O339" i="1"/>
  <c r="P339" i="1"/>
  <c r="K349" i="1"/>
  <c r="H344" i="2"/>
  <c r="M349" i="1"/>
  <c r="K365" i="1"/>
  <c r="H361" i="2"/>
  <c r="M365" i="1"/>
  <c r="O365" i="1"/>
  <c r="P365" i="1"/>
  <c r="K366" i="1"/>
  <c r="M366" i="1"/>
  <c r="O366" i="1"/>
  <c r="P366" i="1"/>
  <c r="K380" i="1"/>
  <c r="M380" i="1"/>
  <c r="N380" i="1"/>
  <c r="K381" i="1"/>
  <c r="H377" i="2"/>
  <c r="M381" i="1"/>
  <c r="K378" i="1"/>
  <c r="H374" i="2"/>
  <c r="M378" i="1"/>
  <c r="K379" i="1"/>
  <c r="M379" i="1"/>
  <c r="N379" i="1"/>
  <c r="K412" i="1"/>
  <c r="H408" i="2"/>
  <c r="M412" i="1"/>
  <c r="O412" i="1"/>
  <c r="P412" i="1"/>
  <c r="K451" i="1"/>
  <c r="M451" i="1"/>
  <c r="N451" i="1"/>
  <c r="K453" i="1"/>
  <c r="H449" i="2"/>
  <c r="M453" i="1"/>
  <c r="O453" i="1"/>
  <c r="P453" i="1"/>
  <c r="K459" i="1"/>
  <c r="M459" i="1"/>
  <c r="N459" i="1"/>
  <c r="K478" i="1"/>
  <c r="H474" i="2"/>
  <c r="M478" i="1"/>
  <c r="O478" i="1"/>
  <c r="P478" i="1"/>
  <c r="K501" i="1"/>
  <c r="M501" i="1"/>
  <c r="N501" i="1"/>
  <c r="K502" i="1"/>
  <c r="H498" i="2"/>
  <c r="M502" i="1"/>
  <c r="K511" i="1"/>
  <c r="M511" i="1"/>
  <c r="H686" i="2"/>
  <c r="K513" i="1"/>
  <c r="H509" i="2"/>
  <c r="M513" i="1"/>
  <c r="K514" i="1"/>
  <c r="H510" i="2"/>
  <c r="M514" i="1"/>
  <c r="K515" i="1"/>
  <c r="H511" i="2"/>
  <c r="M515" i="1"/>
  <c r="N515" i="1"/>
  <c r="K516" i="1"/>
  <c r="M516" i="1"/>
  <c r="O516" i="1"/>
  <c r="P516" i="1"/>
  <c r="K517" i="1"/>
  <c r="H513" i="2"/>
  <c r="M517" i="1"/>
  <c r="N517" i="1"/>
  <c r="K518" i="1"/>
  <c r="H514" i="2"/>
  <c r="M518" i="1"/>
  <c r="K519" i="1"/>
  <c r="M519" i="1"/>
  <c r="K520" i="1"/>
  <c r="M520" i="1"/>
  <c r="O520" i="1"/>
  <c r="P520" i="1"/>
  <c r="K521" i="1"/>
  <c r="M521" i="1"/>
  <c r="O521" i="1"/>
  <c r="P521" i="1"/>
  <c r="K522" i="1"/>
  <c r="H518" i="2"/>
  <c r="M522" i="1"/>
  <c r="K523" i="1"/>
  <c r="H519" i="2"/>
  <c r="M523" i="1"/>
  <c r="N523" i="1"/>
  <c r="K531" i="1"/>
  <c r="M531" i="1"/>
  <c r="O531" i="1"/>
  <c r="P531" i="1"/>
  <c r="K533" i="1"/>
  <c r="M533" i="1"/>
  <c r="K534" i="1"/>
  <c r="M534" i="1"/>
  <c r="K535" i="1"/>
  <c r="M535" i="1"/>
  <c r="K536" i="1"/>
  <c r="M536" i="1"/>
  <c r="N536" i="1"/>
  <c r="K537" i="1"/>
  <c r="M537" i="1"/>
  <c r="K539" i="1"/>
  <c r="M539" i="1"/>
  <c r="O539" i="1"/>
  <c r="P539" i="1"/>
  <c r="K540" i="1"/>
  <c r="M540" i="1"/>
  <c r="N540" i="1"/>
  <c r="K542" i="1"/>
  <c r="M542" i="1"/>
  <c r="K543" i="1"/>
  <c r="M543" i="1"/>
  <c r="K544" i="1"/>
  <c r="M544" i="1"/>
  <c r="K545" i="1"/>
  <c r="M545" i="1"/>
  <c r="K547" i="1"/>
  <c r="M547" i="1"/>
  <c r="K659" i="1"/>
  <c r="M659" i="1"/>
  <c r="K668" i="1"/>
  <c r="M668" i="1"/>
  <c r="O668" i="1"/>
  <c r="P668" i="1"/>
  <c r="K669" i="1"/>
  <c r="H665" i="2"/>
  <c r="M669" i="1"/>
  <c r="K670" i="1"/>
  <c r="H666" i="2"/>
  <c r="M670" i="1"/>
  <c r="O670" i="1"/>
  <c r="P670" i="1"/>
  <c r="K671" i="1"/>
  <c r="M671" i="1"/>
  <c r="K678" i="1"/>
  <c r="H674" i="2"/>
  <c r="M678" i="1"/>
  <c r="K679" i="1"/>
  <c r="M679" i="1"/>
  <c r="K680" i="1"/>
  <c r="M680" i="1"/>
  <c r="N680" i="1"/>
  <c r="K687" i="1"/>
  <c r="M687" i="1"/>
  <c r="N687" i="1"/>
  <c r="K688" i="1"/>
  <c r="M688" i="1"/>
  <c r="O688" i="1"/>
  <c r="P688" i="1"/>
  <c r="K689" i="1"/>
  <c r="M689" i="1"/>
  <c r="N689" i="1"/>
  <c r="K692" i="1"/>
  <c r="M692" i="1"/>
  <c r="K694" i="1"/>
  <c r="M694" i="1"/>
  <c r="N694" i="1"/>
  <c r="K696" i="1"/>
  <c r="M696" i="1"/>
  <c r="K698" i="1"/>
  <c r="M698" i="1"/>
  <c r="K701" i="1"/>
  <c r="M701" i="1"/>
  <c r="K710" i="1"/>
  <c r="M710" i="1"/>
  <c r="K713" i="1"/>
  <c r="M713" i="1"/>
  <c r="K716" i="1"/>
  <c r="L716" i="1"/>
  <c r="M716" i="1"/>
  <c r="N716" i="1"/>
  <c r="K717" i="1"/>
  <c r="H714" i="2"/>
  <c r="M717" i="1"/>
  <c r="N717" i="1"/>
  <c r="K719" i="1"/>
  <c r="M719" i="1"/>
  <c r="K722" i="1"/>
  <c r="M722" i="1"/>
  <c r="K731" i="1"/>
  <c r="H728" i="2"/>
  <c r="M731" i="1"/>
  <c r="K732" i="1"/>
  <c r="M732" i="1"/>
  <c r="K735" i="1"/>
  <c r="L735" i="1"/>
  <c r="M735" i="1"/>
  <c r="K763" i="1"/>
  <c r="M763" i="1"/>
  <c r="K764" i="1"/>
  <c r="H759" i="2"/>
  <c r="M764" i="1"/>
  <c r="AK762" i="1"/>
  <c r="K766" i="1"/>
  <c r="M766" i="1"/>
  <c r="N766" i="1"/>
  <c r="K767" i="1"/>
  <c r="H761" i="2"/>
  <c r="M767" i="1"/>
  <c r="K772" i="1"/>
  <c r="L772" i="1"/>
  <c r="M772" i="1"/>
  <c r="K773" i="1"/>
  <c r="M773" i="1"/>
  <c r="N773" i="1"/>
  <c r="K774" i="1"/>
  <c r="L774" i="1"/>
  <c r="M774" i="1"/>
  <c r="K775" i="1"/>
  <c r="L775" i="1"/>
  <c r="M775" i="1"/>
  <c r="K776" i="1"/>
  <c r="AK776" i="1"/>
  <c r="R776" i="1"/>
  <c r="M776" i="1"/>
  <c r="O776" i="1"/>
  <c r="P776" i="1"/>
  <c r="K778" i="1"/>
  <c r="L778" i="1"/>
  <c r="M778" i="1"/>
  <c r="K779" i="1"/>
  <c r="AK779" i="1"/>
  <c r="R779" i="1"/>
  <c r="M779" i="1"/>
  <c r="K781" i="1"/>
  <c r="M781" i="1"/>
  <c r="K782" i="1"/>
  <c r="AK782" i="1"/>
  <c r="R782" i="1"/>
  <c r="M782" i="1"/>
  <c r="K783" i="1"/>
  <c r="M783" i="1"/>
  <c r="K784" i="1"/>
  <c r="L784" i="1"/>
  <c r="M784" i="1"/>
  <c r="K798" i="1"/>
  <c r="M798" i="1"/>
  <c r="O798" i="1"/>
  <c r="P798" i="1"/>
  <c r="K799" i="1"/>
  <c r="M799" i="1"/>
  <c r="O799" i="1"/>
  <c r="P799" i="1"/>
  <c r="K800" i="1"/>
  <c r="M800" i="1"/>
  <c r="K807" i="1"/>
  <c r="M807" i="1"/>
  <c r="K809" i="1"/>
  <c r="M809" i="1"/>
  <c r="K818" i="1"/>
  <c r="M818" i="1"/>
  <c r="K824" i="1"/>
  <c r="AK824" i="1"/>
  <c r="R824" i="1"/>
  <c r="M824" i="1"/>
  <c r="N824" i="1"/>
  <c r="K827" i="1"/>
  <c r="M827" i="1"/>
  <c r="N827" i="1"/>
  <c r="K832" i="1"/>
  <c r="H822" i="2"/>
  <c r="M832" i="1"/>
  <c r="K879" i="1"/>
  <c r="L879" i="1"/>
  <c r="M879" i="1"/>
  <c r="O879" i="1"/>
  <c r="P879" i="1"/>
  <c r="K938" i="1"/>
  <c r="H896" i="2"/>
  <c r="M938" i="1"/>
  <c r="N938" i="1"/>
  <c r="K939" i="1"/>
  <c r="H897" i="2"/>
  <c r="M939" i="1"/>
  <c r="K941" i="1"/>
  <c r="H899" i="2"/>
  <c r="M941" i="1"/>
  <c r="K943" i="1"/>
  <c r="H901" i="2"/>
  <c r="M943" i="1"/>
  <c r="K944" i="1"/>
  <c r="H902" i="2"/>
  <c r="M944" i="1"/>
  <c r="N944" i="1"/>
  <c r="K945" i="1"/>
  <c r="H903" i="2"/>
  <c r="M945" i="1"/>
  <c r="K946" i="1"/>
  <c r="H904" i="2"/>
  <c r="M946" i="1"/>
  <c r="O946" i="1"/>
  <c r="P946" i="1"/>
  <c r="K947" i="1"/>
  <c r="H905" i="2"/>
  <c r="M947" i="1"/>
  <c r="O947" i="1"/>
  <c r="P947" i="1"/>
  <c r="K948" i="1"/>
  <c r="H906" i="2"/>
  <c r="M948" i="1"/>
  <c r="O948" i="1"/>
  <c r="P948" i="1"/>
  <c r="K959" i="1"/>
  <c r="H917" i="2"/>
  <c r="M959" i="1"/>
  <c r="N959" i="1"/>
  <c r="K961" i="1"/>
  <c r="H919" i="2"/>
  <c r="M961" i="1"/>
  <c r="N961" i="1"/>
  <c r="K962" i="1"/>
  <c r="H920" i="2"/>
  <c r="M962" i="1"/>
  <c r="K963" i="1"/>
  <c r="H921" i="2"/>
  <c r="M963" i="1"/>
  <c r="K965" i="1"/>
  <c r="H925" i="2"/>
  <c r="M965" i="1"/>
  <c r="O965" i="1"/>
  <c r="P965" i="1"/>
  <c r="K967" i="1"/>
  <c r="H927" i="2"/>
  <c r="M967" i="1"/>
  <c r="K969" i="1"/>
  <c r="H929" i="2"/>
  <c r="M969" i="1"/>
  <c r="N969" i="1"/>
  <c r="K971" i="1"/>
  <c r="H931" i="2"/>
  <c r="M971" i="1"/>
  <c r="K972" i="1"/>
  <c r="H932" i="2"/>
  <c r="M972" i="1"/>
  <c r="K973" i="1"/>
  <c r="H933" i="2"/>
  <c r="M973" i="1"/>
  <c r="N973" i="1"/>
  <c r="K981" i="1"/>
  <c r="H941" i="2"/>
  <c r="M981" i="1"/>
  <c r="K983" i="1"/>
  <c r="H943" i="2"/>
  <c r="M983" i="1"/>
  <c r="K984" i="1"/>
  <c r="H944" i="2"/>
  <c r="M984" i="1"/>
  <c r="O984" i="1"/>
  <c r="P984" i="1"/>
  <c r="K985" i="1"/>
  <c r="H945" i="2"/>
  <c r="M985" i="1"/>
  <c r="K987" i="1"/>
  <c r="H947" i="2"/>
  <c r="M987" i="1"/>
  <c r="N987" i="1"/>
  <c r="K989" i="1"/>
  <c r="H949" i="2"/>
  <c r="M989" i="1"/>
  <c r="N989" i="1"/>
  <c r="K990" i="1"/>
  <c r="H950" i="2"/>
  <c r="M990" i="1"/>
  <c r="K991" i="1"/>
  <c r="H951" i="2"/>
  <c r="M991" i="1"/>
  <c r="K992" i="1"/>
  <c r="H952" i="2"/>
  <c r="M992" i="1"/>
  <c r="O992" i="1"/>
  <c r="P992" i="1"/>
  <c r="K993" i="1"/>
  <c r="H953" i="2"/>
  <c r="M993" i="1"/>
  <c r="K994" i="1"/>
  <c r="H954" i="2"/>
  <c r="M994" i="1"/>
  <c r="K996" i="1"/>
  <c r="H956" i="2"/>
  <c r="M996" i="1"/>
  <c r="K997" i="1"/>
  <c r="H957" i="2"/>
  <c r="M997" i="1"/>
  <c r="O997" i="1"/>
  <c r="P997" i="1"/>
  <c r="K998" i="1"/>
  <c r="H958" i="2"/>
  <c r="M998" i="1"/>
  <c r="K999" i="1"/>
  <c r="H959" i="2"/>
  <c r="M999" i="1"/>
  <c r="K1000" i="1"/>
  <c r="H960" i="2"/>
  <c r="M1000" i="1"/>
  <c r="K1001" i="1"/>
  <c r="H961" i="2"/>
  <c r="M1001" i="1"/>
  <c r="K1002" i="1"/>
  <c r="H962" i="2"/>
  <c r="M1002" i="1"/>
  <c r="K1003" i="1"/>
  <c r="H963" i="2"/>
  <c r="M1003" i="1"/>
  <c r="K1004" i="1"/>
  <c r="H964" i="2"/>
  <c r="M1004" i="1"/>
  <c r="K1006" i="1"/>
  <c r="H966" i="2"/>
  <c r="M1006" i="1"/>
  <c r="K1010" i="1"/>
  <c r="M1010" i="1"/>
  <c r="O1010" i="1"/>
  <c r="P1010" i="1"/>
  <c r="K1011" i="1"/>
  <c r="H971" i="2"/>
  <c r="M1011" i="1"/>
  <c r="O1011" i="1"/>
  <c r="P1011" i="1"/>
  <c r="K1013" i="1"/>
  <c r="M1013" i="1"/>
  <c r="K1015" i="1"/>
  <c r="H975" i="2"/>
  <c r="M1015" i="1"/>
  <c r="K1017" i="1"/>
  <c r="H977" i="2"/>
  <c r="M1017" i="1"/>
  <c r="O1017" i="1"/>
  <c r="P1017" i="1"/>
  <c r="K1018" i="1"/>
  <c r="M1018" i="1"/>
  <c r="O1018" i="1"/>
  <c r="P1018" i="1"/>
  <c r="K1020" i="1"/>
  <c r="M1020" i="1"/>
  <c r="N1020" i="1"/>
  <c r="K1021" i="1"/>
  <c r="M1021" i="1"/>
  <c r="K1023" i="1"/>
  <c r="M1023" i="1"/>
  <c r="K1024" i="1"/>
  <c r="M1024" i="1"/>
  <c r="N1024" i="1"/>
  <c r="K1026" i="1"/>
  <c r="H986" i="2"/>
  <c r="M1026" i="1"/>
  <c r="O1026" i="1"/>
  <c r="P1026" i="1"/>
  <c r="K1028" i="1"/>
  <c r="H988" i="2"/>
  <c r="M1028" i="1"/>
  <c r="K1029" i="1"/>
  <c r="M1029" i="1"/>
  <c r="K1030" i="1"/>
  <c r="M1030" i="1"/>
  <c r="N1030" i="1"/>
  <c r="K1032" i="1"/>
  <c r="H992" i="2"/>
  <c r="M1032" i="1"/>
  <c r="N1032" i="1"/>
  <c r="K1034" i="1"/>
  <c r="M1034" i="1"/>
  <c r="N1034" i="1"/>
  <c r="K1035" i="1"/>
  <c r="H995" i="2"/>
  <c r="M1035" i="1"/>
  <c r="O1035" i="1"/>
  <c r="P1035" i="1"/>
  <c r="K1037" i="1"/>
  <c r="H997" i="2"/>
  <c r="M1037" i="1"/>
  <c r="K1038" i="1"/>
  <c r="M1038" i="1"/>
  <c r="O1038" i="1"/>
  <c r="P1038" i="1"/>
  <c r="K1039" i="1"/>
  <c r="M1039" i="1"/>
  <c r="K1040" i="1"/>
  <c r="H1000" i="2"/>
  <c r="M1040" i="1"/>
  <c r="O1040" i="1"/>
  <c r="P1040" i="1"/>
  <c r="K1042" i="1"/>
  <c r="M1042" i="1"/>
  <c r="O1042" i="1"/>
  <c r="P1042" i="1"/>
  <c r="K1044" i="1"/>
  <c r="M1044" i="1"/>
  <c r="N1044" i="1"/>
  <c r="K1045" i="1"/>
  <c r="H1005" i="2"/>
  <c r="M1045" i="1"/>
  <c r="K1046" i="1"/>
  <c r="M1046" i="1"/>
  <c r="K1047" i="1"/>
  <c r="H1007" i="2"/>
  <c r="M1047" i="1"/>
  <c r="O1047" i="1"/>
  <c r="P1047" i="1"/>
  <c r="K1048" i="1"/>
  <c r="M1048" i="1"/>
  <c r="N1048" i="1"/>
  <c r="K1049" i="1"/>
  <c r="H1009" i="2"/>
  <c r="M1049" i="1"/>
  <c r="N1049" i="1"/>
  <c r="K1050" i="1"/>
  <c r="M1050" i="1"/>
  <c r="N1050" i="1"/>
  <c r="K1051" i="1"/>
  <c r="H1011" i="2"/>
  <c r="M1051" i="1"/>
  <c r="K1052" i="1"/>
  <c r="H1012" i="2"/>
  <c r="M1052" i="1"/>
  <c r="K1053" i="1"/>
  <c r="M1053" i="1"/>
  <c r="N1053" i="1"/>
  <c r="K1054" i="1"/>
  <c r="M1054" i="1"/>
  <c r="O1054" i="1"/>
  <c r="P1054" i="1"/>
  <c r="K1055" i="1"/>
  <c r="M1055" i="1"/>
  <c r="N1055" i="1"/>
  <c r="K1056" i="1"/>
  <c r="H1016" i="2"/>
  <c r="M1056" i="1"/>
  <c r="O1056" i="1"/>
  <c r="P1056" i="1"/>
  <c r="K1057" i="1"/>
  <c r="H1017" i="2"/>
  <c r="M1057" i="1"/>
  <c r="K1058" i="1"/>
  <c r="M1058" i="1"/>
  <c r="N1058" i="1"/>
  <c r="K1060" i="1"/>
  <c r="M1060" i="1"/>
  <c r="N1060" i="1"/>
  <c r="K1062" i="1"/>
  <c r="M1062" i="1"/>
  <c r="K1064" i="1"/>
  <c r="M1064" i="1"/>
  <c r="K1065" i="1"/>
  <c r="M1065" i="1"/>
  <c r="K1067" i="1"/>
  <c r="M1067" i="1"/>
  <c r="K1069" i="1"/>
  <c r="M1069" i="1"/>
  <c r="K1070" i="1"/>
  <c r="M1070" i="1"/>
  <c r="N1070" i="1"/>
  <c r="K1071" i="1"/>
  <c r="M1071" i="1"/>
  <c r="O1071" i="1"/>
  <c r="P1071" i="1"/>
  <c r="K1072" i="1"/>
  <c r="M1072" i="1"/>
  <c r="N1072" i="1"/>
  <c r="K1073" i="1"/>
  <c r="H1033" i="2"/>
  <c r="M1073" i="1"/>
  <c r="K1074" i="1"/>
  <c r="M1074" i="1"/>
  <c r="K1076" i="1"/>
  <c r="H1036" i="2"/>
  <c r="M1076" i="1"/>
  <c r="O1076" i="1"/>
  <c r="P1076" i="1"/>
  <c r="K1078" i="1"/>
  <c r="M1078" i="1"/>
  <c r="N1078" i="1"/>
  <c r="K1080" i="1"/>
  <c r="H1040" i="2"/>
  <c r="M1080" i="1"/>
  <c r="K1081" i="1"/>
  <c r="M1081" i="1"/>
  <c r="K1083" i="1"/>
  <c r="M1083" i="1"/>
  <c r="N1083" i="1"/>
  <c r="K1084" i="1"/>
  <c r="M1084" i="1"/>
  <c r="N1084" i="1"/>
  <c r="K1085" i="1"/>
  <c r="H1045" i="2"/>
  <c r="M1085" i="1"/>
  <c r="O1085" i="1"/>
  <c r="P1085" i="1"/>
  <c r="K1087" i="1"/>
  <c r="M1087" i="1"/>
  <c r="N1087" i="1"/>
  <c r="K1089" i="1"/>
  <c r="M1089" i="1"/>
  <c r="K1090" i="1"/>
  <c r="M1090" i="1"/>
  <c r="N1090" i="1"/>
  <c r="K1091" i="1"/>
  <c r="M1091" i="1"/>
  <c r="K1093" i="1"/>
  <c r="M1093" i="1"/>
  <c r="O1093" i="1"/>
  <c r="P1093" i="1"/>
  <c r="K1094" i="1"/>
  <c r="M1094" i="1"/>
  <c r="N1094" i="1"/>
  <c r="K1095" i="1"/>
  <c r="M1095" i="1"/>
  <c r="K1096" i="1"/>
  <c r="M1096" i="1"/>
  <c r="N1096" i="1"/>
  <c r="K1098" i="1"/>
  <c r="H1058" i="2"/>
  <c r="M1098" i="1"/>
  <c r="N1098" i="1"/>
  <c r="K1099" i="1"/>
  <c r="M1099" i="1"/>
  <c r="O1099" i="1"/>
  <c r="P1099" i="1"/>
  <c r="K1100" i="1"/>
  <c r="H1060" i="2"/>
  <c r="M1100" i="1"/>
  <c r="N1100" i="1"/>
  <c r="K1101" i="1"/>
  <c r="H1061" i="2"/>
  <c r="M1101" i="1"/>
  <c r="K1103" i="1"/>
  <c r="M1103" i="1"/>
  <c r="K1105" i="1"/>
  <c r="H1065" i="2"/>
  <c r="M1105" i="1"/>
  <c r="K1107" i="1"/>
  <c r="H1067" i="2"/>
  <c r="M1107" i="1"/>
  <c r="K1108" i="1"/>
  <c r="H1068" i="2"/>
  <c r="M1108" i="1"/>
  <c r="K1110" i="1"/>
  <c r="H1070" i="2"/>
  <c r="M1110" i="1"/>
  <c r="K1111" i="1"/>
  <c r="M1111" i="1"/>
  <c r="K1112" i="1"/>
  <c r="M1112" i="1"/>
  <c r="N1112" i="1"/>
  <c r="K1114" i="1"/>
  <c r="M1114" i="1"/>
  <c r="K1115" i="1"/>
  <c r="M1115" i="1"/>
  <c r="K1116" i="1"/>
  <c r="M1116" i="1"/>
  <c r="K1118" i="1"/>
  <c r="H1078" i="2"/>
  <c r="M1118" i="1"/>
  <c r="N1118" i="1"/>
  <c r="K1119" i="1"/>
  <c r="H1079" i="2"/>
  <c r="M1119" i="1"/>
  <c r="N1119" i="1"/>
  <c r="K1120" i="1"/>
  <c r="H1080" i="2"/>
  <c r="M1120" i="1"/>
  <c r="N1120" i="1"/>
  <c r="K1122" i="1"/>
  <c r="H1082" i="2"/>
  <c r="M1122" i="1"/>
  <c r="K1124" i="1"/>
  <c r="M1124" i="1"/>
  <c r="K1125" i="1"/>
  <c r="M1125" i="1"/>
  <c r="N1125" i="1"/>
  <c r="K1127" i="1"/>
  <c r="H1087" i="2"/>
  <c r="M1127" i="1"/>
  <c r="K1128" i="1"/>
  <c r="M1128" i="1"/>
  <c r="K1130" i="1"/>
  <c r="M1130" i="1"/>
  <c r="K1131" i="1"/>
  <c r="H1091" i="2"/>
  <c r="M1131" i="1"/>
  <c r="K1132" i="1"/>
  <c r="H1092" i="2"/>
  <c r="M1132" i="1"/>
  <c r="AK27" i="1"/>
  <c r="R27" i="1"/>
  <c r="I1080" i="2"/>
  <c r="J1080" i="2"/>
  <c r="L1103" i="1"/>
  <c r="H1063" i="2"/>
  <c r="I1061" i="2"/>
  <c r="J1061" i="2"/>
  <c r="L1096" i="1"/>
  <c r="H1056" i="2"/>
  <c r="L1091" i="1"/>
  <c r="H1051" i="2"/>
  <c r="J1033" i="2"/>
  <c r="I1033" i="2"/>
  <c r="L1069" i="1"/>
  <c r="H1029" i="2"/>
  <c r="AK1062" i="1"/>
  <c r="R1062" i="1"/>
  <c r="H1022" i="2"/>
  <c r="I1012" i="2"/>
  <c r="J1012" i="2"/>
  <c r="L1048" i="1"/>
  <c r="H1008" i="2"/>
  <c r="L1044" i="1"/>
  <c r="H1004" i="2"/>
  <c r="L1038" i="1"/>
  <c r="H998" i="2"/>
  <c r="I986" i="2"/>
  <c r="J986" i="2"/>
  <c r="L1020" i="1"/>
  <c r="H980" i="2"/>
  <c r="L1013" i="1"/>
  <c r="H973" i="2"/>
  <c r="I957" i="2"/>
  <c r="J957" i="2"/>
  <c r="J945" i="2"/>
  <c r="I945" i="2"/>
  <c r="I933" i="2"/>
  <c r="J933" i="2"/>
  <c r="H923" i="2"/>
  <c r="L799" i="1"/>
  <c r="H793" i="2"/>
  <c r="I463" i="2"/>
  <c r="J463" i="2"/>
  <c r="I935" i="2"/>
  <c r="J935" i="2"/>
  <c r="L284" i="1"/>
  <c r="H279" i="2"/>
  <c r="AK213" i="1"/>
  <c r="R213" i="1"/>
  <c r="H208" i="2"/>
  <c r="L464" i="1"/>
  <c r="H460" i="2"/>
  <c r="I806" i="2"/>
  <c r="J806" i="2"/>
  <c r="I198" i="2"/>
  <c r="J198" i="2"/>
  <c r="J894" i="2"/>
  <c r="I894" i="2"/>
  <c r="L26" i="1"/>
  <c r="H25" i="2"/>
  <c r="K869" i="2"/>
  <c r="L869" i="2"/>
  <c r="M869" i="2"/>
  <c r="L866" i="2"/>
  <c r="M866" i="2"/>
  <c r="K866" i="2"/>
  <c r="L883" i="2"/>
  <c r="M883" i="2"/>
  <c r="K883" i="2"/>
  <c r="L870" i="2"/>
  <c r="M870" i="2"/>
  <c r="K870" i="2"/>
  <c r="I1058" i="2"/>
  <c r="J1058" i="2"/>
  <c r="L1093" i="1"/>
  <c r="H1053" i="2"/>
  <c r="AK1087" i="1"/>
  <c r="R1087" i="1"/>
  <c r="H1047" i="2"/>
  <c r="AK1081" i="1"/>
  <c r="R1081" i="1"/>
  <c r="H1041" i="2"/>
  <c r="L1074" i="1"/>
  <c r="H1034" i="2"/>
  <c r="L1070" i="1"/>
  <c r="H1030" i="2"/>
  <c r="L1064" i="1"/>
  <c r="H1024" i="2"/>
  <c r="J966" i="2"/>
  <c r="I966" i="2"/>
  <c r="I1045" i="2"/>
  <c r="J1045" i="2"/>
  <c r="L1130" i="1"/>
  <c r="H1090" i="2"/>
  <c r="L1124" i="1"/>
  <c r="H1084" i="2"/>
  <c r="J1060" i="2"/>
  <c r="I1060" i="2"/>
  <c r="L1095" i="1"/>
  <c r="H1055" i="2"/>
  <c r="L1090" i="1"/>
  <c r="H1050" i="2"/>
  <c r="L1084" i="1"/>
  <c r="H1044" i="2"/>
  <c r="AK1078" i="1"/>
  <c r="R1078" i="1"/>
  <c r="H1038" i="2"/>
  <c r="AK1072" i="1"/>
  <c r="R1072" i="1"/>
  <c r="H1032" i="2"/>
  <c r="L1067" i="1"/>
  <c r="H1027" i="2"/>
  <c r="L1060" i="1"/>
  <c r="H1020" i="2"/>
  <c r="L1055" i="1"/>
  <c r="H1015" i="2"/>
  <c r="J1007" i="2"/>
  <c r="I1007" i="2"/>
  <c r="L1042" i="1"/>
  <c r="H1002" i="2"/>
  <c r="J971" i="2"/>
  <c r="I971" i="2"/>
  <c r="I960" i="2"/>
  <c r="J960" i="2"/>
  <c r="I951" i="2"/>
  <c r="J951" i="2"/>
  <c r="I932" i="2"/>
  <c r="J932" i="2"/>
  <c r="J920" i="2"/>
  <c r="I920" i="2"/>
  <c r="J917" i="2"/>
  <c r="I917" i="2"/>
  <c r="J901" i="2"/>
  <c r="I901" i="2"/>
  <c r="L807" i="1"/>
  <c r="H802" i="2"/>
  <c r="H890" i="2"/>
  <c r="L800" i="1"/>
  <c r="H794" i="2"/>
  <c r="L788" i="1"/>
  <c r="H782" i="2"/>
  <c r="I936" i="2"/>
  <c r="J936" i="2"/>
  <c r="AK793" i="1"/>
  <c r="R793" i="1"/>
  <c r="H787" i="2"/>
  <c r="J504" i="2"/>
  <c r="I504" i="2"/>
  <c r="AK473" i="1"/>
  <c r="R473" i="1"/>
  <c r="H469" i="2"/>
  <c r="L551" i="1"/>
  <c r="H547" i="2"/>
  <c r="L526" i="1"/>
  <c r="H522" i="2"/>
  <c r="L373" i="1"/>
  <c r="H369" i="2"/>
  <c r="L457" i="1"/>
  <c r="H453" i="2"/>
  <c r="J71" i="2"/>
  <c r="I71" i="2"/>
  <c r="AK805" i="1"/>
  <c r="R805" i="1"/>
  <c r="H799" i="2"/>
  <c r="AK504" i="1"/>
  <c r="R504" i="1"/>
  <c r="H500" i="2"/>
  <c r="AK495" i="1"/>
  <c r="R495" i="1"/>
  <c r="H491" i="2"/>
  <c r="L471" i="1"/>
  <c r="H467" i="2"/>
  <c r="AK810" i="1"/>
  <c r="R810" i="1"/>
  <c r="H805" i="2"/>
  <c r="L867" i="2"/>
  <c r="M867" i="2"/>
  <c r="K867" i="2"/>
  <c r="L888" i="2"/>
  <c r="M888" i="2"/>
  <c r="K888" i="2"/>
  <c r="J1092" i="2"/>
  <c r="I1092" i="2"/>
  <c r="J988" i="2"/>
  <c r="I988" i="2"/>
  <c r="L1021" i="1"/>
  <c r="H981" i="2"/>
  <c r="I1091" i="2"/>
  <c r="J1091" i="2"/>
  <c r="AK1125" i="1"/>
  <c r="R1125" i="1"/>
  <c r="H1085" i="2"/>
  <c r="J1067" i="2"/>
  <c r="I1067" i="2"/>
  <c r="J1011" i="2"/>
  <c r="I1011" i="2"/>
  <c r="I997" i="2"/>
  <c r="J997" i="2"/>
  <c r="AK1030" i="1"/>
  <c r="R1030" i="1"/>
  <c r="H990" i="2"/>
  <c r="L1024" i="1"/>
  <c r="H984" i="2"/>
  <c r="L1018" i="1"/>
  <c r="H978" i="2"/>
  <c r="I964" i="2"/>
  <c r="J964" i="2"/>
  <c r="I956" i="2"/>
  <c r="J956" i="2"/>
  <c r="J921" i="2"/>
  <c r="I921" i="2"/>
  <c r="I906" i="2"/>
  <c r="J906" i="2"/>
  <c r="I377" i="2"/>
  <c r="J377" i="2"/>
  <c r="L37" i="1"/>
  <c r="H36" i="2"/>
  <c r="L856" i="1"/>
  <c r="H858" i="2"/>
  <c r="H842" i="2"/>
  <c r="H833" i="2"/>
  <c r="L307" i="1"/>
  <c r="H302" i="2"/>
  <c r="J189" i="2"/>
  <c r="I189" i="2"/>
  <c r="I461" i="2"/>
  <c r="J461" i="2"/>
  <c r="AK804" i="1"/>
  <c r="R804" i="1"/>
  <c r="H798" i="2"/>
  <c r="AK47" i="1"/>
  <c r="R47" i="1"/>
  <c r="H42" i="2"/>
  <c r="L885" i="2"/>
  <c r="M885" i="2"/>
  <c r="K885" i="2"/>
  <c r="K880" i="2"/>
  <c r="L880" i="2"/>
  <c r="M880" i="2"/>
  <c r="I1005" i="2"/>
  <c r="J1005" i="2"/>
  <c r="L1034" i="1"/>
  <c r="H994" i="2"/>
  <c r="J1078" i="2"/>
  <c r="I1078" i="2"/>
  <c r="L1112" i="1"/>
  <c r="H1072" i="2"/>
  <c r="L1128" i="1"/>
  <c r="H1088" i="2"/>
  <c r="I1065" i="2"/>
  <c r="J1065" i="2"/>
  <c r="L1099" i="1"/>
  <c r="H1059" i="2"/>
  <c r="AK1094" i="1"/>
  <c r="R1094" i="1"/>
  <c r="H1054" i="2"/>
  <c r="L1089" i="1"/>
  <c r="H1049" i="2"/>
  <c r="L1083" i="1"/>
  <c r="H1043" i="2"/>
  <c r="I1000" i="2"/>
  <c r="J1000" i="2"/>
  <c r="I977" i="2"/>
  <c r="J977" i="2"/>
  <c r="AK1010" i="1"/>
  <c r="R1010" i="1"/>
  <c r="H970" i="2"/>
  <c r="I959" i="2"/>
  <c r="J959" i="2"/>
  <c r="J950" i="2"/>
  <c r="I950" i="2"/>
  <c r="J944" i="2"/>
  <c r="I944" i="2"/>
  <c r="I929" i="2"/>
  <c r="J929" i="2"/>
  <c r="I905" i="2"/>
  <c r="J905" i="2"/>
  <c r="I899" i="2"/>
  <c r="J899" i="2"/>
  <c r="AK798" i="1"/>
  <c r="R798" i="1"/>
  <c r="H792" i="2"/>
  <c r="AK789" i="1"/>
  <c r="R789" i="1"/>
  <c r="H783" i="2"/>
  <c r="I809" i="2"/>
  <c r="J809" i="2"/>
  <c r="I937" i="2"/>
  <c r="J937" i="2"/>
  <c r="I788" i="2"/>
  <c r="J788" i="2"/>
  <c r="L768" i="1"/>
  <c r="H762" i="2"/>
  <c r="I244" i="2"/>
  <c r="J244" i="2"/>
  <c r="AK525" i="1"/>
  <c r="R525" i="1"/>
  <c r="H521" i="2"/>
  <c r="I797" i="2"/>
  <c r="J797" i="2"/>
  <c r="AK64" i="1"/>
  <c r="R64" i="1"/>
  <c r="H59" i="2"/>
  <c r="L31" i="1"/>
  <c r="H30" i="2"/>
  <c r="K871" i="2"/>
  <c r="L871" i="2"/>
  <c r="M871" i="2"/>
  <c r="I1070" i="2"/>
  <c r="J1070" i="2"/>
  <c r="I975" i="2"/>
  <c r="J975" i="2"/>
  <c r="I1079" i="2"/>
  <c r="J1079" i="2"/>
  <c r="L1114" i="1"/>
  <c r="H1074" i="2"/>
  <c r="I1082" i="2"/>
  <c r="J1082" i="2"/>
  <c r="L1116" i="1"/>
  <c r="H1076" i="2"/>
  <c r="L1111" i="1"/>
  <c r="H1071" i="2"/>
  <c r="J1036" i="2"/>
  <c r="I1036" i="2"/>
  <c r="AK1071" i="1"/>
  <c r="R1071" i="1"/>
  <c r="H1031" i="2"/>
  <c r="L1065" i="1"/>
  <c r="H1025" i="2"/>
  <c r="L1058" i="1"/>
  <c r="H1018" i="2"/>
  <c r="L1054" i="1"/>
  <c r="H1014" i="2"/>
  <c r="L1050" i="1"/>
  <c r="H1010" i="2"/>
  <c r="L1046" i="1"/>
  <c r="H1006" i="2"/>
  <c r="I995" i="2"/>
  <c r="J995" i="2"/>
  <c r="L1029" i="1"/>
  <c r="H989" i="2"/>
  <c r="L1023" i="1"/>
  <c r="H983" i="2"/>
  <c r="I963" i="2"/>
  <c r="J963" i="2"/>
  <c r="I954" i="2"/>
  <c r="J954" i="2"/>
  <c r="J947" i="2"/>
  <c r="I947" i="2"/>
  <c r="I931" i="2"/>
  <c r="J931" i="2"/>
  <c r="I919" i="2"/>
  <c r="J919" i="2"/>
  <c r="J904" i="2"/>
  <c r="I904" i="2"/>
  <c r="AK818" i="1"/>
  <c r="R818" i="1"/>
  <c r="H814" i="2"/>
  <c r="J474" i="2"/>
  <c r="I474" i="2"/>
  <c r="L380" i="1"/>
  <c r="H376" i="2"/>
  <c r="I488" i="2"/>
  <c r="J488" i="2"/>
  <c r="J68" i="2"/>
  <c r="I68" i="2"/>
  <c r="AK486" i="1"/>
  <c r="R486" i="1"/>
  <c r="H482" i="2"/>
  <c r="J506" i="2"/>
  <c r="I506" i="2"/>
  <c r="L487" i="1"/>
  <c r="H483" i="2"/>
  <c r="I17" i="2"/>
  <c r="J17" i="2"/>
  <c r="K874" i="2"/>
  <c r="L874" i="2"/>
  <c r="M874" i="2"/>
  <c r="L872" i="2"/>
  <c r="M872" i="2"/>
  <c r="K872" i="2"/>
  <c r="K875" i="2"/>
  <c r="L875" i="2"/>
  <c r="M875" i="2"/>
  <c r="K884" i="2"/>
  <c r="L884" i="2"/>
  <c r="M884" i="2"/>
  <c r="I1009" i="2"/>
  <c r="J1009" i="2"/>
  <c r="I962" i="2"/>
  <c r="J962" i="2"/>
  <c r="J953" i="2"/>
  <c r="I953" i="2"/>
  <c r="J927" i="2"/>
  <c r="I927" i="2"/>
  <c r="J897" i="2"/>
  <c r="I897" i="2"/>
  <c r="J822" i="2"/>
  <c r="I822" i="2"/>
  <c r="AK547" i="1"/>
  <c r="R547" i="1"/>
  <c r="H543" i="2"/>
  <c r="L790" i="1"/>
  <c r="H784" i="2"/>
  <c r="I786" i="2"/>
  <c r="J786" i="2"/>
  <c r="J790" i="2"/>
  <c r="I790" i="2"/>
  <c r="AK814" i="1"/>
  <c r="R814" i="1"/>
  <c r="H810" i="2"/>
  <c r="I938" i="2"/>
  <c r="J938" i="2"/>
  <c r="J1094" i="2"/>
  <c r="I1094" i="2"/>
  <c r="I342" i="2"/>
  <c r="J342" i="2"/>
  <c r="L769" i="1"/>
  <c r="H763" i="2"/>
  <c r="L75" i="1"/>
  <c r="H70" i="2"/>
  <c r="L205" i="1"/>
  <c r="H200" i="2"/>
  <c r="J190" i="2"/>
  <c r="I190" i="2"/>
  <c r="AK202" i="1"/>
  <c r="R202" i="1"/>
  <c r="H197" i="2"/>
  <c r="I76" i="2"/>
  <c r="J76" i="2"/>
  <c r="I86" i="2"/>
  <c r="J86" i="2"/>
  <c r="L821" i="1"/>
  <c r="H817" i="2"/>
  <c r="AK660" i="1"/>
  <c r="R660" i="1"/>
  <c r="H656" i="2"/>
  <c r="I812" i="2"/>
  <c r="J812" i="2"/>
  <c r="AK32" i="1"/>
  <c r="R32" i="1"/>
  <c r="H31" i="2"/>
  <c r="L868" i="2"/>
  <c r="M868" i="2"/>
  <c r="K868" i="2"/>
  <c r="L881" i="2"/>
  <c r="M881" i="2"/>
  <c r="K881" i="2"/>
  <c r="J1017" i="2"/>
  <c r="I1017" i="2"/>
  <c r="L1053" i="1"/>
  <c r="H1013" i="2"/>
  <c r="L1039" i="1"/>
  <c r="H999" i="2"/>
  <c r="I958" i="2"/>
  <c r="J958" i="2"/>
  <c r="I949" i="2"/>
  <c r="J949" i="2"/>
  <c r="I941" i="2"/>
  <c r="J941" i="2"/>
  <c r="I925" i="2"/>
  <c r="J925" i="2"/>
  <c r="I903" i="2"/>
  <c r="J903" i="2"/>
  <c r="L809" i="1"/>
  <c r="H804" i="2"/>
  <c r="J328" i="2"/>
  <c r="I328" i="2"/>
  <c r="I445" i="2"/>
  <c r="J445" i="2"/>
  <c r="L802" i="1"/>
  <c r="H796" i="2"/>
  <c r="I23" i="2"/>
  <c r="J23" i="2"/>
  <c r="J811" i="2"/>
  <c r="I811" i="2"/>
  <c r="L877" i="2"/>
  <c r="M877" i="2"/>
  <c r="K877" i="2"/>
  <c r="K882" i="2"/>
  <c r="L882" i="2"/>
  <c r="M882" i="2"/>
  <c r="I1087" i="2"/>
  <c r="J1087" i="2"/>
  <c r="L1115" i="1"/>
  <c r="H1075" i="2"/>
  <c r="I1068" i="2"/>
  <c r="J1068" i="2"/>
  <c r="I1040" i="2"/>
  <c r="J1040" i="2"/>
  <c r="I1016" i="2"/>
  <c r="J1016" i="2"/>
  <c r="I992" i="2"/>
  <c r="J992" i="2"/>
  <c r="J961" i="2"/>
  <c r="I961" i="2"/>
  <c r="J952" i="2"/>
  <c r="I952" i="2"/>
  <c r="I943" i="2"/>
  <c r="J943" i="2"/>
  <c r="J902" i="2"/>
  <c r="I902" i="2"/>
  <c r="J896" i="2"/>
  <c r="I896" i="2"/>
  <c r="AK795" i="1"/>
  <c r="R795" i="1"/>
  <c r="H789" i="2"/>
  <c r="I646" i="2"/>
  <c r="J646" i="2"/>
  <c r="I939" i="2"/>
  <c r="J939" i="2"/>
  <c r="J492" i="2"/>
  <c r="I492" i="2"/>
  <c r="J444" i="2"/>
  <c r="I444" i="2"/>
  <c r="AK246" i="1"/>
  <c r="R246" i="1"/>
  <c r="H241" i="2"/>
  <c r="I356" i="2"/>
  <c r="J356" i="2"/>
  <c r="I201" i="2"/>
  <c r="J201" i="2"/>
  <c r="I69" i="2"/>
  <c r="J69" i="2"/>
  <c r="I136" i="2"/>
  <c r="J136" i="2"/>
  <c r="I801" i="2"/>
  <c r="J801" i="2"/>
  <c r="AK455" i="1"/>
  <c r="R455" i="1"/>
  <c r="H451" i="2"/>
  <c r="AK494" i="1"/>
  <c r="R494" i="1"/>
  <c r="H490" i="2"/>
  <c r="AK506" i="1"/>
  <c r="R506" i="1"/>
  <c r="H502" i="2"/>
  <c r="K873" i="2"/>
  <c r="L873" i="2"/>
  <c r="M873" i="2"/>
  <c r="K876" i="2"/>
  <c r="L876" i="2"/>
  <c r="M876" i="2"/>
  <c r="AK719" i="1"/>
  <c r="R719" i="1"/>
  <c r="H716" i="2"/>
  <c r="H776" i="2"/>
  <c r="H539" i="2"/>
  <c r="I180" i="2"/>
  <c r="J180" i="2"/>
  <c r="I300" i="2"/>
  <c r="J300" i="2"/>
  <c r="J19" i="2"/>
  <c r="I19" i="2"/>
  <c r="I103" i="2"/>
  <c r="J103" i="2"/>
  <c r="I152" i="2"/>
  <c r="J152" i="2"/>
  <c r="J188" i="2"/>
  <c r="I188" i="2"/>
  <c r="I243" i="2"/>
  <c r="J243" i="2"/>
  <c r="J759" i="2"/>
  <c r="I759" i="2"/>
  <c r="L722" i="1"/>
  <c r="H719" i="2"/>
  <c r="L696" i="1"/>
  <c r="H692" i="2"/>
  <c r="L511" i="1"/>
  <c r="H507" i="2"/>
  <c r="I498" i="2"/>
  <c r="J498" i="2"/>
  <c r="J449" i="2"/>
  <c r="I449" i="2"/>
  <c r="I374" i="2"/>
  <c r="J374" i="2"/>
  <c r="J361" i="2"/>
  <c r="I361" i="2"/>
  <c r="AK316" i="1"/>
  <c r="R316" i="1"/>
  <c r="H311" i="2"/>
  <c r="I229" i="2"/>
  <c r="J229" i="2"/>
  <c r="J166" i="2"/>
  <c r="I166" i="2"/>
  <c r="I126" i="2"/>
  <c r="J126" i="2"/>
  <c r="AK126" i="1"/>
  <c r="R126" i="1"/>
  <c r="H121" i="2"/>
  <c r="I84" i="2"/>
  <c r="J84" i="2"/>
  <c r="AK332" i="1"/>
  <c r="R332" i="1"/>
  <c r="H327" i="2"/>
  <c r="J278" i="2"/>
  <c r="I278" i="2"/>
  <c r="J274" i="2"/>
  <c r="I274" i="2"/>
  <c r="I304" i="2"/>
  <c r="J304" i="2"/>
  <c r="J156" i="2"/>
  <c r="I156" i="2"/>
  <c r="J477" i="2"/>
  <c r="I477" i="2"/>
  <c r="I22" i="2"/>
  <c r="J22" i="2"/>
  <c r="AK386" i="1"/>
  <c r="R386" i="1"/>
  <c r="H382" i="2"/>
  <c r="L705" i="1"/>
  <c r="H701" i="2"/>
  <c r="I370" i="2"/>
  <c r="J370" i="2"/>
  <c r="I108" i="2"/>
  <c r="J108" i="2"/>
  <c r="L410" i="1"/>
  <c r="H406" i="2"/>
  <c r="I471" i="2"/>
  <c r="J471" i="2"/>
  <c r="AK230" i="1"/>
  <c r="R230" i="1"/>
  <c r="H225" i="2"/>
  <c r="I331" i="2"/>
  <c r="J331" i="2"/>
  <c r="AK287" i="1"/>
  <c r="R287" i="1"/>
  <c r="H282" i="2"/>
  <c r="J422" i="2"/>
  <c r="I422" i="2"/>
  <c r="L421" i="1"/>
  <c r="H417" i="2"/>
  <c r="I513" i="2"/>
  <c r="J513" i="2"/>
  <c r="I175" i="2"/>
  <c r="J175" i="2"/>
  <c r="AK469" i="1"/>
  <c r="R469" i="1"/>
  <c r="H465" i="2"/>
  <c r="L710" i="1"/>
  <c r="H708" i="2"/>
  <c r="H845" i="2"/>
  <c r="L692" i="1"/>
  <c r="H687" i="2"/>
  <c r="H682" i="2"/>
  <c r="AK671" i="1"/>
  <c r="R671" i="1"/>
  <c r="H667" i="2"/>
  <c r="H862" i="2"/>
  <c r="H777" i="2"/>
  <c r="H540" i="2"/>
  <c r="H772" i="2"/>
  <c r="H535" i="2"/>
  <c r="AK534" i="1"/>
  <c r="R534" i="1"/>
  <c r="H530" i="2"/>
  <c r="H767" i="2"/>
  <c r="J518" i="2"/>
  <c r="I518" i="2"/>
  <c r="I514" i="2"/>
  <c r="J514" i="2"/>
  <c r="I510" i="2"/>
  <c r="J510" i="2"/>
  <c r="I286" i="2"/>
  <c r="J286" i="2"/>
  <c r="L257" i="1"/>
  <c r="H252" i="2"/>
  <c r="L199" i="1"/>
  <c r="H194" i="2"/>
  <c r="AK182" i="1"/>
  <c r="R182" i="1"/>
  <c r="H177" i="2"/>
  <c r="I171" i="2"/>
  <c r="J171" i="2"/>
  <c r="I647" i="2"/>
  <c r="J647" i="2"/>
  <c r="AK653" i="1"/>
  <c r="R653" i="1"/>
  <c r="H649" i="2"/>
  <c r="I336" i="2"/>
  <c r="J336" i="2"/>
  <c r="L328" i="1"/>
  <c r="H323" i="2"/>
  <c r="J438" i="2"/>
  <c r="I438" i="2"/>
  <c r="I271" i="2"/>
  <c r="J271" i="2"/>
  <c r="L304" i="1"/>
  <c r="H299" i="2"/>
  <c r="I67" i="2"/>
  <c r="J67" i="2"/>
  <c r="L107" i="1"/>
  <c r="H102" i="2"/>
  <c r="AK142" i="1"/>
  <c r="R142" i="1"/>
  <c r="H137" i="2"/>
  <c r="I221" i="2"/>
  <c r="J221" i="2"/>
  <c r="I242" i="2"/>
  <c r="J242" i="2"/>
  <c r="L667" i="1"/>
  <c r="H663" i="2"/>
  <c r="I671" i="2"/>
  <c r="J671" i="2"/>
  <c r="L683" i="1"/>
  <c r="H679" i="2"/>
  <c r="J57" i="2"/>
  <c r="I57" i="2"/>
  <c r="AK115" i="1"/>
  <c r="R115" i="1"/>
  <c r="H110" i="2"/>
  <c r="AK362" i="1"/>
  <c r="R362" i="1"/>
  <c r="H357" i="2"/>
  <c r="I245" i="2"/>
  <c r="J245" i="2"/>
  <c r="I106" i="2"/>
  <c r="J106" i="2"/>
  <c r="L116" i="1"/>
  <c r="H111" i="2"/>
  <c r="AK143" i="1"/>
  <c r="R143" i="1"/>
  <c r="H138" i="2"/>
  <c r="L165" i="1"/>
  <c r="H160" i="2"/>
  <c r="L461" i="1"/>
  <c r="H457" i="2"/>
  <c r="J62" i="2"/>
  <c r="I62" i="2"/>
  <c r="L86" i="1"/>
  <c r="H81" i="2"/>
  <c r="L96" i="1"/>
  <c r="H91" i="2"/>
  <c r="L100" i="1"/>
  <c r="H95" i="2"/>
  <c r="AK134" i="1"/>
  <c r="R134" i="1"/>
  <c r="H129" i="2"/>
  <c r="AK138" i="1"/>
  <c r="R138" i="1"/>
  <c r="H133" i="2"/>
  <c r="I144" i="2"/>
  <c r="J144" i="2"/>
  <c r="I148" i="2"/>
  <c r="J148" i="2"/>
  <c r="I183" i="2"/>
  <c r="J183" i="2"/>
  <c r="J203" i="2"/>
  <c r="I203" i="2"/>
  <c r="I214" i="2"/>
  <c r="J214" i="2"/>
  <c r="J218" i="2"/>
  <c r="I218" i="2"/>
  <c r="AK241" i="1"/>
  <c r="R241" i="1"/>
  <c r="H236" i="2"/>
  <c r="J258" i="2"/>
  <c r="I258" i="2"/>
  <c r="L267" i="1"/>
  <c r="H262" i="2"/>
  <c r="AK271" i="1"/>
  <c r="R271" i="1"/>
  <c r="H266" i="2"/>
  <c r="AK294" i="1"/>
  <c r="R294" i="1"/>
  <c r="H289" i="2"/>
  <c r="AK298" i="1"/>
  <c r="R298" i="1"/>
  <c r="H293" i="2"/>
  <c r="AK302" i="1"/>
  <c r="R302" i="1"/>
  <c r="H297" i="2"/>
  <c r="I316" i="2"/>
  <c r="J316" i="2"/>
  <c r="L325" i="1"/>
  <c r="H320" i="2"/>
  <c r="J346" i="2"/>
  <c r="I346" i="2"/>
  <c r="J350" i="2"/>
  <c r="I350" i="2"/>
  <c r="AK371" i="1"/>
  <c r="R371" i="1"/>
  <c r="H367" i="2"/>
  <c r="AK403" i="1"/>
  <c r="R403" i="1"/>
  <c r="H399" i="2"/>
  <c r="AK416" i="1"/>
  <c r="R416" i="1"/>
  <c r="H412" i="2"/>
  <c r="J426" i="2"/>
  <c r="I426" i="2"/>
  <c r="I431" i="2"/>
  <c r="J431" i="2"/>
  <c r="L708" i="1"/>
  <c r="H840" i="2"/>
  <c r="H831" i="2"/>
  <c r="H706" i="2"/>
  <c r="H857" i="2"/>
  <c r="AK739" i="1"/>
  <c r="H734" i="2"/>
  <c r="AK743" i="1"/>
  <c r="R743" i="1"/>
  <c r="H738" i="2"/>
  <c r="I742" i="2"/>
  <c r="J742" i="2"/>
  <c r="AK752" i="1"/>
  <c r="R752" i="1"/>
  <c r="H747" i="2"/>
  <c r="L756" i="1"/>
  <c r="H751" i="2"/>
  <c r="AK760" i="1"/>
  <c r="R760" i="1"/>
  <c r="H755" i="2"/>
  <c r="I688" i="2"/>
  <c r="J688" i="2"/>
  <c r="J728" i="2"/>
  <c r="I728" i="2"/>
  <c r="I509" i="2"/>
  <c r="J509" i="2"/>
  <c r="J324" i="2"/>
  <c r="I324" i="2"/>
  <c r="I714" i="2"/>
  <c r="J714" i="2"/>
  <c r="L501" i="1"/>
  <c r="H497" i="2"/>
  <c r="AK451" i="1"/>
  <c r="R451" i="1"/>
  <c r="H447" i="2"/>
  <c r="I344" i="2"/>
  <c r="J344" i="2"/>
  <c r="L315" i="1"/>
  <c r="H310" i="2"/>
  <c r="I228" i="2"/>
  <c r="J228" i="2"/>
  <c r="L170" i="1"/>
  <c r="H165" i="2"/>
  <c r="J124" i="2"/>
  <c r="I124" i="2"/>
  <c r="I119" i="2"/>
  <c r="J119" i="2"/>
  <c r="J78" i="2"/>
  <c r="I78" i="2"/>
  <c r="L331" i="1"/>
  <c r="H326" i="2"/>
  <c r="J277" i="2"/>
  <c r="I277" i="2"/>
  <c r="I303" i="2"/>
  <c r="J303" i="2"/>
  <c r="J405" i="2"/>
  <c r="I405" i="2"/>
  <c r="J54" i="2"/>
  <c r="I54" i="2"/>
  <c r="I154" i="2"/>
  <c r="J154" i="2"/>
  <c r="J355" i="2"/>
  <c r="I355" i="2"/>
  <c r="L482" i="1"/>
  <c r="H478" i="2"/>
  <c r="J525" i="2"/>
  <c r="I525" i="2"/>
  <c r="L383" i="1"/>
  <c r="H379" i="2"/>
  <c r="H724" i="2"/>
  <c r="H384" i="2"/>
  <c r="L704" i="1"/>
  <c r="H700" i="2"/>
  <c r="I161" i="2"/>
  <c r="J161" i="2"/>
  <c r="I472" i="2"/>
  <c r="J472" i="2"/>
  <c r="J226" i="2"/>
  <c r="I226" i="2"/>
  <c r="L278" i="1"/>
  <c r="H273" i="2"/>
  <c r="L286" i="1"/>
  <c r="H281" i="2"/>
  <c r="I420" i="2"/>
  <c r="J420" i="2"/>
  <c r="AK420" i="1"/>
  <c r="R420" i="1"/>
  <c r="H416" i="2"/>
  <c r="L490" i="1"/>
  <c r="H486" i="2"/>
  <c r="L30" i="1"/>
  <c r="H29" i="2"/>
  <c r="I674" i="2"/>
  <c r="J674" i="2"/>
  <c r="H834" i="2"/>
  <c r="H655" i="2"/>
  <c r="H859" i="2"/>
  <c r="H843" i="2"/>
  <c r="H770" i="2"/>
  <c r="H533" i="2"/>
  <c r="L533" i="1"/>
  <c r="H529" i="2"/>
  <c r="H766" i="2"/>
  <c r="L521" i="1"/>
  <c r="H517" i="2"/>
  <c r="L260" i="1"/>
  <c r="H255" i="2"/>
  <c r="L34" i="1"/>
  <c r="H33" i="2"/>
  <c r="L672" i="1"/>
  <c r="H668" i="2"/>
  <c r="AK676" i="1"/>
  <c r="R676" i="1"/>
  <c r="H672" i="2"/>
  <c r="I56" i="2"/>
  <c r="J56" i="2"/>
  <c r="I248" i="2"/>
  <c r="J248" i="2"/>
  <c r="J544" i="2"/>
  <c r="I544" i="2"/>
  <c r="I105" i="2"/>
  <c r="J105" i="2"/>
  <c r="L215" i="1"/>
  <c r="H210" i="2"/>
  <c r="J109" i="2"/>
  <c r="I109" i="2"/>
  <c r="AK120" i="1"/>
  <c r="R120" i="1"/>
  <c r="H115" i="2"/>
  <c r="J139" i="2"/>
  <c r="I139" i="2"/>
  <c r="AK164" i="1"/>
  <c r="R164" i="1"/>
  <c r="H159" i="2"/>
  <c r="L462" i="1"/>
  <c r="H458" i="2"/>
  <c r="L68" i="1"/>
  <c r="H63" i="2"/>
  <c r="AK87" i="1"/>
  <c r="R87" i="1"/>
  <c r="H82" i="2"/>
  <c r="I92" i="2"/>
  <c r="J92" i="2"/>
  <c r="L101" i="1"/>
  <c r="H96" i="2"/>
  <c r="L135" i="1"/>
  <c r="H130" i="2"/>
  <c r="L146" i="1"/>
  <c r="H141" i="2"/>
  <c r="AK150" i="1"/>
  <c r="R150" i="1"/>
  <c r="H145" i="2"/>
  <c r="AK154" i="1"/>
  <c r="R154" i="1"/>
  <c r="H149" i="2"/>
  <c r="I184" i="2"/>
  <c r="J184" i="2"/>
  <c r="AK209" i="1"/>
  <c r="R209" i="1"/>
  <c r="H204" i="2"/>
  <c r="L220" i="1"/>
  <c r="H215" i="2"/>
  <c r="J233" i="2"/>
  <c r="I233" i="2"/>
  <c r="J237" i="2"/>
  <c r="I237" i="2"/>
  <c r="AK264" i="1"/>
  <c r="R264" i="1"/>
  <c r="H259" i="2"/>
  <c r="I263" i="2"/>
  <c r="J263" i="2"/>
  <c r="AK272" i="1"/>
  <c r="R272" i="1"/>
  <c r="H267" i="2"/>
  <c r="L295" i="1"/>
  <c r="H290" i="2"/>
  <c r="I294" i="2"/>
  <c r="J294" i="2"/>
  <c r="I313" i="2"/>
  <c r="J313" i="2"/>
  <c r="AK322" i="1"/>
  <c r="R322" i="1"/>
  <c r="H317" i="2"/>
  <c r="I321" i="2"/>
  <c r="J321" i="2"/>
  <c r="AK352" i="1"/>
  <c r="R352" i="1"/>
  <c r="H347" i="2"/>
  <c r="J364" i="2"/>
  <c r="I364" i="2"/>
  <c r="J396" i="2"/>
  <c r="I396" i="2"/>
  <c r="L404" i="1"/>
  <c r="H400" i="2"/>
  <c r="L417" i="1"/>
  <c r="H413" i="2"/>
  <c r="AK431" i="1"/>
  <c r="R431" i="1"/>
  <c r="H427" i="2"/>
  <c r="L437" i="1"/>
  <c r="H433" i="2"/>
  <c r="AK498" i="1"/>
  <c r="R498" i="1"/>
  <c r="H494" i="2"/>
  <c r="L740" i="1"/>
  <c r="H735" i="2"/>
  <c r="AK744" i="1"/>
  <c r="R744" i="1"/>
  <c r="H739" i="2"/>
  <c r="L748" i="1"/>
  <c r="H743" i="2"/>
  <c r="J748" i="2"/>
  <c r="I748" i="2"/>
  <c r="I752" i="2"/>
  <c r="J752" i="2"/>
  <c r="AK761" i="1"/>
  <c r="R761" i="1"/>
  <c r="H756" i="2"/>
  <c r="L29" i="1"/>
  <c r="H28" i="2"/>
  <c r="AK713" i="1"/>
  <c r="R713" i="1"/>
  <c r="H730" i="2"/>
  <c r="H711" i="2"/>
  <c r="L701" i="1"/>
  <c r="H697" i="2"/>
  <c r="I408" i="2"/>
  <c r="J408" i="2"/>
  <c r="I334" i="2"/>
  <c r="J334" i="2"/>
  <c r="I309" i="2"/>
  <c r="J309" i="2"/>
  <c r="I250" i="2"/>
  <c r="J250" i="2"/>
  <c r="L175" i="1"/>
  <c r="H170" i="2"/>
  <c r="L169" i="1"/>
  <c r="H164" i="2"/>
  <c r="L128" i="1"/>
  <c r="H123" i="2"/>
  <c r="L123" i="1"/>
  <c r="H118" i="2"/>
  <c r="I74" i="2"/>
  <c r="J74" i="2"/>
  <c r="I325" i="2"/>
  <c r="J325" i="2"/>
  <c r="J442" i="2"/>
  <c r="I442" i="2"/>
  <c r="AK281" i="1"/>
  <c r="R281" i="1"/>
  <c r="H276" i="2"/>
  <c r="J301" i="2"/>
  <c r="I301" i="2"/>
  <c r="J404" i="2"/>
  <c r="I404" i="2"/>
  <c r="J53" i="2"/>
  <c r="I53" i="2"/>
  <c r="AK228" i="1"/>
  <c r="R228" i="1"/>
  <c r="H223" i="2"/>
  <c r="L359" i="1"/>
  <c r="H354" i="2"/>
  <c r="I20" i="2"/>
  <c r="J20" i="2"/>
  <c r="I380" i="2"/>
  <c r="J380" i="2"/>
  <c r="H828" i="2"/>
  <c r="H853" i="2"/>
  <c r="H725" i="2"/>
  <c r="H385" i="2"/>
  <c r="AK60" i="1"/>
  <c r="R60" i="1"/>
  <c r="H55" i="2"/>
  <c r="L376" i="1"/>
  <c r="H372" i="2"/>
  <c r="I330" i="2"/>
  <c r="J330" i="2"/>
  <c r="L443" i="1"/>
  <c r="H439" i="2"/>
  <c r="AK310" i="1"/>
  <c r="R310" i="1"/>
  <c r="H305" i="2"/>
  <c r="AK289" i="1"/>
  <c r="R289" i="1"/>
  <c r="H284" i="2"/>
  <c r="AK423" i="1"/>
  <c r="R423" i="1"/>
  <c r="H419" i="2"/>
  <c r="L491" i="1"/>
  <c r="H487" i="2"/>
  <c r="I43" i="2"/>
  <c r="J43" i="2"/>
  <c r="J388" i="2"/>
  <c r="I388" i="2"/>
  <c r="L542" i="1"/>
  <c r="H775" i="2"/>
  <c r="H538" i="2"/>
  <c r="L536" i="1"/>
  <c r="H532" i="2"/>
  <c r="H769" i="2"/>
  <c r="L531" i="1"/>
  <c r="H527" i="2"/>
  <c r="L520" i="1"/>
  <c r="H516" i="2"/>
  <c r="L516" i="1"/>
  <c r="H512" i="2"/>
  <c r="L259" i="1"/>
  <c r="H254" i="2"/>
  <c r="I212" i="2"/>
  <c r="J212" i="2"/>
  <c r="L184" i="1"/>
  <c r="H179" i="2"/>
  <c r="L178" i="1"/>
  <c r="H173" i="2"/>
  <c r="L468" i="1"/>
  <c r="H464" i="2"/>
  <c r="L35" i="1"/>
  <c r="H34" i="2"/>
  <c r="AK654" i="1"/>
  <c r="R654" i="1"/>
  <c r="H650" i="2"/>
  <c r="AK440" i="1"/>
  <c r="R440" i="1"/>
  <c r="H436" i="2"/>
  <c r="J402" i="2"/>
  <c r="I402" i="2"/>
  <c r="J51" i="2"/>
  <c r="I51" i="2"/>
  <c r="J65" i="2"/>
  <c r="I65" i="2"/>
  <c r="J100" i="2"/>
  <c r="I100" i="2"/>
  <c r="AK158" i="1"/>
  <c r="R158" i="1"/>
  <c r="H153" i="2"/>
  <c r="I191" i="2"/>
  <c r="J191" i="2"/>
  <c r="I352" i="2"/>
  <c r="J352" i="2"/>
  <c r="L484" i="1"/>
  <c r="H480" i="2"/>
  <c r="J661" i="2"/>
  <c r="I661" i="2"/>
  <c r="AK673" i="1"/>
  <c r="R673" i="1"/>
  <c r="H669" i="2"/>
  <c r="L681" i="1"/>
  <c r="H677" i="2"/>
  <c r="L252" i="1"/>
  <c r="H247" i="2"/>
  <c r="L703" i="1"/>
  <c r="H699" i="2"/>
  <c r="I224" i="2"/>
  <c r="J224" i="2"/>
  <c r="J246" i="2"/>
  <c r="I246" i="2"/>
  <c r="L112" i="1"/>
  <c r="H107" i="2"/>
  <c r="I209" i="2"/>
  <c r="J209" i="2"/>
  <c r="L118" i="1"/>
  <c r="H113" i="2"/>
  <c r="J116" i="2"/>
  <c r="I116" i="2"/>
  <c r="I157" i="2"/>
  <c r="J157" i="2"/>
  <c r="L160" i="1"/>
  <c r="H155" i="2"/>
  <c r="J60" i="2"/>
  <c r="I60" i="2"/>
  <c r="AK98" i="1"/>
  <c r="R98" i="1"/>
  <c r="H93" i="2"/>
  <c r="J97" i="2"/>
  <c r="I97" i="2"/>
  <c r="L136" i="1"/>
  <c r="H131" i="2"/>
  <c r="J142" i="2"/>
  <c r="I142" i="2"/>
  <c r="I146" i="2"/>
  <c r="J146" i="2"/>
  <c r="AK155" i="1"/>
  <c r="R155" i="1"/>
  <c r="H150" i="2"/>
  <c r="J185" i="2"/>
  <c r="I185" i="2"/>
  <c r="AK210" i="1"/>
  <c r="R210" i="1"/>
  <c r="H205" i="2"/>
  <c r="L221" i="1"/>
  <c r="H216" i="2"/>
  <c r="AK239" i="1"/>
  <c r="R239" i="1"/>
  <c r="H234" i="2"/>
  <c r="J238" i="2"/>
  <c r="I238" i="2"/>
  <c r="AK265" i="1"/>
  <c r="R265" i="1"/>
  <c r="H260" i="2"/>
  <c r="I264" i="2"/>
  <c r="J264" i="2"/>
  <c r="AK273" i="1"/>
  <c r="R273" i="1"/>
  <c r="H268" i="2"/>
  <c r="I291" i="2"/>
  <c r="J291" i="2"/>
  <c r="AK300" i="1"/>
  <c r="R300" i="1"/>
  <c r="H295" i="2"/>
  <c r="AK319" i="1"/>
  <c r="R319" i="1"/>
  <c r="H314" i="2"/>
  <c r="I318" i="2"/>
  <c r="J318" i="2"/>
  <c r="AK344" i="1"/>
  <c r="R344" i="1"/>
  <c r="H339" i="2"/>
  <c r="I348" i="2"/>
  <c r="J348" i="2"/>
  <c r="J365" i="2"/>
  <c r="I365" i="2"/>
  <c r="L401" i="1"/>
  <c r="H397" i="2"/>
  <c r="L414" i="1"/>
  <c r="H410" i="2"/>
  <c r="AK418" i="1"/>
  <c r="R418" i="1"/>
  <c r="H414" i="2"/>
  <c r="L432" i="1"/>
  <c r="H428" i="2"/>
  <c r="AK438" i="1"/>
  <c r="R438" i="1"/>
  <c r="H434" i="2"/>
  <c r="J495" i="2"/>
  <c r="I495" i="2"/>
  <c r="AK741" i="1"/>
  <c r="R741" i="1"/>
  <c r="H736" i="2"/>
  <c r="AK745" i="1"/>
  <c r="R745" i="1"/>
  <c r="H740" i="2"/>
  <c r="L749" i="1"/>
  <c r="H744" i="2"/>
  <c r="I749" i="2"/>
  <c r="J749" i="2"/>
  <c r="L758" i="1"/>
  <c r="H753" i="2"/>
  <c r="L28" i="1"/>
  <c r="H27" i="2"/>
  <c r="J666" i="2"/>
  <c r="I666" i="2"/>
  <c r="AK459" i="1"/>
  <c r="R459" i="1"/>
  <c r="H455" i="2"/>
  <c r="L366" i="1"/>
  <c r="H362" i="2"/>
  <c r="L132" i="1"/>
  <c r="H127" i="2"/>
  <c r="L93" i="1"/>
  <c r="H88" i="2"/>
  <c r="J441" i="2"/>
  <c r="I441" i="2"/>
  <c r="I280" i="2"/>
  <c r="J280" i="2"/>
  <c r="J275" i="2"/>
  <c r="I275" i="2"/>
  <c r="I306" i="2"/>
  <c r="J306" i="2"/>
  <c r="J104" i="2"/>
  <c r="I104" i="2"/>
  <c r="I222" i="2"/>
  <c r="J222" i="2"/>
  <c r="J476" i="2"/>
  <c r="I476" i="2"/>
  <c r="AK528" i="1"/>
  <c r="R528" i="1"/>
  <c r="H524" i="2"/>
  <c r="L22" i="1"/>
  <c r="H21" i="2"/>
  <c r="J381" i="2"/>
  <c r="I381" i="2"/>
  <c r="H854" i="2"/>
  <c r="H726" i="2"/>
  <c r="H386" i="2"/>
  <c r="H829" i="2"/>
  <c r="L375" i="1"/>
  <c r="H371" i="2"/>
  <c r="I329" i="2"/>
  <c r="J329" i="2"/>
  <c r="I470" i="2"/>
  <c r="J470" i="2"/>
  <c r="L312" i="1"/>
  <c r="H307" i="2"/>
  <c r="I283" i="2"/>
  <c r="J283" i="2"/>
  <c r="I423" i="2"/>
  <c r="J423" i="2"/>
  <c r="AK422" i="1"/>
  <c r="R422" i="1"/>
  <c r="H418" i="2"/>
  <c r="L342" i="1"/>
  <c r="H337" i="2"/>
  <c r="AK662" i="1"/>
  <c r="R662" i="1"/>
  <c r="H658" i="2"/>
  <c r="I44" i="2"/>
  <c r="J44" i="2"/>
  <c r="J389" i="2"/>
  <c r="I389" i="2"/>
  <c r="I272" i="2"/>
  <c r="J272" i="2"/>
  <c r="H676" i="2"/>
  <c r="H863" i="2"/>
  <c r="L379" i="1"/>
  <c r="H375" i="2"/>
  <c r="L338" i="1"/>
  <c r="H333" i="2"/>
  <c r="L236" i="1"/>
  <c r="H231" i="2"/>
  <c r="L173" i="1"/>
  <c r="H168" i="2"/>
  <c r="L127" i="1"/>
  <c r="H122" i="2"/>
  <c r="L78" i="1"/>
  <c r="H73" i="2"/>
  <c r="J761" i="2"/>
  <c r="I761" i="2"/>
  <c r="L763" i="1"/>
  <c r="H758" i="2"/>
  <c r="L698" i="1"/>
  <c r="H694" i="2"/>
  <c r="L694" i="1"/>
  <c r="H690" i="2"/>
  <c r="H861" i="2"/>
  <c r="H684" i="2"/>
  <c r="H683" i="2"/>
  <c r="L679" i="1"/>
  <c r="H675" i="2"/>
  <c r="I665" i="2"/>
  <c r="J665" i="2"/>
  <c r="H778" i="2"/>
  <c r="H541" i="2"/>
  <c r="H773" i="2"/>
  <c r="H536" i="2"/>
  <c r="H531" i="2"/>
  <c r="H768" i="2"/>
  <c r="J519" i="2"/>
  <c r="I519" i="2"/>
  <c r="L519" i="1"/>
  <c r="H515" i="2"/>
  <c r="I511" i="2"/>
  <c r="J511" i="2"/>
  <c r="J287" i="2"/>
  <c r="I287" i="2"/>
  <c r="L258" i="1"/>
  <c r="H253" i="2"/>
  <c r="L200" i="1"/>
  <c r="H195" i="2"/>
  <c r="L183" i="1"/>
  <c r="H178" i="2"/>
  <c r="I172" i="2"/>
  <c r="J172" i="2"/>
  <c r="I648" i="2"/>
  <c r="J648" i="2"/>
  <c r="I35" i="2"/>
  <c r="J35" i="2"/>
  <c r="J651" i="2"/>
  <c r="I651" i="2"/>
  <c r="J437" i="2"/>
  <c r="I437" i="2"/>
  <c r="I403" i="2"/>
  <c r="J403" i="2"/>
  <c r="I52" i="2"/>
  <c r="J52" i="2"/>
  <c r="I66" i="2"/>
  <c r="J66" i="2"/>
  <c r="AK106" i="1"/>
  <c r="R106" i="1"/>
  <c r="H101" i="2"/>
  <c r="J135" i="2"/>
  <c r="I135" i="2"/>
  <c r="L225" i="1"/>
  <c r="H220" i="2"/>
  <c r="I240" i="2"/>
  <c r="J240" i="2"/>
  <c r="I353" i="2"/>
  <c r="J353" i="2"/>
  <c r="AK483" i="1"/>
  <c r="R483" i="1"/>
  <c r="H479" i="2"/>
  <c r="I662" i="2"/>
  <c r="J662" i="2"/>
  <c r="L674" i="1"/>
  <c r="H670" i="2"/>
  <c r="AK682" i="1"/>
  <c r="R682" i="1"/>
  <c r="H678" i="2"/>
  <c r="L119" i="1"/>
  <c r="H114" i="2"/>
  <c r="L363" i="1"/>
  <c r="H358" i="2"/>
  <c r="AK197" i="1"/>
  <c r="R197" i="1"/>
  <c r="H192" i="2"/>
  <c r="AK117" i="1"/>
  <c r="R117" i="1"/>
  <c r="H112" i="2"/>
  <c r="I158" i="2"/>
  <c r="J158" i="2"/>
  <c r="L167" i="1"/>
  <c r="H162" i="2"/>
  <c r="AK66" i="1"/>
  <c r="R66" i="1"/>
  <c r="H61" i="2"/>
  <c r="AK85" i="1"/>
  <c r="R85" i="1"/>
  <c r="H80" i="2"/>
  <c r="J90" i="2"/>
  <c r="I90" i="2"/>
  <c r="J94" i="2"/>
  <c r="I94" i="2"/>
  <c r="AK103" i="1"/>
  <c r="R103" i="1"/>
  <c r="H98" i="2"/>
  <c r="L137" i="1"/>
  <c r="H132" i="2"/>
  <c r="L148" i="1"/>
  <c r="H143" i="2"/>
  <c r="L152" i="1"/>
  <c r="H147" i="2"/>
  <c r="J182" i="2"/>
  <c r="I182" i="2"/>
  <c r="J186" i="2"/>
  <c r="I186" i="2"/>
  <c r="AK211" i="1"/>
  <c r="R211" i="1"/>
  <c r="H206" i="2"/>
  <c r="AK222" i="1"/>
  <c r="R222" i="1"/>
  <c r="H217" i="2"/>
  <c r="I235" i="2"/>
  <c r="J235" i="2"/>
  <c r="L262" i="1"/>
  <c r="H257" i="2"/>
  <c r="L266" i="1"/>
  <c r="H261" i="2"/>
  <c r="AK270" i="1"/>
  <c r="R270" i="1"/>
  <c r="H265" i="2"/>
  <c r="L274" i="1"/>
  <c r="H269" i="2"/>
  <c r="J292" i="2"/>
  <c r="I292" i="2"/>
  <c r="J296" i="2"/>
  <c r="I296" i="2"/>
  <c r="J315" i="2"/>
  <c r="I315" i="2"/>
  <c r="J319" i="2"/>
  <c r="I319" i="2"/>
  <c r="I340" i="2"/>
  <c r="J340" i="2"/>
  <c r="J349" i="2"/>
  <c r="I349" i="2"/>
  <c r="I366" i="2"/>
  <c r="J366" i="2"/>
  <c r="AK402" i="1"/>
  <c r="R402" i="1"/>
  <c r="H398" i="2"/>
  <c r="J411" i="2"/>
  <c r="I411" i="2"/>
  <c r="L429" i="1"/>
  <c r="H425" i="2"/>
  <c r="AK434" i="1"/>
  <c r="R434" i="1"/>
  <c r="H430" i="2"/>
  <c r="I737" i="2"/>
  <c r="J737" i="2"/>
  <c r="L746" i="1"/>
  <c r="H741" i="2"/>
  <c r="L751" i="1"/>
  <c r="H746" i="2"/>
  <c r="AK755" i="1"/>
  <c r="R755" i="1"/>
  <c r="H750" i="2"/>
  <c r="AK759" i="1"/>
  <c r="R759" i="1"/>
  <c r="H754" i="2"/>
  <c r="I657" i="2"/>
  <c r="J657" i="2"/>
  <c r="L27" i="1"/>
  <c r="H26" i="2"/>
  <c r="L549" i="1"/>
  <c r="H545" i="2"/>
  <c r="H664" i="2"/>
  <c r="J664" i="2"/>
  <c r="J718" i="2"/>
  <c r="K718" i="2"/>
  <c r="AK652" i="1"/>
  <c r="R652" i="1"/>
  <c r="AK661" i="1"/>
  <c r="R661" i="1"/>
  <c r="AK659" i="1"/>
  <c r="R659" i="1"/>
  <c r="J1062" i="2"/>
  <c r="L1062" i="2"/>
  <c r="M1062" i="2"/>
  <c r="I785" i="2"/>
  <c r="I849" i="2"/>
  <c r="L662" i="1"/>
  <c r="L660" i="1"/>
  <c r="H721" i="2"/>
  <c r="J721" i="2"/>
  <c r="K721" i="2"/>
  <c r="O938" i="1"/>
  <c r="P938" i="1"/>
  <c r="O827" i="1"/>
  <c r="P827" i="1"/>
  <c r="N1085" i="1"/>
  <c r="O1098" i="1"/>
  <c r="P1098" i="1"/>
  <c r="I855" i="2"/>
  <c r="I982" i="2"/>
  <c r="J1046" i="2"/>
  <c r="L1046" i="2"/>
  <c r="M1046" i="2"/>
  <c r="I1086" i="2"/>
  <c r="I878" i="2"/>
  <c r="I803" i="2"/>
  <c r="J771" i="2"/>
  <c r="L771" i="2"/>
  <c r="M771" i="2"/>
  <c r="I791" i="2"/>
  <c r="L918" i="2"/>
  <c r="M918" i="2"/>
  <c r="L680" i="1"/>
  <c r="O973" i="1"/>
  <c r="P973" i="1"/>
  <c r="N879" i="1"/>
  <c r="I764" i="2"/>
  <c r="L938" i="1"/>
  <c r="H926" i="2"/>
  <c r="N1018" i="1"/>
  <c r="O959" i="1"/>
  <c r="P959" i="1"/>
  <c r="L1078" i="1"/>
  <c r="O944" i="1"/>
  <c r="P944" i="1"/>
  <c r="O1090" i="1"/>
  <c r="P1090" i="1"/>
  <c r="N1040" i="1"/>
  <c r="L1057" i="1"/>
  <c r="N1093" i="1"/>
  <c r="N1026" i="1"/>
  <c r="K916" i="2"/>
  <c r="N1071" i="1"/>
  <c r="O1118" i="1"/>
  <c r="P1118" i="1"/>
  <c r="L779" i="1"/>
  <c r="N1047" i="1"/>
  <c r="N948" i="1"/>
  <c r="L185" i="1"/>
  <c r="O1044" i="1"/>
  <c r="P1044" i="1"/>
  <c r="N1042" i="1"/>
  <c r="K695" i="2"/>
  <c r="L984" i="1"/>
  <c r="L971" i="1"/>
  <c r="O171" i="1"/>
  <c r="P171" i="1"/>
  <c r="L967" i="1"/>
  <c r="AK965" i="1"/>
  <c r="R965" i="1"/>
  <c r="H930" i="2"/>
  <c r="L939" i="1"/>
  <c r="AK946" i="1"/>
  <c r="R946" i="1"/>
  <c r="AK977" i="1"/>
  <c r="R977" i="1"/>
  <c r="AK784" i="1"/>
  <c r="R784" i="1"/>
  <c r="N1076" i="1"/>
  <c r="AK813" i="1"/>
  <c r="R813" i="1"/>
  <c r="O1096" i="1"/>
  <c r="P1096" i="1"/>
  <c r="L1100" i="1"/>
  <c r="O128" i="1"/>
  <c r="P128" i="1"/>
  <c r="O89" i="1"/>
  <c r="P89" i="1"/>
  <c r="AK678" i="1"/>
  <c r="R678" i="1"/>
  <c r="L990" i="1"/>
  <c r="L969" i="1"/>
  <c r="L947" i="1"/>
  <c r="AK341" i="1"/>
  <c r="R341" i="1"/>
  <c r="L1002" i="1"/>
  <c r="L993" i="1"/>
  <c r="L989" i="1"/>
  <c r="H934" i="2"/>
  <c r="L945" i="1"/>
  <c r="L997" i="1"/>
  <c r="L992" i="1"/>
  <c r="L944" i="1"/>
  <c r="H928" i="2"/>
  <c r="L827" i="1"/>
  <c r="N1099" i="1"/>
  <c r="N132" i="1"/>
  <c r="AK975" i="1"/>
  <c r="R975" i="1"/>
  <c r="L936" i="1"/>
  <c r="L1003" i="1"/>
  <c r="L998" i="1"/>
  <c r="O338" i="1"/>
  <c r="P338" i="1"/>
  <c r="L1073" i="1"/>
  <c r="H968" i="2"/>
  <c r="N260" i="1"/>
  <c r="H969" i="2"/>
  <c r="AK1004" i="1"/>
  <c r="R1004" i="1"/>
  <c r="AK1000" i="1"/>
  <c r="R1000" i="1"/>
  <c r="L996" i="1"/>
  <c r="AK991" i="1"/>
  <c r="R991" i="1"/>
  <c r="L972" i="1"/>
  <c r="L962" i="1"/>
  <c r="L948" i="1"/>
  <c r="L1118" i="1"/>
  <c r="N217" i="1"/>
  <c r="O30" i="1"/>
  <c r="P30" i="1"/>
  <c r="K865" i="2"/>
  <c r="J846" i="2"/>
  <c r="L846" i="2"/>
  <c r="M846" i="2"/>
  <c r="I865" i="2"/>
  <c r="J1052" i="2"/>
  <c r="K1052" i="2"/>
  <c r="I823" i="2"/>
  <c r="K781" i="2"/>
  <c r="I795" i="2"/>
  <c r="K823" i="2"/>
  <c r="I781" i="2"/>
  <c r="I852" i="2"/>
  <c r="I745" i="2"/>
  <c r="I1039" i="2"/>
  <c r="I813" i="2"/>
  <c r="K855" i="2"/>
  <c r="J879" i="2"/>
  <c r="K879" i="2"/>
  <c r="J1021" i="2"/>
  <c r="K1021" i="2"/>
  <c r="I1021" i="2"/>
  <c r="J1069" i="2"/>
  <c r="L1069" i="2"/>
  <c r="M1069" i="2"/>
  <c r="J1037" i="2"/>
  <c r="L1037" i="2"/>
  <c r="M1037" i="2"/>
  <c r="I1037" i="2"/>
  <c r="J900" i="2"/>
  <c r="L900" i="2"/>
  <c r="M900" i="2"/>
  <c r="I900" i="2"/>
  <c r="I1077" i="2"/>
  <c r="J1093" i="2"/>
  <c r="K1093" i="2"/>
  <c r="I996" i="2"/>
  <c r="J1026" i="2"/>
  <c r="L1026" i="2"/>
  <c r="M1026" i="2"/>
  <c r="J1028" i="2"/>
  <c r="K1028" i="2"/>
  <c r="I1042" i="2"/>
  <c r="J1066" i="2"/>
  <c r="L1066" i="2"/>
  <c r="M1066" i="2"/>
  <c r="N978" i="1"/>
  <c r="O1119" i="1"/>
  <c r="P1119" i="1"/>
  <c r="O1072" i="1"/>
  <c r="P1072" i="1"/>
  <c r="O989" i="1"/>
  <c r="P989" i="1"/>
  <c r="L687" i="1"/>
  <c r="AK778" i="1"/>
  <c r="R778" i="1"/>
  <c r="L651" i="1"/>
  <c r="L45" i="1"/>
  <c r="N1134" i="1"/>
  <c r="O1134" i="1"/>
  <c r="P1134" i="1"/>
  <c r="H363" i="2"/>
  <c r="I363" i="2"/>
  <c r="L129" i="1"/>
  <c r="AK129" i="1"/>
  <c r="R129" i="1"/>
  <c r="L795" i="1"/>
  <c r="N412" i="1"/>
  <c r="L124" i="1"/>
  <c r="L943" i="1"/>
  <c r="L1000" i="1"/>
  <c r="L824" i="1"/>
  <c r="AK1020" i="1"/>
  <c r="R1020" i="1"/>
  <c r="AK963" i="1"/>
  <c r="R963" i="1"/>
  <c r="L963" i="1"/>
  <c r="O1002" i="1"/>
  <c r="P1002" i="1"/>
  <c r="N1002" i="1"/>
  <c r="O981" i="1"/>
  <c r="P981" i="1"/>
  <c r="N981" i="1"/>
  <c r="L36" i="1"/>
  <c r="O796" i="1"/>
  <c r="P796" i="1"/>
  <c r="N1080" i="1"/>
  <c r="O1080" i="1"/>
  <c r="P1080" i="1"/>
  <c r="N1115" i="1"/>
  <c r="O1115" i="1"/>
  <c r="P1115" i="1"/>
  <c r="AK1038" i="1"/>
  <c r="R1038" i="1"/>
  <c r="L1030" i="1"/>
  <c r="O792" i="1"/>
  <c r="P792" i="1"/>
  <c r="AK722" i="1"/>
  <c r="R722" i="1"/>
  <c r="O1124" i="1"/>
  <c r="P1124" i="1"/>
  <c r="N1124" i="1"/>
  <c r="N1065" i="1"/>
  <c r="O1065" i="1"/>
  <c r="P1065" i="1"/>
  <c r="O1057" i="1"/>
  <c r="P1057" i="1"/>
  <c r="N1057" i="1"/>
  <c r="N1122" i="1"/>
  <c r="O1122" i="1"/>
  <c r="P1122" i="1"/>
  <c r="O467" i="1"/>
  <c r="P467" i="1"/>
  <c r="O44" i="1"/>
  <c r="P44" i="1"/>
  <c r="N1038" i="1"/>
  <c r="AK1101" i="1"/>
  <c r="R1101" i="1"/>
  <c r="L1101" i="1"/>
  <c r="AK1085" i="1"/>
  <c r="R1085" i="1"/>
  <c r="L1085" i="1"/>
  <c r="N420" i="1"/>
  <c r="O1100" i="1"/>
  <c r="P1100" i="1"/>
  <c r="L1037" i="1"/>
  <c r="AK1037" i="1"/>
  <c r="R1037" i="1"/>
  <c r="H836" i="2"/>
  <c r="I836" i="2"/>
  <c r="AK1044" i="1"/>
  <c r="R1044" i="1"/>
  <c r="N688" i="1"/>
  <c r="AK938" i="1"/>
  <c r="R938" i="1"/>
  <c r="O378" i="1"/>
  <c r="P378" i="1"/>
  <c r="N378" i="1"/>
  <c r="N349" i="1"/>
  <c r="O349" i="1"/>
  <c r="P349" i="1"/>
  <c r="AK217" i="1"/>
  <c r="R217" i="1"/>
  <c r="L217" i="1"/>
  <c r="H239" i="2"/>
  <c r="J239" i="2"/>
  <c r="K239" i="2"/>
  <c r="L182" i="1"/>
  <c r="AK412" i="1"/>
  <c r="R412" i="1"/>
  <c r="L412" i="1"/>
  <c r="N178" i="1"/>
  <c r="O178" i="1"/>
  <c r="P178" i="1"/>
  <c r="L1056" i="1"/>
  <c r="AK1110" i="1"/>
  <c r="R1110" i="1"/>
  <c r="L983" i="1"/>
  <c r="AK983" i="1"/>
  <c r="R983" i="1"/>
  <c r="AK973" i="1"/>
  <c r="R973" i="1"/>
  <c r="L973" i="1"/>
  <c r="AK783" i="1"/>
  <c r="R783" i="1"/>
  <c r="L783" i="1"/>
  <c r="AK773" i="1"/>
  <c r="R773" i="1"/>
  <c r="L773" i="1"/>
  <c r="AK767" i="1"/>
  <c r="R767" i="1"/>
  <c r="L767" i="1"/>
  <c r="L689" i="1"/>
  <c r="N1131" i="1"/>
  <c r="O1131" i="1"/>
  <c r="P1131" i="1"/>
  <c r="N1046" i="1"/>
  <c r="O1046" i="1"/>
  <c r="P1046" i="1"/>
  <c r="N1004" i="1"/>
  <c r="O1004" i="1"/>
  <c r="P1004" i="1"/>
  <c r="O996" i="1"/>
  <c r="P996" i="1"/>
  <c r="N996" i="1"/>
  <c r="N991" i="1"/>
  <c r="O991" i="1"/>
  <c r="P991" i="1"/>
  <c r="O972" i="1"/>
  <c r="P972" i="1"/>
  <c r="N972" i="1"/>
  <c r="O963" i="1"/>
  <c r="P963" i="1"/>
  <c r="N963" i="1"/>
  <c r="O962" i="1"/>
  <c r="P962" i="1"/>
  <c r="N962" i="1"/>
  <c r="N943" i="1"/>
  <c r="O943" i="1"/>
  <c r="P943" i="1"/>
  <c r="L255" i="1"/>
  <c r="N316" i="1"/>
  <c r="AK1128" i="1"/>
  <c r="R1128" i="1"/>
  <c r="L832" i="1"/>
  <c r="H850" i="2"/>
  <c r="L678" i="1"/>
  <c r="O523" i="1"/>
  <c r="P523" i="1"/>
  <c r="AK124" i="1"/>
  <c r="R124" i="1"/>
  <c r="AK149" i="1"/>
  <c r="R149" i="1"/>
  <c r="N977" i="1"/>
  <c r="L659" i="1"/>
  <c r="L1062" i="1"/>
  <c r="L1087" i="1"/>
  <c r="L1071" i="1"/>
  <c r="N520" i="1"/>
  <c r="AK774" i="1"/>
  <c r="R774" i="1"/>
  <c r="AK1057" i="1"/>
  <c r="R1057" i="1"/>
  <c r="O803" i="1"/>
  <c r="P803" i="1"/>
  <c r="O1125" i="1"/>
  <c r="P1125" i="1"/>
  <c r="O1084" i="1"/>
  <c r="P1084" i="1"/>
  <c r="O824" i="1"/>
  <c r="P824" i="1"/>
  <c r="H838" i="2"/>
  <c r="I838" i="2"/>
  <c r="L1094" i="1"/>
  <c r="L1120" i="1"/>
  <c r="O1120" i="1"/>
  <c r="P1120" i="1"/>
  <c r="O1078" i="1"/>
  <c r="P1078" i="1"/>
  <c r="AK36" i="1"/>
  <c r="R36" i="1"/>
  <c r="O379" i="1"/>
  <c r="P379" i="1"/>
  <c r="I644" i="2"/>
  <c r="L1042" i="2"/>
  <c r="M1042" i="2"/>
  <c r="N478" i="1"/>
  <c r="N516" i="1"/>
  <c r="O717" i="1"/>
  <c r="P717" i="1"/>
  <c r="N35" i="1"/>
  <c r="O773" i="1"/>
  <c r="P773" i="1"/>
  <c r="O83" i="1"/>
  <c r="P83" i="1"/>
  <c r="AK123" i="1"/>
  <c r="R123" i="1"/>
  <c r="N78" i="1"/>
  <c r="O78" i="1"/>
  <c r="P78" i="1"/>
  <c r="L813" i="1"/>
  <c r="O380" i="1"/>
  <c r="P380" i="1"/>
  <c r="O1114" i="1"/>
  <c r="P1114" i="1"/>
  <c r="N1114" i="1"/>
  <c r="N1105" i="1"/>
  <c r="O1105" i="1"/>
  <c r="P1105" i="1"/>
  <c r="N1006" i="1"/>
  <c r="O1006" i="1"/>
  <c r="P1006" i="1"/>
  <c r="AK127" i="1"/>
  <c r="R127" i="1"/>
  <c r="AK1083" i="1"/>
  <c r="R1083" i="1"/>
  <c r="AK1052" i="1"/>
  <c r="R1052" i="1"/>
  <c r="L1052" i="1"/>
  <c r="N531" i="1"/>
  <c r="N339" i="1"/>
  <c r="O961" i="1"/>
  <c r="P961" i="1"/>
  <c r="L719" i="1"/>
  <c r="L977" i="1"/>
  <c r="AK177" i="1"/>
  <c r="R177" i="1"/>
  <c r="AK1118" i="1"/>
  <c r="R1118" i="1"/>
  <c r="N1017" i="1"/>
  <c r="O735" i="1"/>
  <c r="P735" i="1"/>
  <c r="N735" i="1"/>
  <c r="H468" i="2"/>
  <c r="J468" i="2"/>
  <c r="H79" i="2"/>
  <c r="J79" i="2"/>
  <c r="O652" i="1"/>
  <c r="P652" i="1"/>
  <c r="N544" i="1"/>
  <c r="O544" i="1"/>
  <c r="P544" i="1"/>
  <c r="L341" i="1"/>
  <c r="L713" i="1"/>
  <c r="L794" i="1"/>
  <c r="H821" i="2"/>
  <c r="L1080" i="1"/>
  <c r="L994" i="1"/>
  <c r="O987" i="1"/>
  <c r="P987" i="1"/>
  <c r="L818" i="1"/>
  <c r="L1122" i="1"/>
  <c r="AK1122" i="1"/>
  <c r="R1122" i="1"/>
  <c r="AK1051" i="1"/>
  <c r="R1051" i="1"/>
  <c r="L1051" i="1"/>
  <c r="O1045" i="1"/>
  <c r="P1045" i="1"/>
  <c r="N1045" i="1"/>
  <c r="L731" i="1"/>
  <c r="H800" i="2"/>
  <c r="L652" i="1"/>
  <c r="O315" i="1"/>
  <c r="P315" i="1"/>
  <c r="AK794" i="1"/>
  <c r="R794" i="1"/>
  <c r="AK255" i="1"/>
  <c r="R255" i="1"/>
  <c r="AK731" i="1"/>
  <c r="R731" i="1"/>
  <c r="L1072" i="1"/>
  <c r="N947" i="1"/>
  <c r="L671" i="1"/>
  <c r="L1125" i="1"/>
  <c r="N365" i="1"/>
  <c r="AK1080" i="1"/>
  <c r="R1080" i="1"/>
  <c r="AK57" i="1"/>
  <c r="R57" i="1"/>
  <c r="L111" i="1"/>
  <c r="H125" i="2"/>
  <c r="I125" i="2"/>
  <c r="L688" i="1"/>
  <c r="AK710" i="1"/>
  <c r="R710" i="1"/>
  <c r="AK669" i="1"/>
  <c r="R669" i="1"/>
  <c r="L669" i="1"/>
  <c r="H729" i="2"/>
  <c r="J729" i="2"/>
  <c r="I1057" i="2"/>
  <c r="J1081" i="2"/>
  <c r="K1081" i="2"/>
  <c r="J985" i="2"/>
  <c r="L985" i="2"/>
  <c r="M985" i="2"/>
  <c r="I1089" i="2"/>
  <c r="O517" i="1"/>
  <c r="P517" i="1"/>
  <c r="L292" i="1"/>
  <c r="AK131" i="1"/>
  <c r="R131" i="1"/>
  <c r="AK291" i="1"/>
  <c r="R291" i="1"/>
  <c r="L291" i="1"/>
  <c r="AK185" i="1"/>
  <c r="R185" i="1"/>
  <c r="I993" i="2"/>
  <c r="J1073" i="2"/>
  <c r="K1073" i="2"/>
  <c r="N521" i="1"/>
  <c r="L131" i="1"/>
  <c r="O687" i="1"/>
  <c r="P687" i="1"/>
  <c r="N767" i="1"/>
  <c r="O767" i="1"/>
  <c r="P767" i="1"/>
  <c r="L316" i="1"/>
  <c r="O182" i="1"/>
  <c r="P182" i="1"/>
  <c r="N182" i="1"/>
  <c r="N126" i="1"/>
  <c r="O126" i="1"/>
  <c r="P126" i="1"/>
  <c r="H72" i="2"/>
  <c r="I72" i="2"/>
  <c r="L79" i="1"/>
  <c r="N468" i="1"/>
  <c r="O468" i="1"/>
  <c r="P468" i="1"/>
  <c r="N539" i="1"/>
  <c r="N366" i="1"/>
  <c r="O540" i="1"/>
  <c r="P540" i="1"/>
  <c r="L518" i="1"/>
  <c r="H757" i="2"/>
  <c r="J757" i="2"/>
  <c r="L757" i="2"/>
  <c r="M757" i="2"/>
  <c r="O459" i="1"/>
  <c r="P459" i="1"/>
  <c r="N719" i="1"/>
  <c r="O719" i="1"/>
  <c r="P719" i="1"/>
  <c r="N772" i="1"/>
  <c r="O772" i="1"/>
  <c r="P772" i="1"/>
  <c r="N185" i="1"/>
  <c r="N545" i="1"/>
  <c r="O545" i="1"/>
  <c r="P545" i="1"/>
  <c r="N535" i="1"/>
  <c r="O535" i="1"/>
  <c r="P535" i="1"/>
  <c r="L459" i="1"/>
  <c r="AK200" i="1"/>
  <c r="R200" i="1"/>
  <c r="N668" i="1"/>
  <c r="AK522" i="1"/>
  <c r="R522" i="1"/>
  <c r="J1001" i="2"/>
  <c r="L1001" i="2"/>
  <c r="M1001" i="2"/>
  <c r="AK775" i="1"/>
  <c r="R775" i="1"/>
  <c r="L71" i="1"/>
  <c r="I1019" i="2"/>
  <c r="I760" i="2"/>
  <c r="J991" i="2"/>
  <c r="L991" i="2"/>
  <c r="M991" i="2"/>
  <c r="I695" i="2"/>
  <c r="N1110" i="1"/>
  <c r="O1110" i="1"/>
  <c r="P1110" i="1"/>
  <c r="O1069" i="1"/>
  <c r="P1069" i="1"/>
  <c r="N1069" i="1"/>
  <c r="H37" i="2"/>
  <c r="I37" i="2"/>
  <c r="L43" i="1"/>
  <c r="AK1042" i="1"/>
  <c r="R1042" i="1"/>
  <c r="O176" i="1"/>
  <c r="P176" i="1"/>
  <c r="N176" i="1"/>
  <c r="J779" i="2"/>
  <c r="K779" i="2"/>
  <c r="N1056" i="1"/>
  <c r="O1058" i="1"/>
  <c r="P1058" i="1"/>
  <c r="O976" i="1"/>
  <c r="P976" i="1"/>
  <c r="N976" i="1"/>
  <c r="J979" i="2"/>
  <c r="K979" i="2"/>
  <c r="N1132" i="1"/>
  <c r="O1132" i="1"/>
  <c r="P1132" i="1"/>
  <c r="O1064" i="1"/>
  <c r="P1064" i="1"/>
  <c r="N1064" i="1"/>
  <c r="N1037" i="1"/>
  <c r="O1037" i="1"/>
  <c r="P1037" i="1"/>
  <c r="O793" i="1"/>
  <c r="P793" i="1"/>
  <c r="K982" i="2"/>
  <c r="J851" i="2"/>
  <c r="K851" i="2"/>
  <c r="J717" i="2"/>
  <c r="L717" i="2"/>
  <c r="M717" i="2"/>
  <c r="I889" i="2"/>
  <c r="J1083" i="2"/>
  <c r="K1083" i="2"/>
  <c r="I1083" i="2"/>
  <c r="J864" i="2"/>
  <c r="K864" i="2"/>
  <c r="I864" i="2"/>
  <c r="L1047" i="1"/>
  <c r="O945" i="1"/>
  <c r="P945" i="1"/>
  <c r="N945" i="1"/>
  <c r="O939" i="1"/>
  <c r="P939" i="1"/>
  <c r="N939" i="1"/>
  <c r="N832" i="1"/>
  <c r="O832" i="1"/>
  <c r="P832" i="1"/>
  <c r="N784" i="1"/>
  <c r="O784" i="1"/>
  <c r="P784" i="1"/>
  <c r="O778" i="1"/>
  <c r="P778" i="1"/>
  <c r="N778" i="1"/>
  <c r="O764" i="1"/>
  <c r="P764" i="1"/>
  <c r="N764" i="1"/>
  <c r="N722" i="1"/>
  <c r="O722" i="1"/>
  <c r="P722" i="1"/>
  <c r="N696" i="1"/>
  <c r="O696" i="1"/>
  <c r="P696" i="1"/>
  <c r="J1035" i="2"/>
  <c r="K1035" i="2"/>
  <c r="I1035" i="2"/>
  <c r="N502" i="1"/>
  <c r="O502" i="1"/>
  <c r="P502" i="1"/>
  <c r="N1130" i="1"/>
  <c r="O1130" i="1"/>
  <c r="P1130" i="1"/>
  <c r="O1107" i="1"/>
  <c r="P1107" i="1"/>
  <c r="N1107" i="1"/>
  <c r="N1095" i="1"/>
  <c r="O1095" i="1"/>
  <c r="P1095" i="1"/>
  <c r="N1089" i="1"/>
  <c r="O1089" i="1"/>
  <c r="P1089" i="1"/>
  <c r="AK1032" i="1"/>
  <c r="R1032" i="1"/>
  <c r="L1032" i="1"/>
  <c r="N175" i="1"/>
  <c r="O175" i="1"/>
  <c r="P175" i="1"/>
  <c r="AK792" i="1"/>
  <c r="R792" i="1"/>
  <c r="L792" i="1"/>
  <c r="J987" i="2"/>
  <c r="K987" i="2"/>
  <c r="J1003" i="2"/>
  <c r="L1003" i="2"/>
  <c r="M1003" i="2"/>
  <c r="N698" i="1"/>
  <c r="O698" i="1"/>
  <c r="P698" i="1"/>
  <c r="N655" i="1"/>
  <c r="N1010" i="1"/>
  <c r="L975" i="1"/>
  <c r="O1083" i="1"/>
  <c r="P1083" i="1"/>
  <c r="AK518" i="1"/>
  <c r="R518" i="1"/>
  <c r="O669" i="1"/>
  <c r="P669" i="1"/>
  <c r="N669" i="1"/>
  <c r="AK1119" i="1"/>
  <c r="R1119" i="1"/>
  <c r="L1119" i="1"/>
  <c r="L959" i="1"/>
  <c r="AK959" i="1"/>
  <c r="R959" i="1"/>
  <c r="O1111" i="1"/>
  <c r="P1111" i="1"/>
  <c r="N1111" i="1"/>
  <c r="O1003" i="1"/>
  <c r="P1003" i="1"/>
  <c r="N1003" i="1"/>
  <c r="N200" i="1"/>
  <c r="O200" i="1"/>
  <c r="P200" i="1"/>
  <c r="AK788" i="1"/>
  <c r="R788" i="1"/>
  <c r="N946" i="1"/>
  <c r="L314" i="1"/>
  <c r="AK1105" i="1"/>
  <c r="R1105" i="1"/>
  <c r="L1105" i="1"/>
  <c r="AK1074" i="1"/>
  <c r="R1074" i="1"/>
  <c r="O969" i="1"/>
  <c r="P969" i="1"/>
  <c r="L514" i="1"/>
  <c r="H689" i="2"/>
  <c r="I689" i="2"/>
  <c r="O451" i="1"/>
  <c r="P451" i="1"/>
  <c r="AK514" i="1"/>
  <c r="R514" i="1"/>
  <c r="N984" i="1"/>
  <c r="AK1120" i="1"/>
  <c r="R1120" i="1"/>
  <c r="AK680" i="1"/>
  <c r="R680" i="1"/>
  <c r="AK389" i="1"/>
  <c r="R389" i="1"/>
  <c r="L149" i="1"/>
  <c r="I542" i="2"/>
  <c r="O18" i="1"/>
  <c r="P18" i="1"/>
  <c r="L666" i="1"/>
  <c r="AK400" i="1"/>
  <c r="R400" i="1"/>
  <c r="O137" i="1"/>
  <c r="P137" i="1"/>
  <c r="N114" i="1"/>
  <c r="K542" i="2"/>
  <c r="H891" i="2"/>
  <c r="J891" i="2"/>
  <c r="L891" i="2"/>
  <c r="M891" i="2"/>
  <c r="AK468" i="1"/>
  <c r="R468" i="1"/>
  <c r="O1116" i="1"/>
  <c r="P1116" i="1"/>
  <c r="N1116" i="1"/>
  <c r="N1103" i="1"/>
  <c r="O1103" i="1"/>
  <c r="P1103" i="1"/>
  <c r="H703" i="2"/>
  <c r="I703" i="2"/>
  <c r="L539" i="1"/>
  <c r="L535" i="1"/>
  <c r="N341" i="1"/>
  <c r="O1050" i="1"/>
  <c r="P1050" i="1"/>
  <c r="N127" i="1"/>
  <c r="O233" i="1"/>
  <c r="P233" i="1"/>
  <c r="L545" i="1"/>
  <c r="AK539" i="1"/>
  <c r="R539" i="1"/>
  <c r="L513" i="1"/>
  <c r="H454" i="2"/>
  <c r="J454" i="2"/>
  <c r="N257" i="1"/>
  <c r="O257" i="1"/>
  <c r="P257" i="1"/>
  <c r="N1062" i="1"/>
  <c r="O1062" i="1"/>
  <c r="P1062" i="1"/>
  <c r="AK1018" i="1"/>
  <c r="R1018" i="1"/>
  <c r="AK1015" i="1"/>
  <c r="R1015" i="1"/>
  <c r="L1015" i="1"/>
  <c r="O794" i="1"/>
  <c r="P794" i="1"/>
  <c r="L534" i="1"/>
  <c r="AK128" i="1"/>
  <c r="R128" i="1"/>
  <c r="N1023" i="1"/>
  <c r="O1023" i="1"/>
  <c r="P1023" i="1"/>
  <c r="AK694" i="1"/>
  <c r="R694" i="1"/>
  <c r="L670" i="1"/>
  <c r="H213" i="2"/>
  <c r="I213" i="2"/>
  <c r="AK176" i="1"/>
  <c r="R176" i="1"/>
  <c r="L176" i="1"/>
  <c r="AK175" i="1"/>
  <c r="R175" i="1"/>
  <c r="L654" i="1"/>
  <c r="AK366" i="1"/>
  <c r="R366" i="1"/>
  <c r="AK1134" i="1"/>
  <c r="R1134" i="1"/>
  <c r="L1134" i="1"/>
  <c r="N813" i="1"/>
  <c r="O1048" i="1"/>
  <c r="P1048" i="1"/>
  <c r="N169" i="1"/>
  <c r="L126" i="1"/>
  <c r="L544" i="1"/>
  <c r="L987" i="1"/>
  <c r="N1035" i="1"/>
  <c r="AK994" i="1"/>
  <c r="R994" i="1"/>
  <c r="AK531" i="1"/>
  <c r="R531" i="1"/>
  <c r="AK513" i="1"/>
  <c r="R513" i="1"/>
  <c r="O788" i="1"/>
  <c r="P788" i="1"/>
  <c r="L540" i="1"/>
  <c r="AK521" i="1"/>
  <c r="R521" i="1"/>
  <c r="AK381" i="1"/>
  <c r="R381" i="1"/>
  <c r="N234" i="1"/>
  <c r="O234" i="1"/>
  <c r="P234" i="1"/>
  <c r="N123" i="1"/>
  <c r="O255" i="1"/>
  <c r="P255" i="1"/>
  <c r="H713" i="2"/>
  <c r="J713" i="2"/>
  <c r="L713" i="2"/>
  <c r="M713" i="2"/>
  <c r="H704" i="2"/>
  <c r="J704" i="2"/>
  <c r="L1010" i="1"/>
  <c r="N522" i="1"/>
  <c r="O522" i="1"/>
  <c r="P522" i="1"/>
  <c r="N258" i="1"/>
  <c r="O258" i="1"/>
  <c r="P258" i="1"/>
  <c r="L381" i="1"/>
  <c r="AK540" i="1"/>
  <c r="R540" i="1"/>
  <c r="H691" i="2"/>
  <c r="J691" i="2"/>
  <c r="L691" i="2"/>
  <c r="M691" i="2"/>
  <c r="AK516" i="1"/>
  <c r="R516" i="1"/>
  <c r="L365" i="1"/>
  <c r="L339" i="1"/>
  <c r="AK315" i="1"/>
  <c r="R315" i="1"/>
  <c r="AK941" i="1"/>
  <c r="R941" i="1"/>
  <c r="L941" i="1"/>
  <c r="H892" i="2"/>
  <c r="H202" i="2"/>
  <c r="J202" i="2"/>
  <c r="AK171" i="1"/>
  <c r="R171" i="1"/>
  <c r="L171" i="1"/>
  <c r="AK132" i="1"/>
  <c r="R132" i="1"/>
  <c r="H140" i="2"/>
  <c r="J140" i="2"/>
  <c r="L44" i="1"/>
  <c r="AK832" i="1"/>
  <c r="R832" i="1"/>
  <c r="L1131" i="1"/>
  <c r="AK1131" i="1"/>
  <c r="R1131" i="1"/>
  <c r="L1127" i="1"/>
  <c r="AK1127" i="1"/>
  <c r="R1127" i="1"/>
  <c r="O710" i="1"/>
  <c r="P710" i="1"/>
  <c r="N710" i="1"/>
  <c r="O1091" i="1"/>
  <c r="P1091" i="1"/>
  <c r="N1091" i="1"/>
  <c r="L1028" i="1"/>
  <c r="O809" i="1"/>
  <c r="P809" i="1"/>
  <c r="N809" i="1"/>
  <c r="AK1069" i="1"/>
  <c r="R1069" i="1"/>
  <c r="AK781" i="1"/>
  <c r="R781" i="1"/>
  <c r="L781" i="1"/>
  <c r="H715" i="2"/>
  <c r="I715" i="2"/>
  <c r="N999" i="1"/>
  <c r="O999" i="1"/>
  <c r="P999" i="1"/>
  <c r="N994" i="1"/>
  <c r="O994" i="1"/>
  <c r="P994" i="1"/>
  <c r="O455" i="1"/>
  <c r="P455" i="1"/>
  <c r="L389" i="1"/>
  <c r="L153" i="1"/>
  <c r="H505" i="2"/>
  <c r="I505" i="2"/>
  <c r="O202" i="1"/>
  <c r="P202" i="1"/>
  <c r="O1060" i="1"/>
  <c r="P1060" i="1"/>
  <c r="O1070" i="1"/>
  <c r="P1070" i="1"/>
  <c r="L1004" i="1"/>
  <c r="O689" i="1"/>
  <c r="P689" i="1"/>
  <c r="L782" i="1"/>
  <c r="AK879" i="1"/>
  <c r="R879" i="1"/>
  <c r="AK58" i="1"/>
  <c r="R58" i="1"/>
  <c r="L58" i="1"/>
  <c r="AK764" i="1"/>
  <c r="R764" i="1"/>
  <c r="AK467" i="1"/>
  <c r="R467" i="1"/>
  <c r="AK807" i="1"/>
  <c r="R807" i="1"/>
  <c r="O680" i="1"/>
  <c r="P680" i="1"/>
  <c r="L1110" i="1"/>
  <c r="L467" i="1"/>
  <c r="AK1076" i="1"/>
  <c r="R1076" i="1"/>
  <c r="L1076" i="1"/>
  <c r="AK1070" i="1"/>
  <c r="R1070" i="1"/>
  <c r="L1049" i="1"/>
  <c r="AK1049" i="1"/>
  <c r="R1049" i="1"/>
  <c r="AK1034" i="1"/>
  <c r="R1034" i="1"/>
  <c r="H887" i="2"/>
  <c r="I887" i="2"/>
  <c r="L946" i="1"/>
  <c r="L1098" i="1"/>
  <c r="N776" i="1"/>
  <c r="N43" i="1"/>
  <c r="O1034" i="1"/>
  <c r="P1034" i="1"/>
  <c r="N670" i="1"/>
  <c r="O1055" i="1"/>
  <c r="P1055" i="1"/>
  <c r="L1081" i="1"/>
  <c r="O1024" i="1"/>
  <c r="P1024" i="1"/>
  <c r="L764" i="1"/>
  <c r="O1128" i="1"/>
  <c r="P1128" i="1"/>
  <c r="N1128" i="1"/>
  <c r="N1101" i="1"/>
  <c r="O1101" i="1"/>
  <c r="P1101" i="1"/>
  <c r="L789" i="1"/>
  <c r="N659" i="1"/>
  <c r="O659" i="1"/>
  <c r="P659" i="1"/>
  <c r="N442" i="1"/>
  <c r="O442" i="1"/>
  <c r="P442" i="1"/>
  <c r="O694" i="1"/>
  <c r="P694" i="1"/>
  <c r="AK1098" i="1"/>
  <c r="R1098" i="1"/>
  <c r="H75" i="2"/>
  <c r="I75" i="2"/>
  <c r="AK78" i="1"/>
  <c r="R78" i="1"/>
  <c r="H832" i="2"/>
  <c r="J832" i="2"/>
  <c r="K832" i="2"/>
  <c r="L991" i="1"/>
  <c r="H886" i="2"/>
  <c r="I886" i="2"/>
  <c r="AK1100" i="1"/>
  <c r="R1100" i="1"/>
  <c r="H199" i="2"/>
  <c r="J199" i="2"/>
  <c r="AK169" i="1"/>
  <c r="R169" i="1"/>
  <c r="AK407" i="1"/>
  <c r="R407" i="1"/>
  <c r="AK1095" i="1"/>
  <c r="R1095" i="1"/>
  <c r="H893" i="2"/>
  <c r="J893" i="2"/>
  <c r="O807" i="1"/>
  <c r="P807" i="1"/>
  <c r="N807" i="1"/>
  <c r="O407" i="1"/>
  <c r="P407" i="1"/>
  <c r="N407" i="1"/>
  <c r="O56" i="1"/>
  <c r="P56" i="1"/>
  <c r="AK961" i="1"/>
  <c r="R961" i="1"/>
  <c r="L961" i="1"/>
  <c r="AK309" i="1"/>
  <c r="R309" i="1"/>
  <c r="AK544" i="1"/>
  <c r="R544" i="1"/>
  <c r="N511" i="1"/>
  <c r="O511" i="1"/>
  <c r="P511" i="1"/>
  <c r="H409" i="2"/>
  <c r="I409" i="2"/>
  <c r="H898" i="2"/>
  <c r="I898" i="2"/>
  <c r="AK199" i="1"/>
  <c r="R199" i="1"/>
  <c r="O74" i="1"/>
  <c r="P74" i="1"/>
  <c r="N209" i="1"/>
  <c r="AK464" i="1"/>
  <c r="R464" i="1"/>
  <c r="O230" i="1"/>
  <c r="P230" i="1"/>
  <c r="L400" i="1"/>
  <c r="AK163" i="1"/>
  <c r="R163" i="1"/>
  <c r="H58" i="2"/>
  <c r="I58" i="2"/>
  <c r="AK475" i="1"/>
  <c r="R475" i="1"/>
  <c r="N163" i="1"/>
  <c r="N326" i="1"/>
  <c r="K702" i="2"/>
  <c r="N437" i="1"/>
  <c r="I702" i="2"/>
  <c r="H818" i="2"/>
  <c r="I818" i="2"/>
  <c r="AK234" i="1"/>
  <c r="R234" i="1"/>
  <c r="L308" i="1"/>
  <c r="AK308" i="1"/>
  <c r="R308" i="1"/>
  <c r="L193" i="1"/>
  <c r="AK1023" i="1"/>
  <c r="R1023" i="1"/>
  <c r="AK735" i="1"/>
  <c r="R735" i="1"/>
  <c r="L496" i="1"/>
  <c r="AK772" i="1"/>
  <c r="R772" i="1"/>
  <c r="O1094" i="1"/>
  <c r="P1094" i="1"/>
  <c r="O1053" i="1"/>
  <c r="P1053" i="1"/>
  <c r="AK1056" i="1"/>
  <c r="R1056" i="1"/>
  <c r="O1067" i="1"/>
  <c r="P1067" i="1"/>
  <c r="N1067" i="1"/>
  <c r="AK967" i="1"/>
  <c r="R967" i="1"/>
  <c r="O469" i="1"/>
  <c r="P469" i="1"/>
  <c r="N469" i="1"/>
  <c r="AK796" i="1"/>
  <c r="R796" i="1"/>
  <c r="L796" i="1"/>
  <c r="AK35" i="1"/>
  <c r="R35" i="1"/>
  <c r="L492" i="1"/>
  <c r="L234" i="1"/>
  <c r="L1040" i="1"/>
  <c r="O781" i="1"/>
  <c r="P781" i="1"/>
  <c r="N781" i="1"/>
  <c r="N542" i="1"/>
  <c r="O542" i="1"/>
  <c r="P542" i="1"/>
  <c r="H496" i="2"/>
  <c r="I496" i="2"/>
  <c r="AK380" i="1"/>
  <c r="R380" i="1"/>
  <c r="L441" i="1"/>
  <c r="AK73" i="1"/>
  <c r="R73" i="1"/>
  <c r="N180" i="1"/>
  <c r="AK1130" i="1"/>
  <c r="R1130" i="1"/>
  <c r="AK1116" i="1"/>
  <c r="R1116" i="1"/>
  <c r="AK1112" i="1"/>
  <c r="R1112" i="1"/>
  <c r="AK1103" i="1"/>
  <c r="R1103" i="1"/>
  <c r="O1073" i="1"/>
  <c r="P1073" i="1"/>
  <c r="N1073" i="1"/>
  <c r="N1039" i="1"/>
  <c r="O1039" i="1"/>
  <c r="P1039" i="1"/>
  <c r="AK698" i="1"/>
  <c r="R698" i="1"/>
  <c r="AK689" i="1"/>
  <c r="R689" i="1"/>
  <c r="AK536" i="1"/>
  <c r="R536" i="1"/>
  <c r="AK257" i="1"/>
  <c r="R257" i="1"/>
  <c r="O1112" i="1"/>
  <c r="P1112" i="1"/>
  <c r="AK1040" i="1"/>
  <c r="R1040" i="1"/>
  <c r="AK984" i="1"/>
  <c r="R984" i="1"/>
  <c r="AK972" i="1"/>
  <c r="R972" i="1"/>
  <c r="N731" i="1"/>
  <c r="O731" i="1"/>
  <c r="P731" i="1"/>
  <c r="AK688" i="1"/>
  <c r="R688" i="1"/>
  <c r="L233" i="1"/>
  <c r="O790" i="1"/>
  <c r="P790" i="1"/>
  <c r="O1032" i="1"/>
  <c r="P1032" i="1"/>
  <c r="O1020" i="1"/>
  <c r="P1020" i="1"/>
  <c r="L776" i="1"/>
  <c r="AK763" i="1"/>
  <c r="R763" i="1"/>
  <c r="N798" i="1"/>
  <c r="AK1006" i="1"/>
  <c r="R1006" i="1"/>
  <c r="L1006" i="1"/>
  <c r="H827" i="2"/>
  <c r="AK809" i="1"/>
  <c r="R809" i="1"/>
  <c r="O173" i="1"/>
  <c r="P173" i="1"/>
  <c r="AK827" i="1"/>
  <c r="R827" i="1"/>
  <c r="AK1091" i="1"/>
  <c r="R1091" i="1"/>
  <c r="O941" i="1"/>
  <c r="P941" i="1"/>
  <c r="N941" i="1"/>
  <c r="AK258" i="1"/>
  <c r="R258" i="1"/>
  <c r="N713" i="1"/>
  <c r="O713" i="1"/>
  <c r="P713" i="1"/>
  <c r="AK501" i="1"/>
  <c r="R501" i="1"/>
  <c r="H534" i="2"/>
  <c r="J534" i="2"/>
  <c r="AK338" i="1"/>
  <c r="R338" i="1"/>
  <c r="H440" i="2"/>
  <c r="I440" i="2"/>
  <c r="H808" i="2"/>
  <c r="I808" i="2"/>
  <c r="AK545" i="1"/>
  <c r="R545" i="1"/>
  <c r="H508" i="2"/>
  <c r="J508" i="2"/>
  <c r="N124" i="1"/>
  <c r="O124" i="1"/>
  <c r="P124" i="1"/>
  <c r="L661" i="1"/>
  <c r="AK167" i="1"/>
  <c r="R167" i="1"/>
  <c r="O98" i="1"/>
  <c r="P98" i="1"/>
  <c r="AK137" i="1"/>
  <c r="R137" i="1"/>
  <c r="L103" i="1"/>
  <c r="O474" i="1"/>
  <c r="P474" i="1"/>
  <c r="L202" i="1"/>
  <c r="AK414" i="1"/>
  <c r="R414" i="1"/>
  <c r="N432" i="1"/>
  <c r="L741" i="1"/>
  <c r="N371" i="1"/>
  <c r="L194" i="1"/>
  <c r="N683" i="1"/>
  <c r="O103" i="1"/>
  <c r="P103" i="1"/>
  <c r="AK421" i="1"/>
  <c r="R421" i="1"/>
  <c r="AK188" i="1"/>
  <c r="R188" i="1"/>
  <c r="N491" i="1"/>
  <c r="N749" i="1"/>
  <c r="L475" i="1"/>
  <c r="AK368" i="1"/>
  <c r="R368" i="1"/>
  <c r="L368" i="1"/>
  <c r="L297" i="1"/>
  <c r="H383" i="2"/>
  <c r="N24" i="1"/>
  <c r="N533" i="1"/>
  <c r="O533" i="1"/>
  <c r="P533" i="1"/>
  <c r="L717" i="1"/>
  <c r="AK717" i="1"/>
  <c r="R717" i="1"/>
  <c r="N671" i="1"/>
  <c r="O671" i="1"/>
  <c r="P671" i="1"/>
  <c r="N547" i="1"/>
  <c r="O547" i="1"/>
  <c r="P547" i="1"/>
  <c r="H698" i="2"/>
  <c r="I698" i="2"/>
  <c r="AK533" i="1"/>
  <c r="R533" i="1"/>
  <c r="AK519" i="1"/>
  <c r="R519" i="1"/>
  <c r="AK1001" i="1"/>
  <c r="R1001" i="1"/>
  <c r="L1001" i="1"/>
  <c r="O967" i="1"/>
  <c r="P967" i="1"/>
  <c r="N967" i="1"/>
  <c r="H835" i="2"/>
  <c r="I835" i="2"/>
  <c r="L537" i="1"/>
  <c r="AK523" i="1"/>
  <c r="R523" i="1"/>
  <c r="L523" i="1"/>
  <c r="AK515" i="1"/>
  <c r="R515" i="1"/>
  <c r="L515" i="1"/>
  <c r="AK37" i="1"/>
  <c r="R37" i="1"/>
  <c r="N975" i="1"/>
  <c r="O975" i="1"/>
  <c r="P975" i="1"/>
  <c r="AK979" i="1"/>
  <c r="R979" i="1"/>
  <c r="L979" i="1"/>
  <c r="AK655" i="1"/>
  <c r="R655" i="1"/>
  <c r="L655" i="1"/>
  <c r="N492" i="1"/>
  <c r="N654" i="1"/>
  <c r="O1021" i="1"/>
  <c r="P1021" i="1"/>
  <c r="N1021" i="1"/>
  <c r="N1013" i="1"/>
  <c r="O1013" i="1"/>
  <c r="P1013" i="1"/>
  <c r="AK992" i="1"/>
  <c r="R992" i="1"/>
  <c r="AK985" i="1"/>
  <c r="R985" i="1"/>
  <c r="L985" i="1"/>
  <c r="L981" i="1"/>
  <c r="AK981" i="1"/>
  <c r="R981" i="1"/>
  <c r="L965" i="1"/>
  <c r="O783" i="1"/>
  <c r="P783" i="1"/>
  <c r="N783" i="1"/>
  <c r="O515" i="1"/>
  <c r="P515" i="1"/>
  <c r="N965" i="1"/>
  <c r="L795" i="2"/>
  <c r="M795" i="2"/>
  <c r="K795" i="2"/>
  <c r="AK1026" i="1"/>
  <c r="R1026" i="1"/>
  <c r="H841" i="2"/>
  <c r="J841" i="2"/>
  <c r="L841" i="2"/>
  <c r="M841" i="2"/>
  <c r="H807" i="2"/>
  <c r="O653" i="1"/>
  <c r="P653" i="1"/>
  <c r="L1026" i="1"/>
  <c r="N453" i="1"/>
  <c r="N37" i="1"/>
  <c r="N1011" i="1"/>
  <c r="L1011" i="1"/>
  <c r="N983" i="1"/>
  <c r="O983" i="1"/>
  <c r="P983" i="1"/>
  <c r="O774" i="1"/>
  <c r="P774" i="1"/>
  <c r="N774" i="1"/>
  <c r="N992" i="1"/>
  <c r="N985" i="1"/>
  <c r="O985" i="1"/>
  <c r="P985" i="1"/>
  <c r="O543" i="1"/>
  <c r="P543" i="1"/>
  <c r="N543" i="1"/>
  <c r="N537" i="1"/>
  <c r="O537" i="1"/>
  <c r="P537" i="1"/>
  <c r="N519" i="1"/>
  <c r="O519" i="1"/>
  <c r="P519" i="1"/>
  <c r="AK502" i="1"/>
  <c r="R502" i="1"/>
  <c r="L502" i="1"/>
  <c r="N814" i="1"/>
  <c r="N650" i="1"/>
  <c r="N799" i="1"/>
  <c r="N997" i="1"/>
  <c r="AK1011" i="1"/>
  <c r="R1011" i="1"/>
  <c r="L653" i="1"/>
  <c r="AK1021" i="1"/>
  <c r="R1021" i="1"/>
  <c r="AK799" i="1"/>
  <c r="R799" i="1"/>
  <c r="H712" i="2"/>
  <c r="J712" i="2"/>
  <c r="N518" i="1"/>
  <c r="O518" i="1"/>
  <c r="P518" i="1"/>
  <c r="O514" i="1"/>
  <c r="P514" i="1"/>
  <c r="N514" i="1"/>
  <c r="AK178" i="1"/>
  <c r="R178" i="1"/>
  <c r="H50" i="2"/>
  <c r="J50" i="2"/>
  <c r="AK790" i="1"/>
  <c r="R790" i="1"/>
  <c r="H32" i="2"/>
  <c r="I32" i="2"/>
  <c r="AK34" i="1"/>
  <c r="R34" i="1"/>
  <c r="AK247" i="1"/>
  <c r="R247" i="1"/>
  <c r="O766" i="1"/>
  <c r="P766" i="1"/>
  <c r="AK45" i="1"/>
  <c r="AK651" i="1"/>
  <c r="R651" i="1"/>
  <c r="L1132" i="1"/>
  <c r="AK1132" i="1"/>
  <c r="R1132" i="1"/>
  <c r="AK1111" i="1"/>
  <c r="R1111" i="1"/>
  <c r="AK1060" i="1"/>
  <c r="R1060" i="1"/>
  <c r="AK1055" i="1"/>
  <c r="R1055" i="1"/>
  <c r="O800" i="1"/>
  <c r="P800" i="1"/>
  <c r="N800" i="1"/>
  <c r="O782" i="1"/>
  <c r="P782" i="1"/>
  <c r="N782" i="1"/>
  <c r="L766" i="1"/>
  <c r="AK766" i="1"/>
  <c r="R766" i="1"/>
  <c r="L732" i="1"/>
  <c r="AK732" i="1"/>
  <c r="R732" i="1"/>
  <c r="H780" i="2"/>
  <c r="J780" i="2"/>
  <c r="AK696" i="1"/>
  <c r="R696" i="1"/>
  <c r="O236" i="1"/>
  <c r="P236" i="1"/>
  <c r="N236" i="1"/>
  <c r="AK184" i="1"/>
  <c r="R184" i="1"/>
  <c r="AK170" i="1"/>
  <c r="R170" i="1"/>
  <c r="AK93" i="1"/>
  <c r="R93" i="1"/>
  <c r="H774" i="2"/>
  <c r="L17" i="1"/>
  <c r="O536" i="1"/>
  <c r="P536" i="1"/>
  <c r="O716" i="1"/>
  <c r="P716" i="1"/>
  <c r="N1054" i="1"/>
  <c r="AK17" i="1"/>
  <c r="R17" i="1"/>
  <c r="AK233" i="1"/>
  <c r="R233" i="1"/>
  <c r="AK1067" i="1"/>
  <c r="R1067" i="1"/>
  <c r="AK1065" i="1"/>
  <c r="R1065" i="1"/>
  <c r="O1049" i="1"/>
  <c r="P1049" i="1"/>
  <c r="O1030" i="1"/>
  <c r="P1030" i="1"/>
  <c r="H839" i="2"/>
  <c r="AK800" i="1"/>
  <c r="R800" i="1"/>
  <c r="L285" i="1"/>
  <c r="AK285" i="1"/>
  <c r="R285" i="1"/>
  <c r="AK1064" i="1"/>
  <c r="R1064" i="1"/>
  <c r="AK962" i="1"/>
  <c r="R962" i="1"/>
  <c r="AK948" i="1"/>
  <c r="R948" i="1"/>
  <c r="AK183" i="1"/>
  <c r="R183" i="1"/>
  <c r="H151" i="2"/>
  <c r="I151" i="2"/>
  <c r="H77" i="2"/>
  <c r="I77" i="2"/>
  <c r="L442" i="1"/>
  <c r="AK442" i="1"/>
  <c r="R442" i="1"/>
  <c r="O406" i="1"/>
  <c r="P406" i="1"/>
  <c r="AK1084" i="1"/>
  <c r="R1084" i="1"/>
  <c r="AK1039" i="1"/>
  <c r="R1039" i="1"/>
  <c r="AK989" i="1"/>
  <c r="R989" i="1"/>
  <c r="L206" i="1"/>
  <c r="H251" i="2"/>
  <c r="I251" i="2"/>
  <c r="AK424" i="1"/>
  <c r="R424" i="1"/>
  <c r="L189" i="1"/>
  <c r="J503" i="2"/>
  <c r="K503" i="2"/>
  <c r="L739" i="1"/>
  <c r="L742" i="1"/>
  <c r="N757" i="1"/>
  <c r="L761" i="1"/>
  <c r="N810" i="1"/>
  <c r="AK267" i="1"/>
  <c r="R267" i="1"/>
  <c r="AK877" i="1"/>
  <c r="R877" i="1"/>
  <c r="L495" i="1"/>
  <c r="AK749" i="1"/>
  <c r="R749" i="1"/>
  <c r="O761" i="1"/>
  <c r="P761" i="1"/>
  <c r="L815" i="1"/>
  <c r="H824" i="2"/>
  <c r="I824" i="2"/>
  <c r="AK441" i="1"/>
  <c r="R441" i="1"/>
  <c r="N705" i="1"/>
  <c r="L64" i="1"/>
  <c r="O100" i="1"/>
  <c r="P100" i="1"/>
  <c r="L424" i="1"/>
  <c r="H815" i="2"/>
  <c r="I815" i="2"/>
  <c r="L747" i="1"/>
  <c r="N751" i="1"/>
  <c r="AK1028" i="1"/>
  <c r="R1028" i="1"/>
  <c r="L309" i="1"/>
  <c r="AK71" i="1"/>
  <c r="R71" i="1"/>
  <c r="AK704" i="1"/>
  <c r="R704" i="1"/>
  <c r="O96" i="1"/>
  <c r="P96" i="1"/>
  <c r="AK987" i="1"/>
  <c r="R987" i="1"/>
  <c r="L407" i="1"/>
  <c r="AK252" i="1"/>
  <c r="R252" i="1"/>
  <c r="L121" i="1"/>
  <c r="L804" i="1"/>
  <c r="AK462" i="1"/>
  <c r="R462" i="1"/>
  <c r="N210" i="1"/>
  <c r="N438" i="1"/>
  <c r="L403" i="1"/>
  <c r="L155" i="1"/>
  <c r="O352" i="1"/>
  <c r="P352" i="1"/>
  <c r="AK816" i="1"/>
  <c r="R816" i="1"/>
  <c r="L673" i="1"/>
  <c r="H732" i="2"/>
  <c r="I732" i="2"/>
  <c r="O253" i="1"/>
  <c r="P253" i="1"/>
  <c r="AK206" i="1"/>
  <c r="R206" i="1"/>
  <c r="O144" i="1"/>
  <c r="P144" i="1"/>
  <c r="AK190" i="1"/>
  <c r="R190" i="1"/>
  <c r="AK151" i="1"/>
  <c r="R151" i="1"/>
  <c r="AK491" i="1"/>
  <c r="R491" i="1"/>
  <c r="L494" i="1"/>
  <c r="H680" i="2"/>
  <c r="I680" i="2"/>
  <c r="AK31" i="1"/>
  <c r="R31" i="1"/>
  <c r="L253" i="1"/>
  <c r="AK307" i="1"/>
  <c r="R307" i="1"/>
  <c r="AK144" i="1"/>
  <c r="R144" i="1"/>
  <c r="N422" i="1"/>
  <c r="L371" i="1"/>
  <c r="H485" i="2"/>
  <c r="J485" i="2"/>
  <c r="L485" i="2"/>
  <c r="M485" i="2"/>
  <c r="L324" i="1"/>
  <c r="AK854" i="1"/>
  <c r="R854" i="1"/>
  <c r="H816" i="2"/>
  <c r="J816" i="2"/>
  <c r="L816" i="2"/>
  <c r="M816" i="2"/>
  <c r="AK746" i="1"/>
  <c r="R746" i="1"/>
  <c r="K785" i="2"/>
  <c r="L1057" i="2"/>
  <c r="M1057" i="2"/>
  <c r="K1019" i="2"/>
  <c r="J1048" i="2"/>
  <c r="K1048" i="2"/>
  <c r="I1048" i="2"/>
  <c r="J1064" i="2"/>
  <c r="K1064" i="2"/>
  <c r="I1064" i="2"/>
  <c r="J847" i="2"/>
  <c r="I856" i="2"/>
  <c r="K878" i="2"/>
  <c r="L803" i="2"/>
  <c r="M803" i="2"/>
  <c r="I523" i="2"/>
  <c r="J659" i="2"/>
  <c r="K659" i="2"/>
  <c r="H429" i="2"/>
  <c r="L333" i="1"/>
  <c r="K1077" i="2"/>
  <c r="L1077" i="2"/>
  <c r="M1077" i="2"/>
  <c r="O795" i="1"/>
  <c r="P795" i="1"/>
  <c r="N795" i="1"/>
  <c r="L650" i="1"/>
  <c r="AK650" i="1"/>
  <c r="R650" i="1"/>
  <c r="O36" i="1"/>
  <c r="P36" i="1"/>
  <c r="N36" i="1"/>
  <c r="L814" i="1"/>
  <c r="AK978" i="1"/>
  <c r="R978" i="1"/>
  <c r="L978" i="1"/>
  <c r="H955" i="2"/>
  <c r="L547" i="1"/>
  <c r="L543" i="1"/>
  <c r="AK543" i="1"/>
  <c r="R543" i="1"/>
  <c r="N199" i="1"/>
  <c r="O199" i="1"/>
  <c r="P199" i="1"/>
  <c r="O184" i="1"/>
  <c r="P184" i="1"/>
  <c r="N184" i="1"/>
  <c r="N170" i="1"/>
  <c r="O170" i="1"/>
  <c r="P170" i="1"/>
  <c r="AK89" i="1"/>
  <c r="R89" i="1"/>
  <c r="L89" i="1"/>
  <c r="H87" i="2"/>
  <c r="I87" i="2"/>
  <c r="AK83" i="1"/>
  <c r="R83" i="1"/>
  <c r="L860" i="2"/>
  <c r="M860" i="2"/>
  <c r="L83" i="1"/>
  <c r="AK670" i="1"/>
  <c r="R670" i="1"/>
  <c r="AK314" i="1"/>
  <c r="R314" i="1"/>
  <c r="H298" i="2"/>
  <c r="J298" i="2"/>
  <c r="AK236" i="1"/>
  <c r="R236" i="1"/>
  <c r="H219" i="2"/>
  <c r="I219" i="2"/>
  <c r="AK180" i="1"/>
  <c r="R180" i="1"/>
  <c r="L180" i="1"/>
  <c r="N177" i="1"/>
  <c r="O177" i="1"/>
  <c r="P177" i="1"/>
  <c r="AK173" i="1"/>
  <c r="R173" i="1"/>
  <c r="L409" i="1"/>
  <c r="AK409" i="1"/>
  <c r="R409" i="1"/>
  <c r="AK508" i="1"/>
  <c r="R508" i="1"/>
  <c r="L1089" i="2"/>
  <c r="M1089" i="2"/>
  <c r="K1089" i="2"/>
  <c r="N1081" i="1"/>
  <c r="O1081" i="1"/>
  <c r="P1081" i="1"/>
  <c r="O1074" i="1"/>
  <c r="P1074" i="1"/>
  <c r="N1074" i="1"/>
  <c r="AK453" i="1"/>
  <c r="R453" i="1"/>
  <c r="L453" i="1"/>
  <c r="AK378" i="1"/>
  <c r="R378" i="1"/>
  <c r="L378" i="1"/>
  <c r="N763" i="1"/>
  <c r="O763" i="1"/>
  <c r="P763" i="1"/>
  <c r="AK408" i="1"/>
  <c r="R408" i="1"/>
  <c r="H654" i="2"/>
  <c r="J654" i="2"/>
  <c r="O692" i="1"/>
  <c r="P692" i="1"/>
  <c r="N692" i="1"/>
  <c r="O291" i="1"/>
  <c r="P291" i="1"/>
  <c r="N291" i="1"/>
  <c r="O259" i="1"/>
  <c r="P259" i="1"/>
  <c r="N259" i="1"/>
  <c r="L793" i="1"/>
  <c r="H820" i="2"/>
  <c r="J820" i="2"/>
  <c r="O501" i="1"/>
  <c r="P501" i="1"/>
  <c r="AK349" i="1"/>
  <c r="R349" i="1"/>
  <c r="O779" i="1"/>
  <c r="P779" i="1"/>
  <c r="N779" i="1"/>
  <c r="N775" i="1"/>
  <c r="O775" i="1"/>
  <c r="P775" i="1"/>
  <c r="N93" i="1"/>
  <c r="O93" i="1"/>
  <c r="P93" i="1"/>
  <c r="O79" i="1"/>
  <c r="P79" i="1"/>
  <c r="N79" i="1"/>
  <c r="N45" i="1"/>
  <c r="O45" i="1"/>
  <c r="P45" i="1"/>
  <c r="I860" i="2"/>
  <c r="N679" i="1"/>
  <c r="O679" i="1"/>
  <c r="P679" i="1"/>
  <c r="N513" i="1"/>
  <c r="O513" i="1"/>
  <c r="P513" i="1"/>
  <c r="K764" i="2"/>
  <c r="N979" i="1"/>
  <c r="O292" i="1"/>
  <c r="P292" i="1"/>
  <c r="N131" i="1"/>
  <c r="AK1035" i="1"/>
  <c r="R1035" i="1"/>
  <c r="L1035" i="1"/>
  <c r="H443" i="2"/>
  <c r="J443" i="2"/>
  <c r="H378" i="2"/>
  <c r="I378" i="2"/>
  <c r="L798" i="1"/>
  <c r="L478" i="1"/>
  <c r="N381" i="1"/>
  <c r="O381" i="1"/>
  <c r="P381" i="1"/>
  <c r="H435" i="2"/>
  <c r="I435" i="2"/>
  <c r="O34" i="1"/>
  <c r="P34" i="1"/>
  <c r="N34" i="1"/>
  <c r="AK976" i="1"/>
  <c r="R976" i="1"/>
  <c r="L976" i="1"/>
  <c r="O314" i="1"/>
  <c r="P314" i="1"/>
  <c r="AK478" i="1"/>
  <c r="R478" i="1"/>
  <c r="AK1114" i="1"/>
  <c r="R1114" i="1"/>
  <c r="N1108" i="1"/>
  <c r="O1108" i="1"/>
  <c r="P1108" i="1"/>
  <c r="N1052" i="1"/>
  <c r="O1052" i="1"/>
  <c r="P1052" i="1"/>
  <c r="AK1045" i="1"/>
  <c r="R1045" i="1"/>
  <c r="L1045" i="1"/>
  <c r="O998" i="1"/>
  <c r="P998" i="1"/>
  <c r="N998" i="1"/>
  <c r="O993" i="1"/>
  <c r="P993" i="1"/>
  <c r="N993" i="1"/>
  <c r="O971" i="1"/>
  <c r="P971" i="1"/>
  <c r="N971" i="1"/>
  <c r="N1127" i="1"/>
  <c r="O1127" i="1"/>
  <c r="P1127" i="1"/>
  <c r="AK1108" i="1"/>
  <c r="R1108" i="1"/>
  <c r="L1108" i="1"/>
  <c r="O1001" i="1"/>
  <c r="P1001" i="1"/>
  <c r="N1001" i="1"/>
  <c r="H844" i="2"/>
  <c r="AK687" i="1"/>
  <c r="R687" i="1"/>
  <c r="AK679" i="1"/>
  <c r="R679" i="1"/>
  <c r="H731" i="2"/>
  <c r="H837" i="2"/>
  <c r="AK1029" i="1"/>
  <c r="R1029" i="1"/>
  <c r="H895" i="2"/>
  <c r="N732" i="1"/>
  <c r="O732" i="1"/>
  <c r="P732" i="1"/>
  <c r="AK1089" i="1"/>
  <c r="R1089" i="1"/>
  <c r="N534" i="1"/>
  <c r="O534" i="1"/>
  <c r="P534" i="1"/>
  <c r="H653" i="2"/>
  <c r="I653" i="2"/>
  <c r="N129" i="1"/>
  <c r="O129" i="1"/>
  <c r="P129" i="1"/>
  <c r="AK1099" i="1"/>
  <c r="R1099" i="1"/>
  <c r="AK1096" i="1"/>
  <c r="R1096" i="1"/>
  <c r="AK520" i="1"/>
  <c r="R520" i="1"/>
  <c r="AK1003" i="1"/>
  <c r="R1003" i="1"/>
  <c r="N990" i="1"/>
  <c r="O990" i="1"/>
  <c r="P990" i="1"/>
  <c r="AK1058" i="1"/>
  <c r="R1058" i="1"/>
  <c r="H407" i="2"/>
  <c r="J407" i="2"/>
  <c r="N308" i="1"/>
  <c r="O308" i="1"/>
  <c r="P308" i="1"/>
  <c r="O285" i="1"/>
  <c r="P285" i="1"/>
  <c r="N409" i="1"/>
  <c r="N219" i="1"/>
  <c r="O905" i="1"/>
  <c r="P905" i="1"/>
  <c r="O22" i="1"/>
  <c r="P22" i="1"/>
  <c r="N703" i="1"/>
  <c r="N376" i="1"/>
  <c r="O194" i="1"/>
  <c r="P194" i="1"/>
  <c r="N423" i="1"/>
  <c r="N320" i="1"/>
  <c r="AK274" i="1"/>
  <c r="R274" i="1"/>
  <c r="N429" i="1"/>
  <c r="O95" i="1"/>
  <c r="P95" i="1"/>
  <c r="AK68" i="1"/>
  <c r="R68" i="1"/>
  <c r="O355" i="1"/>
  <c r="P355" i="1"/>
  <c r="AK490" i="1"/>
  <c r="R490" i="1"/>
  <c r="O744" i="1"/>
  <c r="P744" i="1"/>
  <c r="O739" i="1"/>
  <c r="P739" i="1"/>
  <c r="AK756" i="1"/>
  <c r="R756" i="1"/>
  <c r="L506" i="1"/>
  <c r="O26" i="1"/>
  <c r="P26" i="1"/>
  <c r="N549" i="1"/>
  <c r="AK22" i="1"/>
  <c r="R22" i="1"/>
  <c r="N662" i="1"/>
  <c r="O385" i="1"/>
  <c r="P385" i="1"/>
  <c r="O461" i="1"/>
  <c r="P461" i="1"/>
  <c r="N426" i="1"/>
  <c r="AK295" i="1"/>
  <c r="R295" i="1"/>
  <c r="N402" i="1"/>
  <c r="O86" i="1"/>
  <c r="P86" i="1"/>
  <c r="N414" i="1"/>
  <c r="K256" i="2"/>
  <c r="N752" i="1"/>
  <c r="L23" i="1"/>
  <c r="N667" i="1"/>
  <c r="AK703" i="1"/>
  <c r="R703" i="1"/>
  <c r="N361" i="1"/>
  <c r="O110" i="1"/>
  <c r="P110" i="1"/>
  <c r="N410" i="1"/>
  <c r="O213" i="1"/>
  <c r="P213" i="1"/>
  <c r="O167" i="1"/>
  <c r="P167" i="1"/>
  <c r="N802" i="1"/>
  <c r="N462" i="1"/>
  <c r="L423" i="1"/>
  <c r="H546" i="2"/>
  <c r="I546" i="2"/>
  <c r="N270" i="1"/>
  <c r="N322" i="1"/>
  <c r="O151" i="1"/>
  <c r="P151" i="1"/>
  <c r="AK153" i="1"/>
  <c r="R153" i="1"/>
  <c r="L208" i="1"/>
  <c r="O754" i="1"/>
  <c r="P754" i="1"/>
  <c r="AK665" i="1"/>
  <c r="R665" i="1"/>
  <c r="AK229" i="1"/>
  <c r="R229" i="1"/>
  <c r="N112" i="1"/>
  <c r="AK449" i="1"/>
  <c r="R449" i="1"/>
  <c r="AK268" i="1"/>
  <c r="R268" i="1"/>
  <c r="AK299" i="1"/>
  <c r="R299" i="1"/>
  <c r="AK189" i="1"/>
  <c r="R189" i="1"/>
  <c r="L299" i="1"/>
  <c r="O675" i="1"/>
  <c r="P675" i="1"/>
  <c r="O166" i="1"/>
  <c r="P166" i="1"/>
  <c r="AK215" i="1"/>
  <c r="R215" i="1"/>
  <c r="O76" i="1"/>
  <c r="P76" i="1"/>
  <c r="N325" i="1"/>
  <c r="AK297" i="1"/>
  <c r="R297" i="1"/>
  <c r="L760" i="1"/>
  <c r="H830" i="2"/>
  <c r="J830" i="2"/>
  <c r="K830" i="2"/>
  <c r="O375" i="1"/>
  <c r="P375" i="1"/>
  <c r="N321" i="1"/>
  <c r="AK815" i="1"/>
  <c r="R815" i="1"/>
  <c r="AK1017" i="1"/>
  <c r="R1017" i="1"/>
  <c r="L1017" i="1"/>
  <c r="O1000" i="1"/>
  <c r="P1000" i="1"/>
  <c r="N1000" i="1"/>
  <c r="AK997" i="1"/>
  <c r="R997" i="1"/>
  <c r="N818" i="1"/>
  <c r="O818" i="1"/>
  <c r="P818" i="1"/>
  <c r="L993" i="2"/>
  <c r="M993" i="2"/>
  <c r="O1051" i="1"/>
  <c r="P1051" i="1"/>
  <c r="N1051" i="1"/>
  <c r="H493" i="2"/>
  <c r="J493" i="2"/>
  <c r="AK379" i="1"/>
  <c r="R379" i="1"/>
  <c r="N789" i="1"/>
  <c r="O789" i="1"/>
  <c r="P789" i="1"/>
  <c r="AK1053" i="1"/>
  <c r="R1053" i="1"/>
  <c r="AK357" i="1"/>
  <c r="R357" i="1"/>
  <c r="L357" i="1"/>
  <c r="AK990" i="1"/>
  <c r="R990" i="1"/>
  <c r="N701" i="1"/>
  <c r="O701" i="1"/>
  <c r="P701" i="1"/>
  <c r="AK692" i="1"/>
  <c r="R692" i="1"/>
  <c r="L469" i="1"/>
  <c r="O17" i="1"/>
  <c r="P17" i="1"/>
  <c r="H819" i="2"/>
  <c r="J819" i="2"/>
  <c r="AK1093" i="1"/>
  <c r="R1093" i="1"/>
  <c r="AK716" i="1"/>
  <c r="R716" i="1"/>
  <c r="AK701" i="1"/>
  <c r="R701" i="1"/>
  <c r="AK537" i="1"/>
  <c r="R537" i="1"/>
  <c r="H288" i="2"/>
  <c r="J288" i="2"/>
  <c r="L440" i="1"/>
  <c r="L517" i="1"/>
  <c r="AK1024" i="1"/>
  <c r="R1024" i="1"/>
  <c r="AK1047" i="1"/>
  <c r="R1047" i="1"/>
  <c r="AK1124" i="1"/>
  <c r="R1124" i="1"/>
  <c r="AK1090" i="1"/>
  <c r="R1090" i="1"/>
  <c r="AK998" i="1"/>
  <c r="R998" i="1"/>
  <c r="AK993" i="1"/>
  <c r="R993" i="1"/>
  <c r="N651" i="1"/>
  <c r="L349" i="1"/>
  <c r="AK517" i="1"/>
  <c r="R517" i="1"/>
  <c r="AK1115" i="1"/>
  <c r="R1115" i="1"/>
  <c r="AK945" i="1"/>
  <c r="R945" i="1"/>
  <c r="AK939" i="1"/>
  <c r="R939" i="1"/>
  <c r="AK668" i="1"/>
  <c r="R668" i="1"/>
  <c r="L668" i="1"/>
  <c r="H720" i="2"/>
  <c r="O328" i="1"/>
  <c r="P328" i="1"/>
  <c r="O1087" i="1"/>
  <c r="P1087" i="1"/>
  <c r="AK339" i="1"/>
  <c r="R339" i="1"/>
  <c r="AK943" i="1"/>
  <c r="R943" i="1"/>
  <c r="AK1046" i="1"/>
  <c r="R1046" i="1"/>
  <c r="O183" i="1"/>
  <c r="P183" i="1"/>
  <c r="N183" i="1"/>
  <c r="AK492" i="1"/>
  <c r="R492" i="1"/>
  <c r="AK79" i="1"/>
  <c r="R79" i="1"/>
  <c r="N678" i="1"/>
  <c r="O678" i="1"/>
  <c r="P678" i="1"/>
  <c r="AK365" i="1"/>
  <c r="R365" i="1"/>
  <c r="AK535" i="1"/>
  <c r="R535" i="1"/>
  <c r="L522" i="1"/>
  <c r="H693" i="2"/>
  <c r="AK1013" i="1"/>
  <c r="R1013" i="1"/>
  <c r="AK445" i="1"/>
  <c r="R445" i="1"/>
  <c r="L445" i="1"/>
  <c r="N58" i="1"/>
  <c r="AK1054" i="1"/>
  <c r="R1054" i="1"/>
  <c r="AK947" i="1"/>
  <c r="R947" i="1"/>
  <c r="N360" i="1"/>
  <c r="N304" i="1"/>
  <c r="O304" i="1"/>
  <c r="P304" i="1"/>
  <c r="N73" i="1"/>
  <c r="O73" i="1"/>
  <c r="P73" i="1"/>
  <c r="AK1073" i="1"/>
  <c r="R1073" i="1"/>
  <c r="L177" i="1"/>
  <c r="AK329" i="1"/>
  <c r="R329" i="1"/>
  <c r="L329" i="1"/>
  <c r="L448" i="1"/>
  <c r="AK448" i="1"/>
  <c r="R448" i="1"/>
  <c r="L57" i="1"/>
  <c r="N441" i="1"/>
  <c r="L73" i="1"/>
  <c r="N457" i="1"/>
  <c r="AK487" i="1"/>
  <c r="R487" i="1"/>
  <c r="AK220" i="1"/>
  <c r="R220" i="1"/>
  <c r="L729" i="1"/>
  <c r="N901" i="1"/>
  <c r="N334" i="1"/>
  <c r="O476" i="1"/>
  <c r="P476" i="1"/>
  <c r="L422" i="1"/>
  <c r="AK437" i="1"/>
  <c r="R437" i="1"/>
  <c r="AK432" i="1"/>
  <c r="R432" i="1"/>
  <c r="N263" i="1"/>
  <c r="N154" i="1"/>
  <c r="L85" i="1"/>
  <c r="O421" i="1"/>
  <c r="P421" i="1"/>
  <c r="O241" i="1"/>
  <c r="P241" i="1"/>
  <c r="AK821" i="1"/>
  <c r="R821" i="1"/>
  <c r="L504" i="1"/>
  <c r="O708" i="1"/>
  <c r="P708" i="1"/>
  <c r="L752" i="1"/>
  <c r="N816" i="1"/>
  <c r="AK666" i="1"/>
  <c r="R666" i="1"/>
  <c r="AK768" i="1"/>
  <c r="R768" i="1"/>
  <c r="O674" i="1"/>
  <c r="P674" i="1"/>
  <c r="H765" i="2"/>
  <c r="J765" i="2"/>
  <c r="L765" i="2"/>
  <c r="M765" i="2"/>
  <c r="AK249" i="1"/>
  <c r="R249" i="1"/>
  <c r="AK251" i="1"/>
  <c r="R251" i="1"/>
  <c r="AK284" i="1"/>
  <c r="R284" i="1"/>
  <c r="AK116" i="1"/>
  <c r="R116" i="1"/>
  <c r="N143" i="1"/>
  <c r="AK203" i="1"/>
  <c r="R203" i="1"/>
  <c r="O101" i="1"/>
  <c r="P101" i="1"/>
  <c r="AK147" i="1"/>
  <c r="R147" i="1"/>
  <c r="L434" i="1"/>
  <c r="N753" i="1"/>
  <c r="N676" i="1"/>
  <c r="H733" i="2"/>
  <c r="I733" i="2"/>
  <c r="AK62" i="1"/>
  <c r="R62" i="1"/>
  <c r="L110" i="1"/>
  <c r="AK457" i="1"/>
  <c r="R457" i="1"/>
  <c r="L141" i="1"/>
  <c r="O806" i="1"/>
  <c r="P806" i="1"/>
  <c r="O81" i="1"/>
  <c r="P81" i="1"/>
  <c r="AK135" i="1"/>
  <c r="R135" i="1"/>
  <c r="L150" i="1"/>
  <c r="L438" i="1"/>
  <c r="L203" i="1"/>
  <c r="AK904" i="1"/>
  <c r="R904" i="1"/>
  <c r="O746" i="1"/>
  <c r="P746" i="1"/>
  <c r="N481" i="1"/>
  <c r="AK856" i="1"/>
  <c r="R856" i="1"/>
  <c r="AK769" i="1"/>
  <c r="R769" i="1"/>
  <c r="O75" i="1"/>
  <c r="P75" i="1"/>
  <c r="L361" i="1"/>
  <c r="L249" i="1"/>
  <c r="AK510" i="1"/>
  <c r="R510" i="1"/>
  <c r="AK194" i="1"/>
  <c r="R194" i="1"/>
  <c r="L231" i="1"/>
  <c r="N415" i="1"/>
  <c r="AK266" i="1"/>
  <c r="R266" i="1"/>
  <c r="O135" i="1"/>
  <c r="P135" i="1"/>
  <c r="H167" i="2"/>
  <c r="I167" i="2"/>
  <c r="H537" i="2"/>
  <c r="J537" i="2"/>
  <c r="K537" i="2"/>
  <c r="AK748" i="1"/>
  <c r="R748" i="1"/>
  <c r="O408" i="1"/>
  <c r="P408" i="1"/>
  <c r="H473" i="2"/>
  <c r="J473" i="2"/>
  <c r="L483" i="1"/>
  <c r="L878" i="1"/>
  <c r="AK21" i="1"/>
  <c r="R21" i="1"/>
  <c r="L676" i="1"/>
  <c r="O383" i="1"/>
  <c r="P383" i="1"/>
  <c r="AK901" i="1"/>
  <c r="R901" i="1"/>
  <c r="O374" i="1"/>
  <c r="P374" i="1"/>
  <c r="O335" i="1"/>
  <c r="P335" i="1"/>
  <c r="H528" i="2"/>
  <c r="I528" i="2"/>
  <c r="L510" i="1"/>
  <c r="AK195" i="1"/>
  <c r="R195" i="1"/>
  <c r="AK162" i="1"/>
  <c r="R162" i="1"/>
  <c r="AK288" i="1"/>
  <c r="R288" i="1"/>
  <c r="AK461" i="1"/>
  <c r="R461" i="1"/>
  <c r="AK404" i="1"/>
  <c r="R404" i="1"/>
  <c r="O99" i="1"/>
  <c r="P99" i="1"/>
  <c r="AK263" i="1"/>
  <c r="R263" i="1"/>
  <c r="O66" i="1"/>
  <c r="P66" i="1"/>
  <c r="AK345" i="1"/>
  <c r="R345" i="1"/>
  <c r="N430" i="1"/>
  <c r="L190" i="1"/>
  <c r="H230" i="2"/>
  <c r="H117" i="2"/>
  <c r="N741" i="1"/>
  <c r="O742" i="1"/>
  <c r="P742" i="1"/>
  <c r="N759" i="1"/>
  <c r="L816" i="1"/>
  <c r="H825" i="2"/>
  <c r="I825" i="2"/>
  <c r="O49" i="1"/>
  <c r="P49" i="1"/>
  <c r="AK484" i="1"/>
  <c r="R484" i="1"/>
  <c r="L528" i="1"/>
  <c r="L548" i="1"/>
  <c r="H709" i="2"/>
  <c r="J709" i="2"/>
  <c r="L709" i="2"/>
  <c r="M709" i="2"/>
  <c r="AK110" i="1"/>
  <c r="R110" i="1"/>
  <c r="N284" i="1"/>
  <c r="L195" i="1"/>
  <c r="L230" i="1"/>
  <c r="N465" i="1"/>
  <c r="H673" i="2"/>
  <c r="J673" i="2"/>
  <c r="K673" i="2"/>
  <c r="AK351" i="1"/>
  <c r="R351" i="1"/>
  <c r="O102" i="1"/>
  <c r="P102" i="1"/>
  <c r="AK223" i="1"/>
  <c r="R223" i="1"/>
  <c r="L147" i="1"/>
  <c r="N743" i="1"/>
  <c r="AK549" i="1"/>
  <c r="R549" i="1"/>
  <c r="N359" i="1"/>
  <c r="O359" i="1"/>
  <c r="P359" i="1"/>
  <c r="N226" i="1"/>
  <c r="O226" i="1"/>
  <c r="P226" i="1"/>
  <c r="AK1107" i="1"/>
  <c r="R1107" i="1"/>
  <c r="L1107" i="1"/>
  <c r="N1028" i="1"/>
  <c r="O1028" i="1"/>
  <c r="P1028" i="1"/>
  <c r="O1015" i="1"/>
  <c r="P1015" i="1"/>
  <c r="N1015" i="1"/>
  <c r="L999" i="1"/>
  <c r="AK999" i="1"/>
  <c r="R999" i="1"/>
  <c r="AK996" i="1"/>
  <c r="R996" i="1"/>
  <c r="H848" i="2"/>
  <c r="H368" i="2"/>
  <c r="I368" i="2"/>
  <c r="O446" i="1"/>
  <c r="P446" i="1"/>
  <c r="N446" i="1"/>
  <c r="H332" i="2"/>
  <c r="J332" i="2"/>
  <c r="AK260" i="1"/>
  <c r="R260" i="1"/>
  <c r="H99" i="2"/>
  <c r="I99" i="2"/>
  <c r="O1029" i="1"/>
  <c r="P1029" i="1"/>
  <c r="N1029" i="1"/>
  <c r="AK944" i="1"/>
  <c r="R944" i="1"/>
  <c r="AK292" i="1"/>
  <c r="R292" i="1"/>
  <c r="N311" i="1"/>
  <c r="O311" i="1"/>
  <c r="P311" i="1"/>
  <c r="N347" i="1"/>
  <c r="O347" i="1"/>
  <c r="P347" i="1"/>
  <c r="AK259" i="1"/>
  <c r="R259" i="1"/>
  <c r="N448" i="1"/>
  <c r="O448" i="1"/>
  <c r="P448" i="1"/>
  <c r="N283" i="1"/>
  <c r="O283" i="1"/>
  <c r="P283" i="1"/>
  <c r="AK971" i="1"/>
  <c r="R971" i="1"/>
  <c r="AK969" i="1"/>
  <c r="R969" i="1"/>
  <c r="H705" i="2"/>
  <c r="J705" i="2"/>
  <c r="AK542" i="1"/>
  <c r="R542" i="1"/>
  <c r="H685" i="2"/>
  <c r="I685" i="2"/>
  <c r="AK511" i="1"/>
  <c r="R511" i="1"/>
  <c r="L161" i="1"/>
  <c r="L245" i="1"/>
  <c r="AK161" i="1"/>
  <c r="R161" i="1"/>
  <c r="O281" i="1"/>
  <c r="P281" i="1"/>
  <c r="N281" i="1"/>
  <c r="N158" i="1"/>
  <c r="N142" i="1"/>
  <c r="O142" i="1"/>
  <c r="P142" i="1"/>
  <c r="AK496" i="1"/>
  <c r="R496" i="1"/>
  <c r="N280" i="1"/>
  <c r="O280" i="1"/>
  <c r="P280" i="1"/>
  <c r="O225" i="1"/>
  <c r="P225" i="1"/>
  <c r="O108" i="1"/>
  <c r="P108" i="1"/>
  <c r="N108" i="1"/>
  <c r="AK140" i="1"/>
  <c r="R140" i="1"/>
  <c r="L140" i="1"/>
  <c r="O496" i="1"/>
  <c r="P496" i="1"/>
  <c r="N496" i="1"/>
  <c r="N306" i="1"/>
  <c r="O306" i="1"/>
  <c r="P306" i="1"/>
  <c r="L332" i="1"/>
  <c r="O508" i="1"/>
  <c r="P508" i="1"/>
  <c r="N508" i="1"/>
  <c r="O140" i="1"/>
  <c r="P140" i="1"/>
  <c r="N140" i="1"/>
  <c r="L279" i="1"/>
  <c r="H351" i="2"/>
  <c r="J351" i="2"/>
  <c r="O309" i="1"/>
  <c r="P309" i="1"/>
  <c r="N309" i="1"/>
  <c r="AK480" i="1"/>
  <c r="R480" i="1"/>
  <c r="L905" i="1"/>
  <c r="AK674" i="1"/>
  <c r="R674" i="1"/>
  <c r="O672" i="1"/>
  <c r="P672" i="1"/>
  <c r="AK75" i="1"/>
  <c r="R75" i="1"/>
  <c r="O362" i="1"/>
  <c r="P362" i="1"/>
  <c r="N388" i="1"/>
  <c r="N728" i="1"/>
  <c r="O902" i="1"/>
  <c r="P902" i="1"/>
  <c r="L251" i="1"/>
  <c r="O113" i="1"/>
  <c r="P113" i="1"/>
  <c r="AK373" i="1"/>
  <c r="R373" i="1"/>
  <c r="N525" i="1"/>
  <c r="L476" i="1"/>
  <c r="N195" i="1"/>
  <c r="O121" i="1"/>
  <c r="P121" i="1"/>
  <c r="O443" i="1"/>
  <c r="P443" i="1"/>
  <c r="AK121" i="1"/>
  <c r="R121" i="1"/>
  <c r="O111" i="1"/>
  <c r="P111" i="1"/>
  <c r="H285" i="2"/>
  <c r="J285" i="2"/>
  <c r="K285" i="2"/>
  <c r="L288" i="1"/>
  <c r="H360" i="2"/>
  <c r="J360" i="2"/>
  <c r="K360" i="2"/>
  <c r="O310" i="1"/>
  <c r="P310" i="1"/>
  <c r="L805" i="1"/>
  <c r="O811" i="1"/>
  <c r="P811" i="1"/>
  <c r="N811" i="1"/>
  <c r="O203" i="1"/>
  <c r="P203" i="1"/>
  <c r="AK221" i="1"/>
  <c r="R221" i="1"/>
  <c r="AK429" i="1"/>
  <c r="R429" i="1"/>
  <c r="N418" i="1"/>
  <c r="O136" i="1"/>
  <c r="P136" i="1"/>
  <c r="L416" i="1"/>
  <c r="H338" i="2"/>
  <c r="J338" i="2"/>
  <c r="K338" i="2"/>
  <c r="L87" i="1"/>
  <c r="O190" i="1"/>
  <c r="P190" i="1"/>
  <c r="O416" i="1"/>
  <c r="P416" i="1"/>
  <c r="O482" i="1"/>
  <c r="P482" i="1"/>
  <c r="L480" i="1"/>
  <c r="O528" i="1"/>
  <c r="P528" i="1"/>
  <c r="N768" i="1"/>
  <c r="L682" i="1"/>
  <c r="AK363" i="1"/>
  <c r="R363" i="1"/>
  <c r="H710" i="2"/>
  <c r="J710" i="2"/>
  <c r="L710" i="2"/>
  <c r="M710" i="2"/>
  <c r="O464" i="1"/>
  <c r="P464" i="1"/>
  <c r="O141" i="1"/>
  <c r="P141" i="1"/>
  <c r="O162" i="1"/>
  <c r="P162" i="1"/>
  <c r="N164" i="1"/>
  <c r="N805" i="1"/>
  <c r="AK417" i="1"/>
  <c r="R417" i="1"/>
  <c r="N87" i="1"/>
  <c r="N187" i="1"/>
  <c r="O242" i="1"/>
  <c r="P242" i="1"/>
  <c r="N242" i="1"/>
  <c r="O351" i="1"/>
  <c r="P351" i="1"/>
  <c r="O354" i="1"/>
  <c r="P354" i="1"/>
  <c r="AK401" i="1"/>
  <c r="R401" i="1"/>
  <c r="O404" i="1"/>
  <c r="P404" i="1"/>
  <c r="L430" i="1"/>
  <c r="L473" i="1"/>
  <c r="O115" i="1"/>
  <c r="P115" i="1"/>
  <c r="N363" i="1"/>
  <c r="O363" i="1"/>
  <c r="P363" i="1"/>
  <c r="O389" i="1"/>
  <c r="P389" i="1"/>
  <c r="AK526" i="1"/>
  <c r="R526" i="1"/>
  <c r="O250" i="1"/>
  <c r="P250" i="1"/>
  <c r="N250" i="1"/>
  <c r="L164" i="1"/>
  <c r="N424" i="1"/>
  <c r="N243" i="1"/>
  <c r="AK81" i="1"/>
  <c r="R81" i="1"/>
  <c r="N221" i="1"/>
  <c r="O221" i="1"/>
  <c r="P221" i="1"/>
  <c r="N264" i="1"/>
  <c r="O264" i="1"/>
  <c r="P264" i="1"/>
  <c r="O268" i="1"/>
  <c r="P268" i="1"/>
  <c r="N268" i="1"/>
  <c r="O318" i="1"/>
  <c r="P318" i="1"/>
  <c r="N318" i="1"/>
  <c r="O369" i="1"/>
  <c r="P369" i="1"/>
  <c r="N369" i="1"/>
  <c r="O480" i="1"/>
  <c r="P480" i="1"/>
  <c r="AK23" i="1"/>
  <c r="R23" i="1"/>
  <c r="AK681" i="1"/>
  <c r="R681" i="1"/>
  <c r="AK667" i="1"/>
  <c r="R667" i="1"/>
  <c r="L115" i="1"/>
  <c r="L362" i="1"/>
  <c r="H466" i="2"/>
  <c r="J466" i="2"/>
  <c r="K466" i="2"/>
  <c r="N551" i="1"/>
  <c r="L384" i="1"/>
  <c r="AK334" i="1"/>
  <c r="R334" i="1"/>
  <c r="N486" i="1"/>
  <c r="O475" i="1"/>
  <c r="P475" i="1"/>
  <c r="L213" i="1"/>
  <c r="AK118" i="1"/>
  <c r="R118" i="1"/>
  <c r="L117" i="1"/>
  <c r="O120" i="1"/>
  <c r="P120" i="1"/>
  <c r="N120" i="1"/>
  <c r="H660" i="2"/>
  <c r="I660" i="2"/>
  <c r="O288" i="1"/>
  <c r="P288" i="1"/>
  <c r="N288" i="1"/>
  <c r="AK802" i="1"/>
  <c r="R802" i="1"/>
  <c r="N804" i="1"/>
  <c r="N368" i="1"/>
  <c r="N400" i="1"/>
  <c r="N353" i="1"/>
  <c r="N403" i="1"/>
  <c r="L345" i="1"/>
  <c r="H450" i="2"/>
  <c r="J450" i="2"/>
  <c r="K450" i="2"/>
  <c r="N191" i="1"/>
  <c r="O191" i="1"/>
  <c r="P191" i="1"/>
  <c r="AK269" i="1"/>
  <c r="R269" i="1"/>
  <c r="L269" i="1"/>
  <c r="L300" i="1"/>
  <c r="L402" i="1"/>
  <c r="H520" i="2"/>
  <c r="J520" i="2"/>
  <c r="L520" i="2"/>
  <c r="M520" i="2"/>
  <c r="O417" i="1"/>
  <c r="P417" i="1"/>
  <c r="N417" i="1"/>
  <c r="O434" i="1"/>
  <c r="P434" i="1"/>
  <c r="N434" i="1"/>
  <c r="N249" i="1"/>
  <c r="O249" i="1"/>
  <c r="P249" i="1"/>
  <c r="AK76" i="1"/>
  <c r="R76" i="1"/>
  <c r="L76" i="1"/>
  <c r="L803" i="1"/>
  <c r="AK803" i="1"/>
  <c r="R803" i="1"/>
  <c r="L431" i="1"/>
  <c r="H643" i="2"/>
  <c r="I643" i="2"/>
  <c r="AK435" i="1"/>
  <c r="R435" i="1"/>
  <c r="L475" i="2"/>
  <c r="M475" i="2"/>
  <c r="K475" i="2"/>
  <c r="N484" i="1"/>
  <c r="AK672" i="1"/>
  <c r="R672" i="1"/>
  <c r="O61" i="1"/>
  <c r="P61" i="1"/>
  <c r="AK551" i="1"/>
  <c r="R551" i="1"/>
  <c r="AK374" i="1"/>
  <c r="R374" i="1"/>
  <c r="AK113" i="1"/>
  <c r="R113" i="1"/>
  <c r="AK474" i="1"/>
  <c r="R474" i="1"/>
  <c r="L474" i="1"/>
  <c r="L449" i="1"/>
  <c r="AK324" i="1"/>
  <c r="R324" i="1"/>
  <c r="AK430" i="1"/>
  <c r="R430" i="1"/>
  <c r="N299" i="1"/>
  <c r="O146" i="1"/>
  <c r="P146" i="1"/>
  <c r="AK101" i="1"/>
  <c r="R101" i="1"/>
  <c r="AK148" i="1"/>
  <c r="R148" i="1"/>
  <c r="L322" i="1"/>
  <c r="L263" i="1"/>
  <c r="H335" i="2"/>
  <c r="I335" i="2"/>
  <c r="L420" i="1"/>
  <c r="L95" i="1"/>
  <c r="AK95" i="1"/>
  <c r="R95" i="1"/>
  <c r="O344" i="1"/>
  <c r="P344" i="1"/>
  <c r="N344" i="1"/>
  <c r="L415" i="1"/>
  <c r="AK415" i="1"/>
  <c r="R415" i="1"/>
  <c r="O431" i="1"/>
  <c r="P431" i="1"/>
  <c r="O435" i="1"/>
  <c r="P435" i="1"/>
  <c r="I475" i="2"/>
  <c r="O666" i="1"/>
  <c r="P666" i="1"/>
  <c r="AK683" i="1"/>
  <c r="R683" i="1"/>
  <c r="N729" i="1"/>
  <c r="AK383" i="1"/>
  <c r="R383" i="1"/>
  <c r="H499" i="2"/>
  <c r="I499" i="2"/>
  <c r="O390" i="1"/>
  <c r="P390" i="1"/>
  <c r="L902" i="1"/>
  <c r="N229" i="1"/>
  <c r="O246" i="1"/>
  <c r="P246" i="1"/>
  <c r="N246" i="1"/>
  <c r="AK205" i="1"/>
  <c r="R205" i="1"/>
  <c r="L114" i="1"/>
  <c r="H128" i="2"/>
  <c r="J128" i="2"/>
  <c r="AK443" i="1"/>
  <c r="R443" i="1"/>
  <c r="O289" i="1"/>
  <c r="P289" i="1"/>
  <c r="L287" i="1"/>
  <c r="H359" i="2"/>
  <c r="N272" i="1"/>
  <c r="AK97" i="1"/>
  <c r="R97" i="1"/>
  <c r="L435" i="1"/>
  <c r="N262" i="1"/>
  <c r="O262" i="1"/>
  <c r="P262" i="1"/>
  <c r="O297" i="1"/>
  <c r="P297" i="1"/>
  <c r="N297" i="1"/>
  <c r="O483" i="1"/>
  <c r="P483" i="1"/>
  <c r="L61" i="1"/>
  <c r="L728" i="1"/>
  <c r="AK728" i="1"/>
  <c r="R728" i="1"/>
  <c r="N704" i="1"/>
  <c r="O487" i="1"/>
  <c r="P487" i="1"/>
  <c r="O147" i="1"/>
  <c r="P147" i="1"/>
  <c r="N300" i="1"/>
  <c r="L97" i="1"/>
  <c r="L238" i="1"/>
  <c r="AK238" i="1"/>
  <c r="R238" i="1"/>
  <c r="O345" i="1"/>
  <c r="P345" i="1"/>
  <c r="N345" i="1"/>
  <c r="N821" i="1"/>
  <c r="N29" i="1"/>
  <c r="N47" i="1"/>
  <c r="AK747" i="1"/>
  <c r="R747" i="1"/>
  <c r="L745" i="1"/>
  <c r="N747" i="1"/>
  <c r="O31" i="1"/>
  <c r="P31" i="1"/>
  <c r="N490" i="1"/>
  <c r="AK708" i="1"/>
  <c r="R708" i="1"/>
  <c r="L24" i="1"/>
  <c r="L744" i="1"/>
  <c r="N745" i="1"/>
  <c r="L755" i="1"/>
  <c r="N506" i="1"/>
  <c r="L151" i="1"/>
  <c r="H181" i="2"/>
  <c r="I181" i="2"/>
  <c r="AK758" i="1"/>
  <c r="R758" i="1"/>
  <c r="N755" i="1"/>
  <c r="L32" i="1"/>
  <c r="L498" i="1"/>
  <c r="O877" i="1"/>
  <c r="P877" i="1"/>
  <c r="AK24" i="1"/>
  <c r="R24" i="1"/>
  <c r="O760" i="1"/>
  <c r="P760" i="1"/>
  <c r="K791" i="2"/>
  <c r="L996" i="2"/>
  <c r="M996" i="2"/>
  <c r="K996" i="2"/>
  <c r="L745" i="2"/>
  <c r="M745" i="2"/>
  <c r="K745" i="2"/>
  <c r="L889" i="2"/>
  <c r="M889" i="2"/>
  <c r="K889" i="2"/>
  <c r="J481" i="2"/>
  <c r="I481" i="2"/>
  <c r="L249" i="2"/>
  <c r="M249" i="2"/>
  <c r="L1086" i="2"/>
  <c r="M1086" i="2"/>
  <c r="K1086" i="2"/>
  <c r="K856" i="2"/>
  <c r="L856" i="2"/>
  <c r="M856" i="2"/>
  <c r="K760" i="2"/>
  <c r="L760" i="2"/>
  <c r="M760" i="2"/>
  <c r="L852" i="2"/>
  <c r="M852" i="2"/>
  <c r="K852" i="2"/>
  <c r="K813" i="2"/>
  <c r="L813" i="2"/>
  <c r="M813" i="2"/>
  <c r="I707" i="2"/>
  <c r="J83" i="2"/>
  <c r="K707" i="2"/>
  <c r="J652" i="2"/>
  <c r="L652" i="2"/>
  <c r="M652" i="2"/>
  <c r="I249" i="2"/>
  <c r="J270" i="2"/>
  <c r="I24" i="2"/>
  <c r="J24" i="2"/>
  <c r="K644" i="2"/>
  <c r="L644" i="2"/>
  <c r="M644" i="2"/>
  <c r="K1039" i="2"/>
  <c r="L1039" i="2"/>
  <c r="M1039" i="2"/>
  <c r="I1023" i="2"/>
  <c r="L169" i="2"/>
  <c r="M169" i="2"/>
  <c r="K169" i="2"/>
  <c r="I446" i="2"/>
  <c r="K308" i="2"/>
  <c r="I308" i="2"/>
  <c r="I169" i="2"/>
  <c r="L849" i="2"/>
  <c r="M849" i="2"/>
  <c r="K849" i="2"/>
  <c r="O70" i="1"/>
  <c r="P70" i="1"/>
  <c r="N70" i="1"/>
  <c r="N72" i="1"/>
  <c r="AK20" i="1"/>
  <c r="R20" i="1"/>
  <c r="H18" i="2"/>
  <c r="I18" i="2"/>
  <c r="L20" i="1"/>
  <c r="AK107" i="1"/>
  <c r="R107" i="1"/>
  <c r="J322" i="2"/>
  <c r="I322" i="2"/>
  <c r="N20" i="1"/>
  <c r="O20" i="1"/>
  <c r="P20" i="1"/>
  <c r="AK70" i="1"/>
  <c r="R70" i="1"/>
  <c r="L70" i="1"/>
  <c r="H462" i="2"/>
  <c r="I462" i="2"/>
  <c r="AK359" i="1"/>
  <c r="R359" i="1"/>
  <c r="O282" i="1"/>
  <c r="P282" i="1"/>
  <c r="N282" i="1"/>
  <c r="AK225" i="1"/>
  <c r="R225" i="1"/>
  <c r="AK358" i="1"/>
  <c r="R358" i="1"/>
  <c r="L358" i="1"/>
  <c r="N277" i="1"/>
  <c r="O277" i="1"/>
  <c r="P277" i="1"/>
  <c r="O159" i="1"/>
  <c r="P159" i="1"/>
  <c r="N159" i="1"/>
  <c r="N358" i="1"/>
  <c r="O358" i="1"/>
  <c r="P358" i="1"/>
  <c r="J686" i="2"/>
  <c r="I686" i="2"/>
  <c r="I373" i="2"/>
  <c r="J373" i="2"/>
  <c r="J211" i="2"/>
  <c r="I211" i="2"/>
  <c r="N329" i="1"/>
  <c r="O329" i="1"/>
  <c r="P329" i="1"/>
  <c r="L157" i="1"/>
  <c r="H187" i="2"/>
  <c r="I187" i="2"/>
  <c r="AK157" i="1"/>
  <c r="R157" i="1"/>
  <c r="AK109" i="1"/>
  <c r="R109" i="1"/>
  <c r="L277" i="1"/>
  <c r="AK277" i="1"/>
  <c r="R277" i="1"/>
  <c r="AK283" i="1"/>
  <c r="R283" i="1"/>
  <c r="L283" i="1"/>
  <c r="O105" i="1"/>
  <c r="P105" i="1"/>
  <c r="N105" i="1"/>
  <c r="N109" i="1"/>
  <c r="N227" i="1"/>
  <c r="L248" i="1"/>
  <c r="H312" i="2"/>
  <c r="I312" i="2"/>
  <c r="AK248" i="1"/>
  <c r="R248" i="1"/>
  <c r="N279" i="1"/>
  <c r="O279" i="1"/>
  <c r="P279" i="1"/>
  <c r="L72" i="1"/>
  <c r="H424" i="2"/>
  <c r="I424" i="2"/>
  <c r="AK328" i="1"/>
  <c r="R328" i="1"/>
  <c r="AK56" i="1"/>
  <c r="R56" i="1"/>
  <c r="L56" i="1"/>
  <c r="L305" i="1"/>
  <c r="H395" i="2"/>
  <c r="J395" i="2"/>
  <c r="AK305" i="1"/>
  <c r="R305" i="1"/>
  <c r="N247" i="1"/>
  <c r="O247" i="1"/>
  <c r="P247" i="1"/>
  <c r="O305" i="1"/>
  <c r="P305" i="1"/>
  <c r="L228" i="1"/>
  <c r="AK159" i="1"/>
  <c r="R159" i="1"/>
  <c r="L247" i="1"/>
  <c r="O161" i="1"/>
  <c r="P161" i="1"/>
  <c r="N161" i="1"/>
  <c r="N332" i="1"/>
  <c r="O276" i="1"/>
  <c r="P276" i="1"/>
  <c r="O228" i="1"/>
  <c r="P228" i="1"/>
  <c r="N357" i="1"/>
  <c r="L159" i="1"/>
  <c r="AK245" i="1"/>
  <c r="R245" i="1"/>
  <c r="AK250" i="1"/>
  <c r="R250" i="1"/>
  <c r="L250" i="1"/>
  <c r="AK231" i="1"/>
  <c r="R231" i="1"/>
  <c r="AK426" i="1"/>
  <c r="R426" i="1"/>
  <c r="L426" i="1"/>
  <c r="AK67" i="1"/>
  <c r="R67" i="1"/>
  <c r="L67" i="1"/>
  <c r="N85" i="1"/>
  <c r="N97" i="1"/>
  <c r="O97" i="1"/>
  <c r="P97" i="1"/>
  <c r="N134" i="1"/>
  <c r="O134" i="1"/>
  <c r="P134" i="1"/>
  <c r="L138" i="1"/>
  <c r="N152" i="1"/>
  <c r="O152" i="1"/>
  <c r="P152" i="1"/>
  <c r="O155" i="1"/>
  <c r="P155" i="1"/>
  <c r="N155" i="1"/>
  <c r="O208" i="1"/>
  <c r="P208" i="1"/>
  <c r="N208" i="1"/>
  <c r="L219" i="1"/>
  <c r="AK219" i="1"/>
  <c r="R219" i="1"/>
  <c r="O302" i="1"/>
  <c r="P302" i="1"/>
  <c r="N302" i="1"/>
  <c r="AK318" i="1"/>
  <c r="R318" i="1"/>
  <c r="O48" i="1"/>
  <c r="P48" i="1"/>
  <c r="N48" i="1"/>
  <c r="AK253" i="1"/>
  <c r="R253" i="1"/>
  <c r="AK385" i="1"/>
  <c r="R385" i="1"/>
  <c r="N231" i="1"/>
  <c r="AK165" i="1"/>
  <c r="R165" i="1"/>
  <c r="L310" i="1"/>
  <c r="N319" i="1"/>
  <c r="L264" i="1"/>
  <c r="L302" i="1"/>
  <c r="L188" i="1"/>
  <c r="L222" i="1"/>
  <c r="H176" i="2"/>
  <c r="AK146" i="1"/>
  <c r="R146" i="1"/>
  <c r="N149" i="1"/>
  <c r="O149" i="1"/>
  <c r="P149" i="1"/>
  <c r="N153" i="1"/>
  <c r="O153" i="1"/>
  <c r="P153" i="1"/>
  <c r="AK262" i="1"/>
  <c r="R262" i="1"/>
  <c r="O295" i="1"/>
  <c r="P295" i="1"/>
  <c r="N295" i="1"/>
  <c r="AK354" i="1"/>
  <c r="R354" i="1"/>
  <c r="L354" i="1"/>
  <c r="L369" i="1"/>
  <c r="AK369" i="1"/>
  <c r="R369" i="1"/>
  <c r="L21" i="1"/>
  <c r="N386" i="1"/>
  <c r="AK384" i="1"/>
  <c r="R384" i="1"/>
  <c r="L390" i="1"/>
  <c r="AK112" i="1"/>
  <c r="R112" i="1"/>
  <c r="AK111" i="1"/>
  <c r="R111" i="1"/>
  <c r="O312" i="1"/>
  <c r="P312" i="1"/>
  <c r="AK312" i="1"/>
  <c r="R312" i="1"/>
  <c r="N298" i="1"/>
  <c r="O148" i="1"/>
  <c r="P148" i="1"/>
  <c r="AK102" i="1"/>
  <c r="R102" i="1"/>
  <c r="N294" i="1"/>
  <c r="O238" i="1"/>
  <c r="P238" i="1"/>
  <c r="L265" i="1"/>
  <c r="L191" i="1"/>
  <c r="O427" i="1"/>
  <c r="P427" i="1"/>
  <c r="N68" i="1"/>
  <c r="AK99" i="1"/>
  <c r="R99" i="1"/>
  <c r="L99" i="1"/>
  <c r="N220" i="1"/>
  <c r="O220" i="1"/>
  <c r="P220" i="1"/>
  <c r="O265" i="1"/>
  <c r="P265" i="1"/>
  <c r="N265" i="1"/>
  <c r="L296" i="1"/>
  <c r="AK296" i="1"/>
  <c r="R296" i="1"/>
  <c r="L326" i="1"/>
  <c r="AK326" i="1"/>
  <c r="R326" i="1"/>
  <c r="J85" i="2"/>
  <c r="L335" i="1"/>
  <c r="L214" i="1"/>
  <c r="L197" i="1"/>
  <c r="N116" i="1"/>
  <c r="O116" i="1"/>
  <c r="P116" i="1"/>
  <c r="N271" i="1"/>
  <c r="L271" i="1"/>
  <c r="H343" i="2"/>
  <c r="AK65" i="1"/>
  <c r="R65" i="1"/>
  <c r="L65" i="1"/>
  <c r="N150" i="1"/>
  <c r="O150" i="1"/>
  <c r="P150" i="1"/>
  <c r="L210" i="1"/>
  <c r="L242" i="1"/>
  <c r="AK242" i="1"/>
  <c r="R242" i="1"/>
  <c r="O269" i="1"/>
  <c r="P269" i="1"/>
  <c r="N269" i="1"/>
  <c r="O296" i="1"/>
  <c r="P296" i="1"/>
  <c r="N296" i="1"/>
  <c r="L323" i="1"/>
  <c r="AK323" i="1"/>
  <c r="R323" i="1"/>
  <c r="L60" i="1"/>
  <c r="AK335" i="1"/>
  <c r="R335" i="1"/>
  <c r="O214" i="1"/>
  <c r="P214" i="1"/>
  <c r="O118" i="1"/>
  <c r="P118" i="1"/>
  <c r="N278" i="1"/>
  <c r="L336" i="1"/>
  <c r="H432" i="2"/>
  <c r="J432" i="2"/>
  <c r="L432" i="2"/>
  <c r="M432" i="2"/>
  <c r="AK336" i="1"/>
  <c r="R336" i="1"/>
  <c r="AK191" i="1"/>
  <c r="R191" i="1"/>
  <c r="N223" i="1"/>
  <c r="N211" i="1"/>
  <c r="AK427" i="1"/>
  <c r="R427" i="1"/>
  <c r="L427" i="1"/>
  <c r="N65" i="1"/>
  <c r="O65" i="1"/>
  <c r="P65" i="1"/>
  <c r="AK96" i="1"/>
  <c r="R96" i="1"/>
  <c r="L301" i="1"/>
  <c r="H387" i="2"/>
  <c r="I387" i="2"/>
  <c r="AK301" i="1"/>
  <c r="R301" i="1"/>
  <c r="L320" i="1"/>
  <c r="AK320" i="1"/>
  <c r="R320" i="1"/>
  <c r="O323" i="1"/>
  <c r="P323" i="1"/>
  <c r="N323" i="1"/>
  <c r="L344" i="1"/>
  <c r="L352" i="1"/>
  <c r="L355" i="1"/>
  <c r="H459" i="2"/>
  <c r="AK355" i="1"/>
  <c r="R355" i="1"/>
  <c r="L370" i="1"/>
  <c r="AK370" i="1"/>
  <c r="R370" i="1"/>
  <c r="N23" i="1"/>
  <c r="O62" i="1"/>
  <c r="P62" i="1"/>
  <c r="O60" i="1"/>
  <c r="P60" i="1"/>
  <c r="L113" i="1"/>
  <c r="AK376" i="1"/>
  <c r="R376" i="1"/>
  <c r="L334" i="1"/>
  <c r="AK214" i="1"/>
  <c r="R214" i="1"/>
  <c r="AK160" i="1"/>
  <c r="R160" i="1"/>
  <c r="O160" i="1"/>
  <c r="P160" i="1"/>
  <c r="AK208" i="1"/>
  <c r="R208" i="1"/>
  <c r="AK136" i="1"/>
  <c r="R136" i="1"/>
  <c r="N189" i="1"/>
  <c r="L318" i="1"/>
  <c r="H341" i="2"/>
  <c r="L351" i="1"/>
  <c r="H456" i="2"/>
  <c r="L102" i="1"/>
  <c r="I256" i="2"/>
  <c r="N384" i="1"/>
  <c r="N222" i="1"/>
  <c r="O240" i="1"/>
  <c r="P240" i="1"/>
  <c r="L134" i="1"/>
  <c r="AK152" i="1"/>
  <c r="R152" i="1"/>
  <c r="AK240" i="1"/>
  <c r="R240" i="1"/>
  <c r="L240" i="1"/>
  <c r="L243" i="1"/>
  <c r="AK243" i="1"/>
  <c r="R243" i="1"/>
  <c r="O267" i="1"/>
  <c r="P267" i="1"/>
  <c r="L294" i="1"/>
  <c r="L298" i="1"/>
  <c r="L321" i="1"/>
  <c r="AK321" i="1"/>
  <c r="R321" i="1"/>
  <c r="O324" i="1"/>
  <c r="P324" i="1"/>
  <c r="J163" i="2"/>
  <c r="I163" i="2"/>
  <c r="AK86" i="1"/>
  <c r="R86" i="1"/>
  <c r="N138" i="1"/>
  <c r="O138" i="1"/>
  <c r="P138" i="1"/>
  <c r="AK187" i="1"/>
  <c r="R187" i="1"/>
  <c r="L187" i="1"/>
  <c r="L209" i="1"/>
  <c r="L272" i="1"/>
  <c r="J232" i="2"/>
  <c r="I232" i="2"/>
  <c r="J207" i="2"/>
  <c r="K207" i="2"/>
  <c r="N301" i="1"/>
  <c r="L268" i="1"/>
  <c r="L241" i="1"/>
  <c r="H227" i="2"/>
  <c r="L66" i="1"/>
  <c r="O188" i="1"/>
  <c r="P188" i="1"/>
  <c r="N188" i="1"/>
  <c r="AK353" i="1"/>
  <c r="R353" i="1"/>
  <c r="L270" i="1"/>
  <c r="O274" i="1"/>
  <c r="P274" i="1"/>
  <c r="N274" i="1"/>
  <c r="H421" i="2"/>
  <c r="AK325" i="1"/>
  <c r="R325" i="1"/>
  <c r="L523" i="2"/>
  <c r="M523" i="2"/>
  <c r="K523" i="2"/>
  <c r="H448" i="2"/>
  <c r="L48" i="1"/>
  <c r="O27" i="1"/>
  <c r="P27" i="1"/>
  <c r="L105" i="1"/>
  <c r="AK105" i="1"/>
  <c r="R105" i="1"/>
  <c r="AK226" i="1"/>
  <c r="R226" i="1"/>
  <c r="L226" i="1"/>
  <c r="K1023" i="2"/>
  <c r="L451" i="1"/>
  <c r="AK1050" i="1"/>
  <c r="R1050" i="1"/>
  <c r="AK1048" i="1"/>
  <c r="R1048" i="1"/>
  <c r="AK1002" i="1"/>
  <c r="R1002" i="1"/>
  <c r="AK108" i="1"/>
  <c r="R108" i="1"/>
  <c r="L108" i="1"/>
  <c r="L227" i="1"/>
  <c r="AK227" i="1"/>
  <c r="R227" i="1"/>
  <c r="N248" i="1"/>
  <c r="O248" i="1"/>
  <c r="P248" i="1"/>
  <c r="AK282" i="1"/>
  <c r="R282" i="1"/>
  <c r="L282" i="1"/>
  <c r="L276" i="1"/>
  <c r="AK276" i="1"/>
  <c r="R276" i="1"/>
  <c r="L311" i="1"/>
  <c r="H401" i="2"/>
  <c r="AK311" i="1"/>
  <c r="R311" i="1"/>
  <c r="L306" i="1"/>
  <c r="AK306" i="1"/>
  <c r="R306" i="1"/>
  <c r="N331" i="1"/>
  <c r="O331" i="1"/>
  <c r="P331" i="1"/>
  <c r="N445" i="1"/>
  <c r="O445" i="1"/>
  <c r="P445" i="1"/>
  <c r="AK406" i="1"/>
  <c r="R406" i="1"/>
  <c r="L406" i="1"/>
  <c r="L347" i="1"/>
  <c r="AK347" i="1"/>
  <c r="R347" i="1"/>
  <c r="H452" i="2"/>
  <c r="N245" i="1"/>
  <c r="O245" i="1"/>
  <c r="P245" i="1"/>
  <c r="AK331" i="1"/>
  <c r="R331" i="1"/>
  <c r="O59" i="1"/>
  <c r="P59" i="1"/>
  <c r="N59" i="1"/>
  <c r="L142" i="1"/>
  <c r="O193" i="1"/>
  <c r="P193" i="1"/>
  <c r="N193" i="1"/>
  <c r="L59" i="1"/>
  <c r="H49" i="2"/>
  <c r="N106" i="1"/>
  <c r="O106" i="1"/>
  <c r="P106" i="1"/>
  <c r="L196" i="1"/>
  <c r="AK330" i="1"/>
  <c r="R330" i="1"/>
  <c r="L330" i="1"/>
  <c r="L280" i="1"/>
  <c r="AK280" i="1"/>
  <c r="R280" i="1"/>
  <c r="AK196" i="1"/>
  <c r="R196" i="1"/>
  <c r="O440" i="1"/>
  <c r="P440" i="1"/>
  <c r="N440" i="1"/>
  <c r="AK59" i="1"/>
  <c r="R59" i="1"/>
  <c r="O157" i="1"/>
  <c r="P157" i="1"/>
  <c r="N157" i="1"/>
  <c r="AK446" i="1"/>
  <c r="R446" i="1"/>
  <c r="L446" i="1"/>
  <c r="L106" i="1"/>
  <c r="H120" i="2"/>
  <c r="AK304" i="1"/>
  <c r="R304" i="1"/>
  <c r="AK360" i="1"/>
  <c r="R360" i="1"/>
  <c r="L360" i="1"/>
  <c r="L281" i="1"/>
  <c r="O57" i="1"/>
  <c r="P57" i="1"/>
  <c r="N57" i="1"/>
  <c r="O71" i="1"/>
  <c r="P71" i="1"/>
  <c r="N71" i="1"/>
  <c r="AK333" i="1"/>
  <c r="R333" i="1"/>
  <c r="N333" i="1"/>
  <c r="O333" i="1"/>
  <c r="P333" i="1"/>
  <c r="N330" i="1"/>
  <c r="AK72" i="1"/>
  <c r="R72" i="1"/>
  <c r="L158" i="1"/>
  <c r="L109" i="1"/>
  <c r="L408" i="1"/>
  <c r="H526" i="2"/>
  <c r="I526" i="2"/>
  <c r="AK279" i="1"/>
  <c r="R279" i="1"/>
  <c r="L508" i="1"/>
  <c r="AK193" i="1"/>
  <c r="R193" i="1"/>
  <c r="O107" i="1"/>
  <c r="P107" i="1"/>
  <c r="N107" i="1"/>
  <c r="N196" i="1"/>
  <c r="O681" i="1"/>
  <c r="P681" i="1"/>
  <c r="L675" i="1"/>
  <c r="O769" i="1"/>
  <c r="P769" i="1"/>
  <c r="L62" i="1"/>
  <c r="AK388" i="1"/>
  <c r="R388" i="1"/>
  <c r="L385" i="1"/>
  <c r="H501" i="2"/>
  <c r="J501" i="2"/>
  <c r="L501" i="2"/>
  <c r="M501" i="2"/>
  <c r="AK481" i="1"/>
  <c r="R481" i="1"/>
  <c r="N473" i="1"/>
  <c r="AK529" i="1"/>
  <c r="R529" i="1"/>
  <c r="N529" i="1"/>
  <c r="O21" i="1"/>
  <c r="P21" i="1"/>
  <c r="N682" i="1"/>
  <c r="N660" i="1"/>
  <c r="L665" i="1"/>
  <c r="O673" i="1"/>
  <c r="P673" i="1"/>
  <c r="L386" i="1"/>
  <c r="L481" i="1"/>
  <c r="N878" i="1"/>
  <c r="AK61" i="1"/>
  <c r="R61" i="1"/>
  <c r="AK675" i="1"/>
  <c r="R675" i="1"/>
  <c r="N119" i="1"/>
  <c r="O252" i="1"/>
  <c r="P252" i="1"/>
  <c r="L388" i="1"/>
  <c r="L529" i="1"/>
  <c r="N661" i="1"/>
  <c r="O665" i="1"/>
  <c r="P665" i="1"/>
  <c r="AK390" i="1"/>
  <c r="R390" i="1"/>
  <c r="AK548" i="1"/>
  <c r="R548" i="1"/>
  <c r="AK482" i="1"/>
  <c r="R482" i="1"/>
  <c r="N856" i="1"/>
  <c r="O526" i="1"/>
  <c r="P526" i="1"/>
  <c r="L246" i="1"/>
  <c r="AK361" i="1"/>
  <c r="R361" i="1"/>
  <c r="L525" i="1"/>
  <c r="O197" i="1"/>
  <c r="P197" i="1"/>
  <c r="L289" i="1"/>
  <c r="O548" i="1"/>
  <c r="P548" i="1"/>
  <c r="L229" i="1"/>
  <c r="N251" i="1"/>
  <c r="L166" i="1"/>
  <c r="H196" i="2"/>
  <c r="J196" i="2"/>
  <c r="N307" i="1"/>
  <c r="AK74" i="1"/>
  <c r="R74" i="1"/>
  <c r="L120" i="1"/>
  <c r="L162" i="1"/>
  <c r="O165" i="1"/>
  <c r="P165" i="1"/>
  <c r="N165" i="1"/>
  <c r="N336" i="1"/>
  <c r="N510" i="1"/>
  <c r="L163" i="1"/>
  <c r="H193" i="2"/>
  <c r="I193" i="2"/>
  <c r="AK806" i="1"/>
  <c r="R806" i="1"/>
  <c r="L806" i="1"/>
  <c r="AK166" i="1"/>
  <c r="R166" i="1"/>
  <c r="O373" i="1"/>
  <c r="P373" i="1"/>
  <c r="H489" i="2"/>
  <c r="O205" i="1"/>
  <c r="P205" i="1"/>
  <c r="AK476" i="1"/>
  <c r="R476" i="1"/>
  <c r="L74" i="1"/>
  <c r="H64" i="2"/>
  <c r="I64" i="2"/>
  <c r="O206" i="1"/>
  <c r="P206" i="1"/>
  <c r="N215" i="1"/>
  <c r="L144" i="1"/>
  <c r="H174" i="2"/>
  <c r="I174" i="2"/>
  <c r="L143" i="1"/>
  <c r="O449" i="1"/>
  <c r="P449" i="1"/>
  <c r="L811" i="1"/>
  <c r="AK811" i="1"/>
  <c r="R811" i="1"/>
  <c r="O287" i="1"/>
  <c r="P287" i="1"/>
  <c r="N287" i="1"/>
  <c r="L486" i="1"/>
  <c r="AK114" i="1"/>
  <c r="R114" i="1"/>
  <c r="O117" i="1"/>
  <c r="P117" i="1"/>
  <c r="N117" i="1"/>
  <c r="AK465" i="1"/>
  <c r="R465" i="1"/>
  <c r="L465" i="1"/>
  <c r="AK278" i="1"/>
  <c r="R278" i="1"/>
  <c r="AK705" i="1"/>
  <c r="R705" i="1"/>
  <c r="AK375" i="1"/>
  <c r="R375" i="1"/>
  <c r="L374" i="1"/>
  <c r="AK410" i="1"/>
  <c r="R410" i="1"/>
  <c r="H134" i="2"/>
  <c r="N286" i="1"/>
  <c r="AK141" i="1"/>
  <c r="R141" i="1"/>
  <c r="AK286" i="1"/>
  <c r="R286" i="1"/>
  <c r="L81" i="1"/>
  <c r="O64" i="1"/>
  <c r="P64" i="1"/>
  <c r="N67" i="1"/>
  <c r="O67" i="1"/>
  <c r="P67" i="1"/>
  <c r="N91" i="1"/>
  <c r="L211" i="1"/>
  <c r="L273" i="1"/>
  <c r="H345" i="2"/>
  <c r="AK100" i="1"/>
  <c r="R100" i="1"/>
  <c r="O273" i="1"/>
  <c r="P273" i="1"/>
  <c r="N273" i="1"/>
  <c r="L319" i="1"/>
  <c r="H415" i="2"/>
  <c r="L98" i="1"/>
  <c r="L418" i="1"/>
  <c r="H645" i="2"/>
  <c r="L91" i="1"/>
  <c r="L154" i="1"/>
  <c r="L239" i="1"/>
  <c r="O370" i="1"/>
  <c r="P370" i="1"/>
  <c r="N370" i="1"/>
  <c r="L455" i="1"/>
  <c r="AK91" i="1"/>
  <c r="R91" i="1"/>
  <c r="L223" i="1"/>
  <c r="O266" i="1"/>
  <c r="P266" i="1"/>
  <c r="N266" i="1"/>
  <c r="O401" i="1"/>
  <c r="P401" i="1"/>
  <c r="H484" i="2"/>
  <c r="O239" i="1"/>
  <c r="P239" i="1"/>
  <c r="N239" i="1"/>
  <c r="L446" i="2"/>
  <c r="M446" i="2"/>
  <c r="L353" i="1"/>
  <c r="I89" i="2"/>
  <c r="J89" i="2"/>
  <c r="N494" i="1"/>
  <c r="O494" i="1"/>
  <c r="P494" i="1"/>
  <c r="AK49" i="1"/>
  <c r="R49" i="1"/>
  <c r="L49" i="1"/>
  <c r="O495" i="1"/>
  <c r="P495" i="1"/>
  <c r="N758" i="1"/>
  <c r="O758" i="1"/>
  <c r="P758" i="1"/>
  <c r="L18" i="1"/>
  <c r="AK18" i="1"/>
  <c r="R18" i="1"/>
  <c r="L759" i="1"/>
  <c r="O28" i="1"/>
  <c r="P28" i="1"/>
  <c r="N28" i="1"/>
  <c r="O815" i="1"/>
  <c r="P815" i="1"/>
  <c r="N815" i="1"/>
  <c r="N471" i="1"/>
  <c r="N498" i="1"/>
  <c r="O498" i="1"/>
  <c r="P498" i="1"/>
  <c r="O756" i="1"/>
  <c r="P756" i="1"/>
  <c r="N756" i="1"/>
  <c r="AK499" i="1"/>
  <c r="R499" i="1"/>
  <c r="L499" i="1"/>
  <c r="N904" i="1"/>
  <c r="O904" i="1"/>
  <c r="P904" i="1"/>
  <c r="N740" i="1"/>
  <c r="O740" i="1"/>
  <c r="P740" i="1"/>
  <c r="AK757" i="1"/>
  <c r="R757" i="1"/>
  <c r="L757" i="1"/>
  <c r="N342" i="1"/>
  <c r="O342" i="1"/>
  <c r="P342" i="1"/>
  <c r="O854" i="1"/>
  <c r="P854" i="1"/>
  <c r="N854" i="1"/>
  <c r="N748" i="1"/>
  <c r="O748" i="1"/>
  <c r="P748" i="1"/>
  <c r="AK936" i="1"/>
  <c r="R936" i="1"/>
  <c r="AK753" i="1"/>
  <c r="R753" i="1"/>
  <c r="L753" i="1"/>
  <c r="AK693" i="1"/>
  <c r="R693" i="1"/>
  <c r="L693" i="1"/>
  <c r="AK342" i="1"/>
  <c r="R342" i="1"/>
  <c r="AK754" i="1"/>
  <c r="R754" i="1"/>
  <c r="L47" i="1"/>
  <c r="H41" i="2"/>
  <c r="N32" i="1"/>
  <c r="AK48" i="1"/>
  <c r="R48" i="1"/>
  <c r="L810" i="1"/>
  <c r="N504" i="1"/>
  <c r="N499" i="1"/>
  <c r="N936" i="1"/>
  <c r="L743" i="1"/>
  <c r="AK742" i="1"/>
  <c r="R742" i="1"/>
  <c r="AK751" i="1"/>
  <c r="R751" i="1"/>
  <c r="AK740" i="1"/>
  <c r="R740" i="1"/>
  <c r="L754" i="1"/>
  <c r="N693" i="1"/>
  <c r="AK471" i="1"/>
  <c r="R471" i="1"/>
  <c r="L718" i="2"/>
  <c r="M718" i="2"/>
  <c r="L801" i="2"/>
  <c r="M801" i="2"/>
  <c r="K801" i="2"/>
  <c r="L356" i="2"/>
  <c r="M356" i="2"/>
  <c r="K356" i="2"/>
  <c r="L939" i="2"/>
  <c r="M939" i="2"/>
  <c r="K939" i="2"/>
  <c r="L1040" i="2"/>
  <c r="M1040" i="2"/>
  <c r="K1040" i="2"/>
  <c r="K1087" i="2"/>
  <c r="L1087" i="2"/>
  <c r="M1087" i="2"/>
  <c r="L941" i="2"/>
  <c r="M941" i="2"/>
  <c r="K941" i="2"/>
  <c r="L812" i="2"/>
  <c r="M812" i="2"/>
  <c r="K812" i="2"/>
  <c r="L76" i="2"/>
  <c r="M76" i="2"/>
  <c r="K76" i="2"/>
  <c r="I70" i="2"/>
  <c r="J70" i="2"/>
  <c r="L938" i="2"/>
  <c r="M938" i="2"/>
  <c r="K938" i="2"/>
  <c r="K786" i="2"/>
  <c r="L786" i="2"/>
  <c r="M786" i="2"/>
  <c r="I376" i="2"/>
  <c r="J376" i="2"/>
  <c r="L947" i="2"/>
  <c r="M947" i="2"/>
  <c r="K947" i="2"/>
  <c r="L905" i="2"/>
  <c r="M905" i="2"/>
  <c r="K905" i="2"/>
  <c r="L959" i="2"/>
  <c r="M959" i="2"/>
  <c r="K959" i="2"/>
  <c r="K977" i="2"/>
  <c r="L977" i="2"/>
  <c r="M977" i="2"/>
  <c r="I1054" i="2"/>
  <c r="J1054" i="2"/>
  <c r="I1072" i="2"/>
  <c r="J1072" i="2"/>
  <c r="I994" i="2"/>
  <c r="J994" i="2"/>
  <c r="K461" i="2"/>
  <c r="L461" i="2"/>
  <c r="M461" i="2"/>
  <c r="I858" i="2"/>
  <c r="J858" i="2"/>
  <c r="I984" i="2"/>
  <c r="J984" i="2"/>
  <c r="I805" i="2"/>
  <c r="J805" i="2"/>
  <c r="J799" i="2"/>
  <c r="I799" i="2"/>
  <c r="J522" i="2"/>
  <c r="I522" i="2"/>
  <c r="I787" i="2"/>
  <c r="J787" i="2"/>
  <c r="J1002" i="2"/>
  <c r="I1002" i="2"/>
  <c r="I1027" i="2"/>
  <c r="J1027" i="2"/>
  <c r="J1050" i="2"/>
  <c r="I1050" i="2"/>
  <c r="J1090" i="2"/>
  <c r="I1090" i="2"/>
  <c r="I1030" i="2"/>
  <c r="J1030" i="2"/>
  <c r="I1053" i="2"/>
  <c r="J1053" i="2"/>
  <c r="K198" i="2"/>
  <c r="L198" i="2"/>
  <c r="M198" i="2"/>
  <c r="I279" i="2"/>
  <c r="J279" i="2"/>
  <c r="J923" i="2"/>
  <c r="I923" i="2"/>
  <c r="K933" i="2"/>
  <c r="L933" i="2"/>
  <c r="M933" i="2"/>
  <c r="I973" i="2"/>
  <c r="J973" i="2"/>
  <c r="I1004" i="2"/>
  <c r="J1004" i="2"/>
  <c r="I1029" i="2"/>
  <c r="J1029" i="2"/>
  <c r="K1061" i="2"/>
  <c r="L1061" i="2"/>
  <c r="M1061" i="2"/>
  <c r="K896" i="2"/>
  <c r="L896" i="2"/>
  <c r="M896" i="2"/>
  <c r="K952" i="2"/>
  <c r="L952" i="2"/>
  <c r="M952" i="2"/>
  <c r="K811" i="2"/>
  <c r="L811" i="2"/>
  <c r="M811" i="2"/>
  <c r="K328" i="2"/>
  <c r="L328" i="2"/>
  <c r="M328" i="2"/>
  <c r="L1017" i="2"/>
  <c r="M1017" i="2"/>
  <c r="K1017" i="2"/>
  <c r="K506" i="2"/>
  <c r="L506" i="2"/>
  <c r="M506" i="2"/>
  <c r="I814" i="2"/>
  <c r="J814" i="2"/>
  <c r="L954" i="2"/>
  <c r="M954" i="2"/>
  <c r="K954" i="2"/>
  <c r="I989" i="2"/>
  <c r="J989" i="2"/>
  <c r="I1014" i="2"/>
  <c r="J1014" i="2"/>
  <c r="I1074" i="2"/>
  <c r="J1074" i="2"/>
  <c r="K797" i="2"/>
  <c r="L797" i="2"/>
  <c r="M797" i="2"/>
  <c r="K788" i="2"/>
  <c r="L788" i="2"/>
  <c r="M788" i="2"/>
  <c r="K1067" i="2"/>
  <c r="L1067" i="2"/>
  <c r="M1067" i="2"/>
  <c r="L988" i="2"/>
  <c r="M988" i="2"/>
  <c r="K988" i="2"/>
  <c r="K917" i="2"/>
  <c r="L917" i="2"/>
  <c r="M917" i="2"/>
  <c r="I502" i="2"/>
  <c r="J502" i="2"/>
  <c r="K136" i="2"/>
  <c r="L136" i="2"/>
  <c r="M136" i="2"/>
  <c r="I241" i="2"/>
  <c r="J241" i="2"/>
  <c r="K646" i="2"/>
  <c r="L646" i="2"/>
  <c r="M646" i="2"/>
  <c r="K1068" i="2"/>
  <c r="L1068" i="2"/>
  <c r="M1068" i="2"/>
  <c r="K23" i="2"/>
  <c r="L23" i="2"/>
  <c r="M23" i="2"/>
  <c r="L903" i="2"/>
  <c r="M903" i="2"/>
  <c r="K903" i="2"/>
  <c r="I656" i="2"/>
  <c r="J656" i="2"/>
  <c r="J197" i="2"/>
  <c r="I197" i="2"/>
  <c r="I763" i="2"/>
  <c r="J763" i="2"/>
  <c r="I810" i="2"/>
  <c r="J810" i="2"/>
  <c r="K1009" i="2"/>
  <c r="L1009" i="2"/>
  <c r="M1009" i="2"/>
  <c r="I482" i="2"/>
  <c r="J482" i="2"/>
  <c r="L904" i="2"/>
  <c r="M904" i="2"/>
  <c r="K904" i="2"/>
  <c r="L1036" i="2"/>
  <c r="M1036" i="2"/>
  <c r="K1036" i="2"/>
  <c r="L1000" i="2"/>
  <c r="M1000" i="2"/>
  <c r="K1000" i="2"/>
  <c r="I1059" i="2"/>
  <c r="J1059" i="2"/>
  <c r="L1005" i="2"/>
  <c r="M1005" i="2"/>
  <c r="K1005" i="2"/>
  <c r="I36" i="2"/>
  <c r="J36" i="2"/>
  <c r="J990" i="2"/>
  <c r="I990" i="2"/>
  <c r="I1085" i="2"/>
  <c r="J1085" i="2"/>
  <c r="I467" i="2"/>
  <c r="J467" i="2"/>
  <c r="J547" i="2"/>
  <c r="I547" i="2"/>
  <c r="K936" i="2"/>
  <c r="L936" i="2"/>
  <c r="M936" i="2"/>
  <c r="I794" i="2"/>
  <c r="J794" i="2"/>
  <c r="K951" i="2"/>
  <c r="L951" i="2"/>
  <c r="M951" i="2"/>
  <c r="J1032" i="2"/>
  <c r="I1032" i="2"/>
  <c r="J1055" i="2"/>
  <c r="I1055" i="2"/>
  <c r="L1045" i="2"/>
  <c r="M1045" i="2"/>
  <c r="K1045" i="2"/>
  <c r="I1034" i="2"/>
  <c r="J1034" i="2"/>
  <c r="K1058" i="2"/>
  <c r="L1058" i="2"/>
  <c r="M1058" i="2"/>
  <c r="L806" i="2"/>
  <c r="M806" i="2"/>
  <c r="K806" i="2"/>
  <c r="L935" i="2"/>
  <c r="M935" i="2"/>
  <c r="K935" i="2"/>
  <c r="I980" i="2"/>
  <c r="J980" i="2"/>
  <c r="I1008" i="2"/>
  <c r="J1008" i="2"/>
  <c r="L902" i="2"/>
  <c r="M902" i="2"/>
  <c r="K902" i="2"/>
  <c r="K961" i="2"/>
  <c r="L961" i="2"/>
  <c r="M961" i="2"/>
  <c r="K822" i="2"/>
  <c r="L822" i="2"/>
  <c r="M822" i="2"/>
  <c r="L474" i="2"/>
  <c r="M474" i="2"/>
  <c r="K474" i="2"/>
  <c r="K931" i="2"/>
  <c r="L931" i="2"/>
  <c r="M931" i="2"/>
  <c r="K963" i="2"/>
  <c r="L963" i="2"/>
  <c r="M963" i="2"/>
  <c r="K995" i="2"/>
  <c r="L995" i="2"/>
  <c r="M995" i="2"/>
  <c r="I1018" i="2"/>
  <c r="J1018" i="2"/>
  <c r="I1071" i="2"/>
  <c r="J1071" i="2"/>
  <c r="L1079" i="2"/>
  <c r="M1079" i="2"/>
  <c r="K1079" i="2"/>
  <c r="I521" i="2"/>
  <c r="J521" i="2"/>
  <c r="K937" i="2"/>
  <c r="L937" i="2"/>
  <c r="M937" i="2"/>
  <c r="I792" i="2"/>
  <c r="J792" i="2"/>
  <c r="K1078" i="2"/>
  <c r="L1078" i="2"/>
  <c r="M1078" i="2"/>
  <c r="L189" i="2"/>
  <c r="M189" i="2"/>
  <c r="K189" i="2"/>
  <c r="K921" i="2"/>
  <c r="L921" i="2"/>
  <c r="M921" i="2"/>
  <c r="K1092" i="2"/>
  <c r="L1092" i="2"/>
  <c r="M1092" i="2"/>
  <c r="L71" i="2"/>
  <c r="M71" i="2"/>
  <c r="K71" i="2"/>
  <c r="K920" i="2"/>
  <c r="L920" i="2"/>
  <c r="M920" i="2"/>
  <c r="K1007" i="2"/>
  <c r="L1007" i="2"/>
  <c r="M1007" i="2"/>
  <c r="L1033" i="2"/>
  <c r="M1033" i="2"/>
  <c r="K1033" i="2"/>
  <c r="J490" i="2"/>
  <c r="I490" i="2"/>
  <c r="K69" i="2"/>
  <c r="L69" i="2"/>
  <c r="M69" i="2"/>
  <c r="I789" i="2"/>
  <c r="J789" i="2"/>
  <c r="L992" i="2"/>
  <c r="M992" i="2"/>
  <c r="K992" i="2"/>
  <c r="I796" i="2"/>
  <c r="J796" i="2"/>
  <c r="I804" i="2"/>
  <c r="J804" i="2"/>
  <c r="L925" i="2"/>
  <c r="M925" i="2"/>
  <c r="K925" i="2"/>
  <c r="K949" i="2"/>
  <c r="L949" i="2"/>
  <c r="M949" i="2"/>
  <c r="I999" i="2"/>
  <c r="J999" i="2"/>
  <c r="I817" i="2"/>
  <c r="J817" i="2"/>
  <c r="L342" i="2"/>
  <c r="M342" i="2"/>
  <c r="K342" i="2"/>
  <c r="I784" i="2"/>
  <c r="J784" i="2"/>
  <c r="L17" i="2"/>
  <c r="M17" i="2"/>
  <c r="K17" i="2"/>
  <c r="L899" i="2"/>
  <c r="M899" i="2"/>
  <c r="K899" i="2"/>
  <c r="I1043" i="2"/>
  <c r="J1043" i="2"/>
  <c r="K1065" i="2"/>
  <c r="L1065" i="2"/>
  <c r="M1065" i="2"/>
  <c r="I42" i="2"/>
  <c r="J42" i="2"/>
  <c r="I302" i="2"/>
  <c r="J302" i="2"/>
  <c r="K377" i="2"/>
  <c r="L377" i="2"/>
  <c r="M377" i="2"/>
  <c r="K956" i="2"/>
  <c r="L956" i="2"/>
  <c r="M956" i="2"/>
  <c r="K997" i="2"/>
  <c r="L997" i="2"/>
  <c r="M997" i="2"/>
  <c r="K1091" i="2"/>
  <c r="L1091" i="2"/>
  <c r="M1091" i="2"/>
  <c r="I491" i="2"/>
  <c r="J491" i="2"/>
  <c r="I453" i="2"/>
  <c r="J453" i="2"/>
  <c r="I469" i="2"/>
  <c r="J469" i="2"/>
  <c r="J782" i="2"/>
  <c r="I782" i="2"/>
  <c r="I890" i="2"/>
  <c r="J890" i="2"/>
  <c r="L960" i="2"/>
  <c r="M960" i="2"/>
  <c r="K960" i="2"/>
  <c r="J1015" i="2"/>
  <c r="I1015" i="2"/>
  <c r="I1038" i="2"/>
  <c r="J1038" i="2"/>
  <c r="I1041" i="2"/>
  <c r="J1041" i="2"/>
  <c r="J25" i="2"/>
  <c r="I25" i="2"/>
  <c r="I460" i="2"/>
  <c r="J460" i="2"/>
  <c r="L463" i="2"/>
  <c r="M463" i="2"/>
  <c r="K463" i="2"/>
  <c r="K986" i="2"/>
  <c r="L986" i="2"/>
  <c r="M986" i="2"/>
  <c r="L1012" i="2"/>
  <c r="M1012" i="2"/>
  <c r="K1012" i="2"/>
  <c r="I1051" i="2"/>
  <c r="J1051" i="2"/>
  <c r="I1063" i="2"/>
  <c r="J1063" i="2"/>
  <c r="K444" i="2"/>
  <c r="L444" i="2"/>
  <c r="M444" i="2"/>
  <c r="K190" i="2"/>
  <c r="L190" i="2"/>
  <c r="M190" i="2"/>
  <c r="K790" i="2"/>
  <c r="L790" i="2"/>
  <c r="M790" i="2"/>
  <c r="L897" i="2"/>
  <c r="M897" i="2"/>
  <c r="K897" i="2"/>
  <c r="L927" i="2"/>
  <c r="M927" i="2"/>
  <c r="K927" i="2"/>
  <c r="K953" i="2"/>
  <c r="L953" i="2"/>
  <c r="M953" i="2"/>
  <c r="K68" i="2"/>
  <c r="L68" i="2"/>
  <c r="M68" i="2"/>
  <c r="L919" i="2"/>
  <c r="M919" i="2"/>
  <c r="K919" i="2"/>
  <c r="I1006" i="2"/>
  <c r="J1006" i="2"/>
  <c r="I1025" i="2"/>
  <c r="J1025" i="2"/>
  <c r="I1076" i="2"/>
  <c r="J1076" i="2"/>
  <c r="K975" i="2"/>
  <c r="L975" i="2"/>
  <c r="M975" i="2"/>
  <c r="I30" i="2"/>
  <c r="J30" i="2"/>
  <c r="K244" i="2"/>
  <c r="L244" i="2"/>
  <c r="M244" i="2"/>
  <c r="L809" i="2"/>
  <c r="M809" i="2"/>
  <c r="K809" i="2"/>
  <c r="L944" i="2"/>
  <c r="M944" i="2"/>
  <c r="K944" i="2"/>
  <c r="J802" i="2"/>
  <c r="I802" i="2"/>
  <c r="K901" i="2"/>
  <c r="L901" i="2"/>
  <c r="M901" i="2"/>
  <c r="L1060" i="2"/>
  <c r="M1060" i="2"/>
  <c r="K1060" i="2"/>
  <c r="K966" i="2"/>
  <c r="L966" i="2"/>
  <c r="M966" i="2"/>
  <c r="K945" i="2"/>
  <c r="L945" i="2"/>
  <c r="M945" i="2"/>
  <c r="J451" i="2"/>
  <c r="I451" i="2"/>
  <c r="K201" i="2"/>
  <c r="L201" i="2"/>
  <c r="M201" i="2"/>
  <c r="K943" i="2"/>
  <c r="L943" i="2"/>
  <c r="M943" i="2"/>
  <c r="L1016" i="2"/>
  <c r="M1016" i="2"/>
  <c r="K1016" i="2"/>
  <c r="I1075" i="2"/>
  <c r="J1075" i="2"/>
  <c r="K445" i="2"/>
  <c r="L445" i="2"/>
  <c r="M445" i="2"/>
  <c r="K958" i="2"/>
  <c r="L958" i="2"/>
  <c r="M958" i="2"/>
  <c r="I1013" i="2"/>
  <c r="J1013" i="2"/>
  <c r="I31" i="2"/>
  <c r="J31" i="2"/>
  <c r="L86" i="2"/>
  <c r="M86" i="2"/>
  <c r="K86" i="2"/>
  <c r="I200" i="2"/>
  <c r="J200" i="2"/>
  <c r="J543" i="2"/>
  <c r="I543" i="2"/>
  <c r="L962" i="2"/>
  <c r="M962" i="2"/>
  <c r="K962" i="2"/>
  <c r="J483" i="2"/>
  <c r="I483" i="2"/>
  <c r="L488" i="2"/>
  <c r="M488" i="2"/>
  <c r="K488" i="2"/>
  <c r="K929" i="2"/>
  <c r="L929" i="2"/>
  <c r="M929" i="2"/>
  <c r="I970" i="2"/>
  <c r="J970" i="2"/>
  <c r="I1049" i="2"/>
  <c r="J1049" i="2"/>
  <c r="I1088" i="2"/>
  <c r="J1088" i="2"/>
  <c r="I798" i="2"/>
  <c r="J798" i="2"/>
  <c r="I833" i="2"/>
  <c r="J833" i="2"/>
  <c r="K906" i="2"/>
  <c r="L906" i="2"/>
  <c r="M906" i="2"/>
  <c r="L964" i="2"/>
  <c r="M964" i="2"/>
  <c r="K964" i="2"/>
  <c r="J978" i="2"/>
  <c r="I978" i="2"/>
  <c r="I981" i="2"/>
  <c r="J981" i="2"/>
  <c r="I500" i="2"/>
  <c r="J500" i="2"/>
  <c r="J369" i="2"/>
  <c r="I369" i="2"/>
  <c r="L932" i="2"/>
  <c r="M932" i="2"/>
  <c r="K932" i="2"/>
  <c r="J1020" i="2"/>
  <c r="I1020" i="2"/>
  <c r="J1044" i="2"/>
  <c r="I1044" i="2"/>
  <c r="I1084" i="2"/>
  <c r="J1084" i="2"/>
  <c r="I1024" i="2"/>
  <c r="J1024" i="2"/>
  <c r="I1047" i="2"/>
  <c r="J1047" i="2"/>
  <c r="J208" i="2"/>
  <c r="I208" i="2"/>
  <c r="J793" i="2"/>
  <c r="I793" i="2"/>
  <c r="K957" i="2"/>
  <c r="L957" i="2"/>
  <c r="M957" i="2"/>
  <c r="I998" i="2"/>
  <c r="J998" i="2"/>
  <c r="I1022" i="2"/>
  <c r="J1022" i="2"/>
  <c r="I1056" i="2"/>
  <c r="J1056" i="2"/>
  <c r="K1080" i="2"/>
  <c r="L1080" i="2"/>
  <c r="M1080" i="2"/>
  <c r="L492" i="2"/>
  <c r="M492" i="2"/>
  <c r="K492" i="2"/>
  <c r="L1094" i="2"/>
  <c r="M1094" i="2"/>
  <c r="K1094" i="2"/>
  <c r="I983" i="2"/>
  <c r="J983" i="2"/>
  <c r="I1010" i="2"/>
  <c r="J1010" i="2"/>
  <c r="I1031" i="2"/>
  <c r="J1031" i="2"/>
  <c r="K1082" i="2"/>
  <c r="L1082" i="2"/>
  <c r="M1082" i="2"/>
  <c r="K1070" i="2"/>
  <c r="L1070" i="2"/>
  <c r="M1070" i="2"/>
  <c r="J59" i="2"/>
  <c r="I59" i="2"/>
  <c r="I762" i="2"/>
  <c r="J762" i="2"/>
  <c r="I783" i="2"/>
  <c r="J783" i="2"/>
  <c r="L950" i="2"/>
  <c r="M950" i="2"/>
  <c r="K950" i="2"/>
  <c r="J842" i="2"/>
  <c r="I842" i="2"/>
  <c r="L1011" i="2"/>
  <c r="M1011" i="2"/>
  <c r="K1011" i="2"/>
  <c r="L504" i="2"/>
  <c r="M504" i="2"/>
  <c r="K504" i="2"/>
  <c r="K971" i="2"/>
  <c r="L971" i="2"/>
  <c r="M971" i="2"/>
  <c r="K894" i="2"/>
  <c r="L894" i="2"/>
  <c r="M894" i="2"/>
  <c r="K319" i="2"/>
  <c r="L319" i="2"/>
  <c r="M319" i="2"/>
  <c r="L182" i="2"/>
  <c r="M182" i="2"/>
  <c r="K182" i="2"/>
  <c r="K651" i="2"/>
  <c r="L651" i="2"/>
  <c r="M651" i="2"/>
  <c r="J773" i="2"/>
  <c r="I773" i="2"/>
  <c r="J675" i="2"/>
  <c r="I675" i="2"/>
  <c r="J690" i="2"/>
  <c r="I690" i="2"/>
  <c r="I386" i="2"/>
  <c r="J386" i="2"/>
  <c r="L97" i="2"/>
  <c r="M97" i="2"/>
  <c r="K97" i="2"/>
  <c r="K100" i="2"/>
  <c r="L100" i="2"/>
  <c r="M100" i="2"/>
  <c r="J538" i="2"/>
  <c r="I538" i="2"/>
  <c r="K404" i="2"/>
  <c r="L404" i="2"/>
  <c r="M404" i="2"/>
  <c r="J28" i="2"/>
  <c r="I28" i="2"/>
  <c r="J743" i="2"/>
  <c r="I743" i="2"/>
  <c r="J433" i="2"/>
  <c r="I433" i="2"/>
  <c r="I317" i="2"/>
  <c r="J317" i="2"/>
  <c r="I267" i="2"/>
  <c r="J267" i="2"/>
  <c r="J149" i="2"/>
  <c r="I149" i="2"/>
  <c r="J96" i="2"/>
  <c r="I96" i="2"/>
  <c r="I458" i="2"/>
  <c r="J458" i="2"/>
  <c r="K248" i="2"/>
  <c r="L248" i="2"/>
  <c r="M248" i="2"/>
  <c r="J33" i="2"/>
  <c r="I33" i="2"/>
  <c r="I834" i="2"/>
  <c r="J834" i="2"/>
  <c r="K277" i="2"/>
  <c r="L277" i="2"/>
  <c r="M277" i="2"/>
  <c r="L124" i="2"/>
  <c r="M124" i="2"/>
  <c r="K124" i="2"/>
  <c r="L728" i="2"/>
  <c r="M728" i="2"/>
  <c r="K728" i="2"/>
  <c r="I706" i="2"/>
  <c r="J706" i="2"/>
  <c r="I412" i="2"/>
  <c r="J412" i="2"/>
  <c r="I293" i="2"/>
  <c r="J293" i="2"/>
  <c r="J133" i="2"/>
  <c r="I133" i="2"/>
  <c r="I81" i="2"/>
  <c r="J81" i="2"/>
  <c r="J138" i="2"/>
  <c r="I138" i="2"/>
  <c r="I357" i="2"/>
  <c r="J357" i="2"/>
  <c r="L671" i="2"/>
  <c r="M671" i="2"/>
  <c r="K671" i="2"/>
  <c r="J137" i="2"/>
  <c r="I137" i="2"/>
  <c r="L271" i="2"/>
  <c r="M271" i="2"/>
  <c r="K271" i="2"/>
  <c r="J649" i="2"/>
  <c r="I649" i="2"/>
  <c r="I194" i="2"/>
  <c r="J194" i="2"/>
  <c r="K514" i="2"/>
  <c r="L514" i="2"/>
  <c r="M514" i="2"/>
  <c r="J772" i="2"/>
  <c r="I772" i="2"/>
  <c r="J682" i="2"/>
  <c r="I682" i="2"/>
  <c r="K513" i="2"/>
  <c r="L513" i="2"/>
  <c r="M513" i="2"/>
  <c r="L471" i="2"/>
  <c r="M471" i="2"/>
  <c r="K471" i="2"/>
  <c r="J701" i="2"/>
  <c r="I701" i="2"/>
  <c r="I327" i="2"/>
  <c r="J327" i="2"/>
  <c r="K374" i="2"/>
  <c r="L374" i="2"/>
  <c r="M374" i="2"/>
  <c r="K300" i="2"/>
  <c r="L300" i="2"/>
  <c r="M300" i="2"/>
  <c r="J430" i="2"/>
  <c r="I430" i="2"/>
  <c r="K366" i="2"/>
  <c r="L366" i="2"/>
  <c r="M366" i="2"/>
  <c r="I147" i="2"/>
  <c r="J147" i="2"/>
  <c r="I220" i="2"/>
  <c r="J220" i="2"/>
  <c r="K52" i="2"/>
  <c r="L52" i="2"/>
  <c r="M52" i="2"/>
  <c r="L35" i="2"/>
  <c r="M35" i="2"/>
  <c r="K35" i="2"/>
  <c r="J541" i="2"/>
  <c r="I541" i="2"/>
  <c r="J168" i="2"/>
  <c r="I168" i="2"/>
  <c r="I418" i="2"/>
  <c r="J418" i="2"/>
  <c r="I740" i="2"/>
  <c r="J740" i="2"/>
  <c r="I314" i="2"/>
  <c r="J314" i="2"/>
  <c r="J93" i="2"/>
  <c r="I93" i="2"/>
  <c r="I179" i="2"/>
  <c r="J179" i="2"/>
  <c r="I487" i="2"/>
  <c r="J487" i="2"/>
  <c r="I711" i="2"/>
  <c r="J711" i="2"/>
  <c r="L396" i="2"/>
  <c r="M396" i="2"/>
  <c r="K396" i="2"/>
  <c r="K233" i="2"/>
  <c r="L233" i="2"/>
  <c r="M233" i="2"/>
  <c r="K109" i="2"/>
  <c r="L109" i="2"/>
  <c r="M109" i="2"/>
  <c r="I29" i="2"/>
  <c r="J29" i="2"/>
  <c r="K161" i="2"/>
  <c r="L161" i="2"/>
  <c r="M161" i="2"/>
  <c r="J165" i="2"/>
  <c r="I165" i="2"/>
  <c r="J831" i="2"/>
  <c r="I831" i="2"/>
  <c r="K346" i="2"/>
  <c r="L346" i="2"/>
  <c r="M346" i="2"/>
  <c r="L258" i="2"/>
  <c r="M258" i="2"/>
  <c r="K258" i="2"/>
  <c r="I540" i="2"/>
  <c r="J540" i="2"/>
  <c r="L422" i="2"/>
  <c r="M422" i="2"/>
  <c r="K422" i="2"/>
  <c r="L156" i="2"/>
  <c r="M156" i="2"/>
  <c r="K156" i="2"/>
  <c r="L166" i="2"/>
  <c r="M166" i="2"/>
  <c r="K166" i="2"/>
  <c r="K188" i="2"/>
  <c r="L188" i="2"/>
  <c r="M188" i="2"/>
  <c r="K315" i="2"/>
  <c r="L315" i="2"/>
  <c r="M315" i="2"/>
  <c r="L94" i="2"/>
  <c r="M94" i="2"/>
  <c r="K94" i="2"/>
  <c r="J778" i="2"/>
  <c r="I778" i="2"/>
  <c r="I683" i="2"/>
  <c r="J683" i="2"/>
  <c r="J694" i="2"/>
  <c r="I694" i="2"/>
  <c r="I676" i="2"/>
  <c r="J676" i="2"/>
  <c r="K389" i="2"/>
  <c r="L389" i="2"/>
  <c r="M389" i="2"/>
  <c r="I854" i="2"/>
  <c r="J854" i="2"/>
  <c r="K476" i="2"/>
  <c r="L476" i="2"/>
  <c r="M476" i="2"/>
  <c r="L275" i="2"/>
  <c r="M275" i="2"/>
  <c r="K275" i="2"/>
  <c r="K365" i="2"/>
  <c r="L365" i="2"/>
  <c r="M365" i="2"/>
  <c r="K116" i="2"/>
  <c r="L116" i="2"/>
  <c r="M116" i="2"/>
  <c r="K246" i="2"/>
  <c r="L246" i="2"/>
  <c r="M246" i="2"/>
  <c r="K65" i="2"/>
  <c r="L65" i="2"/>
  <c r="M65" i="2"/>
  <c r="J725" i="2"/>
  <c r="I725" i="2"/>
  <c r="K301" i="2"/>
  <c r="L301" i="2"/>
  <c r="M301" i="2"/>
  <c r="I730" i="2"/>
  <c r="J730" i="2"/>
  <c r="I756" i="2"/>
  <c r="J756" i="2"/>
  <c r="I739" i="2"/>
  <c r="J739" i="2"/>
  <c r="J427" i="2"/>
  <c r="I427" i="2"/>
  <c r="K313" i="2"/>
  <c r="L313" i="2"/>
  <c r="M313" i="2"/>
  <c r="L263" i="2"/>
  <c r="M263" i="2"/>
  <c r="K263" i="2"/>
  <c r="I215" i="2"/>
  <c r="J215" i="2"/>
  <c r="I145" i="2"/>
  <c r="J145" i="2"/>
  <c r="L92" i="2"/>
  <c r="M92" i="2"/>
  <c r="K92" i="2"/>
  <c r="I159" i="2"/>
  <c r="J159" i="2"/>
  <c r="I210" i="2"/>
  <c r="J210" i="2"/>
  <c r="K56" i="2"/>
  <c r="L56" i="2"/>
  <c r="M56" i="2"/>
  <c r="I255" i="2"/>
  <c r="J255" i="2"/>
  <c r="J770" i="2"/>
  <c r="I770" i="2"/>
  <c r="K525" i="2"/>
  <c r="L525" i="2"/>
  <c r="M525" i="2"/>
  <c r="K54" i="2"/>
  <c r="L54" i="2"/>
  <c r="M54" i="2"/>
  <c r="K324" i="2"/>
  <c r="L324" i="2"/>
  <c r="M324" i="2"/>
  <c r="I840" i="2"/>
  <c r="J840" i="2"/>
  <c r="J399" i="2"/>
  <c r="I399" i="2"/>
  <c r="I320" i="2"/>
  <c r="J320" i="2"/>
  <c r="I289" i="2"/>
  <c r="J289" i="2"/>
  <c r="I236" i="2"/>
  <c r="J236" i="2"/>
  <c r="L183" i="2"/>
  <c r="M183" i="2"/>
  <c r="K183" i="2"/>
  <c r="J129" i="2"/>
  <c r="I129" i="2"/>
  <c r="I111" i="2"/>
  <c r="J111" i="2"/>
  <c r="I110" i="2"/>
  <c r="J110" i="2"/>
  <c r="J663" i="2"/>
  <c r="I663" i="2"/>
  <c r="I102" i="2"/>
  <c r="J102" i="2"/>
  <c r="L647" i="2"/>
  <c r="M647" i="2"/>
  <c r="K647" i="2"/>
  <c r="J252" i="2"/>
  <c r="I252" i="2"/>
  <c r="I777" i="2"/>
  <c r="J777" i="2"/>
  <c r="I845" i="2"/>
  <c r="J845" i="2"/>
  <c r="J282" i="2"/>
  <c r="I282" i="2"/>
  <c r="I406" i="2"/>
  <c r="J406" i="2"/>
  <c r="I382" i="2"/>
  <c r="J382" i="2"/>
  <c r="K304" i="2"/>
  <c r="L304" i="2"/>
  <c r="M304" i="2"/>
  <c r="L84" i="2"/>
  <c r="M84" i="2"/>
  <c r="K84" i="2"/>
  <c r="K229" i="2"/>
  <c r="L229" i="2"/>
  <c r="M229" i="2"/>
  <c r="I692" i="2"/>
  <c r="J692" i="2"/>
  <c r="K152" i="2"/>
  <c r="L152" i="2"/>
  <c r="M152" i="2"/>
  <c r="L180" i="2"/>
  <c r="M180" i="2"/>
  <c r="K180" i="2"/>
  <c r="J716" i="2"/>
  <c r="I716" i="2"/>
  <c r="J750" i="2"/>
  <c r="I750" i="2"/>
  <c r="I217" i="2"/>
  <c r="J217" i="2"/>
  <c r="I162" i="2"/>
  <c r="J162" i="2"/>
  <c r="L662" i="2"/>
  <c r="M662" i="2"/>
  <c r="K662" i="2"/>
  <c r="I195" i="2"/>
  <c r="J195" i="2"/>
  <c r="J726" i="2"/>
  <c r="I726" i="2"/>
  <c r="I127" i="2"/>
  <c r="J127" i="2"/>
  <c r="I27" i="2"/>
  <c r="J27" i="2"/>
  <c r="I216" i="2"/>
  <c r="J216" i="2"/>
  <c r="I677" i="2"/>
  <c r="J677" i="2"/>
  <c r="K352" i="2"/>
  <c r="L352" i="2"/>
  <c r="M352" i="2"/>
  <c r="I516" i="2"/>
  <c r="J516" i="2"/>
  <c r="I439" i="2"/>
  <c r="J439" i="2"/>
  <c r="J354" i="2"/>
  <c r="I354" i="2"/>
  <c r="L74" i="2"/>
  <c r="M74" i="2"/>
  <c r="K74" i="2"/>
  <c r="J170" i="2"/>
  <c r="I170" i="2"/>
  <c r="L408" i="2"/>
  <c r="M408" i="2"/>
  <c r="K408" i="2"/>
  <c r="I281" i="2"/>
  <c r="J281" i="2"/>
  <c r="J26" i="2"/>
  <c r="I26" i="2"/>
  <c r="I746" i="2"/>
  <c r="J746" i="2"/>
  <c r="I425" i="2"/>
  <c r="J425" i="2"/>
  <c r="I261" i="2"/>
  <c r="J261" i="2"/>
  <c r="J206" i="2"/>
  <c r="I206" i="2"/>
  <c r="I143" i="2"/>
  <c r="J143" i="2"/>
  <c r="K158" i="2"/>
  <c r="L158" i="2"/>
  <c r="M158" i="2"/>
  <c r="I114" i="2"/>
  <c r="J114" i="2"/>
  <c r="I479" i="2"/>
  <c r="J479" i="2"/>
  <c r="K403" i="2"/>
  <c r="L403" i="2"/>
  <c r="M403" i="2"/>
  <c r="K648" i="2"/>
  <c r="L648" i="2"/>
  <c r="M648" i="2"/>
  <c r="I253" i="2"/>
  <c r="J253" i="2"/>
  <c r="I758" i="2"/>
  <c r="J758" i="2"/>
  <c r="J231" i="2"/>
  <c r="I231" i="2"/>
  <c r="L44" i="2"/>
  <c r="M44" i="2"/>
  <c r="K44" i="2"/>
  <c r="L423" i="2"/>
  <c r="M423" i="2"/>
  <c r="K423" i="2"/>
  <c r="L329" i="2"/>
  <c r="M329" i="2"/>
  <c r="K329" i="2"/>
  <c r="L222" i="2"/>
  <c r="M222" i="2"/>
  <c r="K222" i="2"/>
  <c r="K280" i="2"/>
  <c r="L280" i="2"/>
  <c r="M280" i="2"/>
  <c r="I362" i="2"/>
  <c r="J362" i="2"/>
  <c r="I753" i="2"/>
  <c r="J753" i="2"/>
  <c r="I736" i="2"/>
  <c r="J736" i="2"/>
  <c r="I414" i="2"/>
  <c r="J414" i="2"/>
  <c r="K348" i="2"/>
  <c r="L348" i="2"/>
  <c r="M348" i="2"/>
  <c r="I295" i="2"/>
  <c r="J295" i="2"/>
  <c r="I260" i="2"/>
  <c r="J260" i="2"/>
  <c r="I205" i="2"/>
  <c r="J205" i="2"/>
  <c r="J113" i="2"/>
  <c r="I113" i="2"/>
  <c r="L224" i="2"/>
  <c r="M224" i="2"/>
  <c r="K224" i="2"/>
  <c r="I669" i="2"/>
  <c r="J669" i="2"/>
  <c r="L191" i="2"/>
  <c r="M191" i="2"/>
  <c r="K191" i="2"/>
  <c r="I34" i="2"/>
  <c r="J34" i="2"/>
  <c r="L212" i="2"/>
  <c r="M212" i="2"/>
  <c r="K212" i="2"/>
  <c r="I527" i="2"/>
  <c r="J527" i="2"/>
  <c r="I419" i="2"/>
  <c r="J419" i="2"/>
  <c r="K330" i="2"/>
  <c r="L330" i="2"/>
  <c r="M330" i="2"/>
  <c r="I853" i="2"/>
  <c r="J853" i="2"/>
  <c r="J223" i="2"/>
  <c r="I223" i="2"/>
  <c r="I276" i="2"/>
  <c r="J276" i="2"/>
  <c r="I118" i="2"/>
  <c r="J118" i="2"/>
  <c r="L250" i="2"/>
  <c r="M250" i="2"/>
  <c r="K250" i="2"/>
  <c r="K364" i="2"/>
  <c r="L364" i="2"/>
  <c r="M364" i="2"/>
  <c r="J486" i="2"/>
  <c r="I486" i="2"/>
  <c r="I273" i="2"/>
  <c r="J273" i="2"/>
  <c r="I700" i="2"/>
  <c r="J700" i="2"/>
  <c r="J478" i="2"/>
  <c r="I478" i="2"/>
  <c r="K228" i="2"/>
  <c r="L228" i="2"/>
  <c r="M228" i="2"/>
  <c r="J497" i="2"/>
  <c r="I497" i="2"/>
  <c r="L509" i="2"/>
  <c r="M509" i="2"/>
  <c r="K509" i="2"/>
  <c r="J755" i="2"/>
  <c r="I755" i="2"/>
  <c r="J738" i="2"/>
  <c r="I738" i="2"/>
  <c r="K62" i="2"/>
  <c r="L62" i="2"/>
  <c r="M62" i="2"/>
  <c r="L438" i="2"/>
  <c r="M438" i="2"/>
  <c r="K438" i="2"/>
  <c r="L518" i="2"/>
  <c r="M518" i="2"/>
  <c r="K518" i="2"/>
  <c r="I862" i="2"/>
  <c r="J862" i="2"/>
  <c r="I708" i="2"/>
  <c r="J708" i="2"/>
  <c r="L449" i="2"/>
  <c r="M449" i="2"/>
  <c r="K449" i="2"/>
  <c r="P2117" i="1"/>
  <c r="I545" i="2"/>
  <c r="J545" i="2"/>
  <c r="J265" i="2"/>
  <c r="I265" i="2"/>
  <c r="J358" i="2"/>
  <c r="I358" i="2"/>
  <c r="I515" i="2"/>
  <c r="J515" i="2"/>
  <c r="I863" i="2"/>
  <c r="J863" i="2"/>
  <c r="L470" i="2"/>
  <c r="M470" i="2"/>
  <c r="K470" i="2"/>
  <c r="I428" i="2"/>
  <c r="J428" i="2"/>
  <c r="K264" i="2"/>
  <c r="L264" i="2"/>
  <c r="M264" i="2"/>
  <c r="L146" i="2"/>
  <c r="M146" i="2"/>
  <c r="K146" i="2"/>
  <c r="I650" i="2"/>
  <c r="J650" i="2"/>
  <c r="J775" i="2"/>
  <c r="I775" i="2"/>
  <c r="J385" i="2"/>
  <c r="I385" i="2"/>
  <c r="I533" i="2"/>
  <c r="J533" i="2"/>
  <c r="K674" i="2"/>
  <c r="L674" i="2"/>
  <c r="M674" i="2"/>
  <c r="I326" i="2"/>
  <c r="J326" i="2"/>
  <c r="J447" i="2"/>
  <c r="I447" i="2"/>
  <c r="L688" i="2"/>
  <c r="M688" i="2"/>
  <c r="K688" i="2"/>
  <c r="K742" i="2"/>
  <c r="L742" i="2"/>
  <c r="M742" i="2"/>
  <c r="K203" i="2"/>
  <c r="L203" i="2"/>
  <c r="M203" i="2"/>
  <c r="K349" i="2"/>
  <c r="L349" i="2"/>
  <c r="M349" i="2"/>
  <c r="K296" i="2"/>
  <c r="L296" i="2"/>
  <c r="M296" i="2"/>
  <c r="L90" i="2"/>
  <c r="M90" i="2"/>
  <c r="K90" i="2"/>
  <c r="L135" i="2"/>
  <c r="M135" i="2"/>
  <c r="K135" i="2"/>
  <c r="L519" i="2"/>
  <c r="M519" i="2"/>
  <c r="K519" i="2"/>
  <c r="K665" i="2"/>
  <c r="L665" i="2"/>
  <c r="M665" i="2"/>
  <c r="I684" i="2"/>
  <c r="J684" i="2"/>
  <c r="L761" i="2"/>
  <c r="M761" i="2"/>
  <c r="K761" i="2"/>
  <c r="K381" i="2"/>
  <c r="L381" i="2"/>
  <c r="M381" i="2"/>
  <c r="K142" i="2"/>
  <c r="L142" i="2"/>
  <c r="M142" i="2"/>
  <c r="L60" i="2"/>
  <c r="M60" i="2"/>
  <c r="K60" i="2"/>
  <c r="L51" i="2"/>
  <c r="M51" i="2"/>
  <c r="K51" i="2"/>
  <c r="I828" i="2"/>
  <c r="J828" i="2"/>
  <c r="L752" i="2"/>
  <c r="M752" i="2"/>
  <c r="K752" i="2"/>
  <c r="I735" i="2"/>
  <c r="J735" i="2"/>
  <c r="I413" i="2"/>
  <c r="J413" i="2"/>
  <c r="I347" i="2"/>
  <c r="J347" i="2"/>
  <c r="K294" i="2"/>
  <c r="L294" i="2"/>
  <c r="M294" i="2"/>
  <c r="I259" i="2"/>
  <c r="J259" i="2"/>
  <c r="I204" i="2"/>
  <c r="J204" i="2"/>
  <c r="I141" i="2"/>
  <c r="J141" i="2"/>
  <c r="I82" i="2"/>
  <c r="J82" i="2"/>
  <c r="K105" i="2"/>
  <c r="L105" i="2"/>
  <c r="M105" i="2"/>
  <c r="I672" i="2"/>
  <c r="J672" i="2"/>
  <c r="J517" i="2"/>
  <c r="I517" i="2"/>
  <c r="L405" i="2"/>
  <c r="M405" i="2"/>
  <c r="K405" i="2"/>
  <c r="K78" i="2"/>
  <c r="L78" i="2"/>
  <c r="M78" i="2"/>
  <c r="L431" i="2"/>
  <c r="M431" i="2"/>
  <c r="K431" i="2"/>
  <c r="I367" i="2"/>
  <c r="J367" i="2"/>
  <c r="L316" i="2"/>
  <c r="M316" i="2"/>
  <c r="K316" i="2"/>
  <c r="J266" i="2"/>
  <c r="I266" i="2"/>
  <c r="L148" i="2"/>
  <c r="M148" i="2"/>
  <c r="K148" i="2"/>
  <c r="J95" i="2"/>
  <c r="I95" i="2"/>
  <c r="J457" i="2"/>
  <c r="I457" i="2"/>
  <c r="K106" i="2"/>
  <c r="L106" i="2"/>
  <c r="M106" i="2"/>
  <c r="K242" i="2"/>
  <c r="L242" i="2"/>
  <c r="M242" i="2"/>
  <c r="K67" i="2"/>
  <c r="L67" i="2"/>
  <c r="M67" i="2"/>
  <c r="I323" i="2"/>
  <c r="J323" i="2"/>
  <c r="L171" i="2"/>
  <c r="M171" i="2"/>
  <c r="K171" i="2"/>
  <c r="K286" i="2"/>
  <c r="L286" i="2"/>
  <c r="M286" i="2"/>
  <c r="I767" i="2"/>
  <c r="J767" i="2"/>
  <c r="J667" i="2"/>
  <c r="I667" i="2"/>
  <c r="I465" i="2"/>
  <c r="J465" i="2"/>
  <c r="L331" i="2"/>
  <c r="M331" i="2"/>
  <c r="K331" i="2"/>
  <c r="K108" i="2"/>
  <c r="L108" i="2"/>
  <c r="M108" i="2"/>
  <c r="K22" i="2"/>
  <c r="L22" i="2"/>
  <c r="M22" i="2"/>
  <c r="I121" i="2"/>
  <c r="J121" i="2"/>
  <c r="I311" i="2"/>
  <c r="J311" i="2"/>
  <c r="K498" i="2"/>
  <c r="L498" i="2"/>
  <c r="M498" i="2"/>
  <c r="K103" i="2"/>
  <c r="L103" i="2"/>
  <c r="M103" i="2"/>
  <c r="J539" i="2"/>
  <c r="I539" i="2"/>
  <c r="K657" i="2"/>
  <c r="L657" i="2"/>
  <c r="M657" i="2"/>
  <c r="I741" i="2"/>
  <c r="J741" i="2"/>
  <c r="L340" i="2"/>
  <c r="M340" i="2"/>
  <c r="K340" i="2"/>
  <c r="J257" i="2"/>
  <c r="I257" i="2"/>
  <c r="J132" i="2"/>
  <c r="I132" i="2"/>
  <c r="I80" i="2"/>
  <c r="J80" i="2"/>
  <c r="J112" i="2"/>
  <c r="I112" i="2"/>
  <c r="I678" i="2"/>
  <c r="J678" i="2"/>
  <c r="K353" i="2"/>
  <c r="L353" i="2"/>
  <c r="M353" i="2"/>
  <c r="J101" i="2"/>
  <c r="I101" i="2"/>
  <c r="L172" i="2"/>
  <c r="M172" i="2"/>
  <c r="K172" i="2"/>
  <c r="I768" i="2"/>
  <c r="J768" i="2"/>
  <c r="I861" i="2"/>
  <c r="J861" i="2"/>
  <c r="I73" i="2"/>
  <c r="J73" i="2"/>
  <c r="J333" i="2"/>
  <c r="I333" i="2"/>
  <c r="I658" i="2"/>
  <c r="J658" i="2"/>
  <c r="K283" i="2"/>
  <c r="L283" i="2"/>
  <c r="M283" i="2"/>
  <c r="J371" i="2"/>
  <c r="I371" i="2"/>
  <c r="I21" i="2"/>
  <c r="J21" i="2"/>
  <c r="J455" i="2"/>
  <c r="I455" i="2"/>
  <c r="K749" i="2"/>
  <c r="L749" i="2"/>
  <c r="M749" i="2"/>
  <c r="J410" i="2"/>
  <c r="I410" i="2"/>
  <c r="J339" i="2"/>
  <c r="I339" i="2"/>
  <c r="L291" i="2"/>
  <c r="M291" i="2"/>
  <c r="K291" i="2"/>
  <c r="I131" i="2"/>
  <c r="J131" i="2"/>
  <c r="I155" i="2"/>
  <c r="J155" i="2"/>
  <c r="L209" i="2"/>
  <c r="M209" i="2"/>
  <c r="K209" i="2"/>
  <c r="J699" i="2"/>
  <c r="I699" i="2"/>
  <c r="I153" i="2"/>
  <c r="J153" i="2"/>
  <c r="I464" i="2"/>
  <c r="J464" i="2"/>
  <c r="I254" i="2"/>
  <c r="J254" i="2"/>
  <c r="J769" i="2"/>
  <c r="I769" i="2"/>
  <c r="I284" i="2"/>
  <c r="J284" i="2"/>
  <c r="I372" i="2"/>
  <c r="J372" i="2"/>
  <c r="L380" i="2"/>
  <c r="M380" i="2"/>
  <c r="K380" i="2"/>
  <c r="I123" i="2"/>
  <c r="J123" i="2"/>
  <c r="K309" i="2"/>
  <c r="L309" i="2"/>
  <c r="M309" i="2"/>
  <c r="K139" i="2"/>
  <c r="L139" i="2"/>
  <c r="M139" i="2"/>
  <c r="J843" i="2"/>
  <c r="I843" i="2"/>
  <c r="I416" i="2"/>
  <c r="J416" i="2"/>
  <c r="I384" i="2"/>
  <c r="J384" i="2"/>
  <c r="L303" i="2"/>
  <c r="M303" i="2"/>
  <c r="K303" i="2"/>
  <c r="L119" i="2"/>
  <c r="M119" i="2"/>
  <c r="K119" i="2"/>
  <c r="J310" i="2"/>
  <c r="I310" i="2"/>
  <c r="I751" i="2"/>
  <c r="J751" i="2"/>
  <c r="J734" i="2"/>
  <c r="I734" i="2"/>
  <c r="L218" i="2"/>
  <c r="M218" i="2"/>
  <c r="K218" i="2"/>
  <c r="K57" i="2"/>
  <c r="L57" i="2"/>
  <c r="M57" i="2"/>
  <c r="I530" i="2"/>
  <c r="J530" i="2"/>
  <c r="K274" i="2"/>
  <c r="L274" i="2"/>
  <c r="M274" i="2"/>
  <c r="L759" i="2"/>
  <c r="M759" i="2"/>
  <c r="K759" i="2"/>
  <c r="I776" i="2"/>
  <c r="J776" i="2"/>
  <c r="N2117" i="1"/>
  <c r="L2117" i="1"/>
  <c r="K411" i="2"/>
  <c r="L411" i="2"/>
  <c r="M411" i="2"/>
  <c r="K292" i="2"/>
  <c r="L292" i="2"/>
  <c r="M292" i="2"/>
  <c r="K186" i="2"/>
  <c r="L186" i="2"/>
  <c r="M186" i="2"/>
  <c r="L437" i="2"/>
  <c r="M437" i="2"/>
  <c r="K437" i="2"/>
  <c r="K287" i="2"/>
  <c r="L287" i="2"/>
  <c r="M287" i="2"/>
  <c r="I531" i="2"/>
  <c r="J531" i="2"/>
  <c r="K104" i="2"/>
  <c r="L104" i="2"/>
  <c r="M104" i="2"/>
  <c r="K441" i="2"/>
  <c r="L441" i="2"/>
  <c r="M441" i="2"/>
  <c r="L666" i="2"/>
  <c r="M666" i="2"/>
  <c r="K666" i="2"/>
  <c r="K495" i="2"/>
  <c r="L495" i="2"/>
  <c r="M495" i="2"/>
  <c r="L238" i="2"/>
  <c r="M238" i="2"/>
  <c r="K238" i="2"/>
  <c r="K185" i="2"/>
  <c r="L185" i="2"/>
  <c r="M185" i="2"/>
  <c r="K661" i="2"/>
  <c r="L661" i="2"/>
  <c r="M661" i="2"/>
  <c r="L402" i="2"/>
  <c r="M402" i="2"/>
  <c r="K402" i="2"/>
  <c r="J532" i="2"/>
  <c r="I532" i="2"/>
  <c r="K388" i="2"/>
  <c r="L388" i="2"/>
  <c r="M388" i="2"/>
  <c r="L53" i="2"/>
  <c r="M53" i="2"/>
  <c r="K53" i="2"/>
  <c r="L442" i="2"/>
  <c r="M442" i="2"/>
  <c r="K442" i="2"/>
  <c r="J494" i="2"/>
  <c r="I494" i="2"/>
  <c r="J400" i="2"/>
  <c r="I400" i="2"/>
  <c r="L321" i="2"/>
  <c r="M321" i="2"/>
  <c r="K321" i="2"/>
  <c r="I290" i="2"/>
  <c r="J290" i="2"/>
  <c r="L184" i="2"/>
  <c r="M184" i="2"/>
  <c r="K184" i="2"/>
  <c r="J130" i="2"/>
  <c r="I130" i="2"/>
  <c r="J63" i="2"/>
  <c r="I63" i="2"/>
  <c r="I115" i="2"/>
  <c r="J115" i="2"/>
  <c r="I668" i="2"/>
  <c r="J668" i="2"/>
  <c r="I766" i="2"/>
  <c r="J766" i="2"/>
  <c r="I859" i="2"/>
  <c r="J859" i="2"/>
  <c r="K226" i="2"/>
  <c r="L226" i="2"/>
  <c r="M226" i="2"/>
  <c r="I724" i="2"/>
  <c r="J724" i="2"/>
  <c r="K355" i="2"/>
  <c r="L355" i="2"/>
  <c r="M355" i="2"/>
  <c r="R739" i="1"/>
  <c r="I297" i="2"/>
  <c r="J297" i="2"/>
  <c r="J262" i="2"/>
  <c r="I262" i="2"/>
  <c r="K214" i="2"/>
  <c r="L214" i="2"/>
  <c r="M214" i="2"/>
  <c r="K144" i="2"/>
  <c r="L144" i="2"/>
  <c r="M144" i="2"/>
  <c r="I91" i="2"/>
  <c r="J91" i="2"/>
  <c r="J160" i="2"/>
  <c r="I160" i="2"/>
  <c r="L245" i="2"/>
  <c r="M245" i="2"/>
  <c r="K245" i="2"/>
  <c r="I679" i="2"/>
  <c r="J679" i="2"/>
  <c r="K221" i="2"/>
  <c r="L221" i="2"/>
  <c r="M221" i="2"/>
  <c r="I299" i="2"/>
  <c r="J299" i="2"/>
  <c r="K336" i="2"/>
  <c r="L336" i="2"/>
  <c r="M336" i="2"/>
  <c r="J177" i="2"/>
  <c r="I177" i="2"/>
  <c r="L510" i="2"/>
  <c r="M510" i="2"/>
  <c r="K510" i="2"/>
  <c r="I687" i="2"/>
  <c r="J687" i="2"/>
  <c r="K175" i="2"/>
  <c r="L175" i="2"/>
  <c r="M175" i="2"/>
  <c r="I417" i="2"/>
  <c r="J417" i="2"/>
  <c r="J225" i="2"/>
  <c r="I225" i="2"/>
  <c r="K370" i="2"/>
  <c r="L370" i="2"/>
  <c r="M370" i="2"/>
  <c r="L126" i="2"/>
  <c r="M126" i="2"/>
  <c r="K126" i="2"/>
  <c r="I507" i="2"/>
  <c r="J507" i="2"/>
  <c r="J719" i="2"/>
  <c r="I719" i="2"/>
  <c r="K243" i="2"/>
  <c r="L243" i="2"/>
  <c r="M243" i="2"/>
  <c r="J754" i="2"/>
  <c r="I754" i="2"/>
  <c r="L737" i="2"/>
  <c r="M737" i="2"/>
  <c r="K737" i="2"/>
  <c r="I398" i="2"/>
  <c r="J398" i="2"/>
  <c r="J269" i="2"/>
  <c r="I269" i="2"/>
  <c r="K235" i="2"/>
  <c r="L235" i="2"/>
  <c r="M235" i="2"/>
  <c r="I98" i="2"/>
  <c r="J98" i="2"/>
  <c r="I61" i="2"/>
  <c r="J61" i="2"/>
  <c r="I192" i="2"/>
  <c r="J192" i="2"/>
  <c r="I670" i="2"/>
  <c r="J670" i="2"/>
  <c r="L240" i="2"/>
  <c r="M240" i="2"/>
  <c r="K240" i="2"/>
  <c r="L66" i="2"/>
  <c r="M66" i="2"/>
  <c r="K66" i="2"/>
  <c r="I178" i="2"/>
  <c r="J178" i="2"/>
  <c r="K511" i="2"/>
  <c r="L511" i="2"/>
  <c r="M511" i="2"/>
  <c r="J536" i="2"/>
  <c r="I536" i="2"/>
  <c r="I122" i="2"/>
  <c r="J122" i="2"/>
  <c r="I375" i="2"/>
  <c r="J375" i="2"/>
  <c r="L272" i="2"/>
  <c r="M272" i="2"/>
  <c r="K272" i="2"/>
  <c r="I337" i="2"/>
  <c r="J337" i="2"/>
  <c r="J307" i="2"/>
  <c r="I307" i="2"/>
  <c r="I829" i="2"/>
  <c r="J829" i="2"/>
  <c r="J524" i="2"/>
  <c r="I524" i="2"/>
  <c r="L306" i="2"/>
  <c r="M306" i="2"/>
  <c r="K306" i="2"/>
  <c r="J88" i="2"/>
  <c r="I88" i="2"/>
  <c r="I744" i="2"/>
  <c r="J744" i="2"/>
  <c r="I434" i="2"/>
  <c r="J434" i="2"/>
  <c r="J397" i="2"/>
  <c r="I397" i="2"/>
  <c r="K318" i="2"/>
  <c r="L318" i="2"/>
  <c r="M318" i="2"/>
  <c r="I268" i="2"/>
  <c r="J268" i="2"/>
  <c r="I234" i="2"/>
  <c r="J234" i="2"/>
  <c r="J150" i="2"/>
  <c r="I150" i="2"/>
  <c r="K157" i="2"/>
  <c r="L157" i="2"/>
  <c r="M157" i="2"/>
  <c r="I107" i="2"/>
  <c r="J107" i="2"/>
  <c r="J247" i="2"/>
  <c r="I247" i="2"/>
  <c r="I480" i="2"/>
  <c r="J480" i="2"/>
  <c r="I436" i="2"/>
  <c r="J436" i="2"/>
  <c r="I173" i="2"/>
  <c r="J173" i="2"/>
  <c r="I512" i="2"/>
  <c r="J512" i="2"/>
  <c r="K43" i="2"/>
  <c r="L43" i="2"/>
  <c r="M43" i="2"/>
  <c r="J305" i="2"/>
  <c r="I305" i="2"/>
  <c r="J55" i="2"/>
  <c r="I55" i="2"/>
  <c r="K20" i="2"/>
  <c r="L20" i="2"/>
  <c r="M20" i="2"/>
  <c r="K325" i="2"/>
  <c r="L325" i="2"/>
  <c r="M325" i="2"/>
  <c r="J164" i="2"/>
  <c r="I164" i="2"/>
  <c r="L334" i="2"/>
  <c r="M334" i="2"/>
  <c r="K334" i="2"/>
  <c r="J697" i="2"/>
  <c r="I697" i="2"/>
  <c r="K748" i="2"/>
  <c r="L748" i="2"/>
  <c r="M748" i="2"/>
  <c r="K237" i="2"/>
  <c r="L237" i="2"/>
  <c r="M237" i="2"/>
  <c r="L544" i="2"/>
  <c r="M544" i="2"/>
  <c r="K544" i="2"/>
  <c r="J529" i="2"/>
  <c r="I529" i="2"/>
  <c r="J655" i="2"/>
  <c r="I655" i="2"/>
  <c r="L420" i="2"/>
  <c r="M420" i="2"/>
  <c r="K420" i="2"/>
  <c r="K472" i="2"/>
  <c r="L472" i="2"/>
  <c r="M472" i="2"/>
  <c r="I379" i="2"/>
  <c r="J379" i="2"/>
  <c r="K154" i="2"/>
  <c r="L154" i="2"/>
  <c r="M154" i="2"/>
  <c r="K344" i="2"/>
  <c r="L344" i="2"/>
  <c r="M344" i="2"/>
  <c r="K714" i="2"/>
  <c r="L714" i="2"/>
  <c r="M714" i="2"/>
  <c r="J747" i="2"/>
  <c r="I747" i="2"/>
  <c r="I857" i="2"/>
  <c r="J857" i="2"/>
  <c r="L426" i="2"/>
  <c r="M426" i="2"/>
  <c r="K426" i="2"/>
  <c r="K350" i="2"/>
  <c r="L350" i="2"/>
  <c r="M350" i="2"/>
  <c r="I535" i="2"/>
  <c r="J535" i="2"/>
  <c r="K477" i="2"/>
  <c r="L477" i="2"/>
  <c r="M477" i="2"/>
  <c r="K278" i="2"/>
  <c r="L278" i="2"/>
  <c r="M278" i="2"/>
  <c r="K361" i="2"/>
  <c r="L361" i="2"/>
  <c r="M361" i="2"/>
  <c r="K19" i="2"/>
  <c r="L19" i="2"/>
  <c r="M19" i="2"/>
  <c r="I664" i="2"/>
  <c r="I721" i="2"/>
  <c r="L721" i="2"/>
  <c r="M721" i="2"/>
  <c r="J125" i="2"/>
  <c r="L125" i="2"/>
  <c r="M125" i="2"/>
  <c r="I128" i="2"/>
  <c r="J689" i="2"/>
  <c r="L689" i="2"/>
  <c r="M689" i="2"/>
  <c r="J838" i="2"/>
  <c r="L838" i="2"/>
  <c r="M838" i="2"/>
  <c r="J824" i="2"/>
  <c r="K824" i="2"/>
  <c r="J251" i="2"/>
  <c r="K251" i="2"/>
  <c r="L239" i="2"/>
  <c r="M239" i="2"/>
  <c r="I239" i="2"/>
  <c r="K709" i="2"/>
  <c r="J825" i="2"/>
  <c r="K825" i="2"/>
  <c r="J680" i="2"/>
  <c r="L680" i="2"/>
  <c r="M680" i="2"/>
  <c r="I709" i="2"/>
  <c r="K432" i="2"/>
  <c r="J312" i="2"/>
  <c r="K312" i="2"/>
  <c r="L360" i="2"/>
  <c r="M360" i="2"/>
  <c r="I432" i="2"/>
  <c r="J387" i="2"/>
  <c r="K387" i="2"/>
  <c r="L450" i="2"/>
  <c r="M450" i="2"/>
  <c r="I360" i="2"/>
  <c r="J174" i="2"/>
  <c r="K174" i="2"/>
  <c r="J64" i="2"/>
  <c r="L64" i="2"/>
  <c r="M64" i="2"/>
  <c r="I196" i="2"/>
  <c r="I450" i="2"/>
  <c r="J193" i="2"/>
  <c r="L193" i="2"/>
  <c r="M193" i="2"/>
  <c r="I230" i="2"/>
  <c r="J230" i="2"/>
  <c r="K230" i="2"/>
  <c r="J459" i="2"/>
  <c r="I459" i="2"/>
  <c r="K501" i="2"/>
  <c r="I955" i="2"/>
  <c r="J955" i="2"/>
  <c r="K955" i="2"/>
  <c r="I774" i="2"/>
  <c r="J774" i="2"/>
  <c r="L774" i="2"/>
  <c r="M774" i="2"/>
  <c r="J800" i="2"/>
  <c r="I800" i="2"/>
  <c r="J926" i="2"/>
  <c r="L926" i="2"/>
  <c r="M926" i="2"/>
  <c r="I926" i="2"/>
  <c r="J181" i="2"/>
  <c r="L181" i="2"/>
  <c r="M181" i="2"/>
  <c r="I383" i="2"/>
  <c r="J383" i="2"/>
  <c r="K383" i="2"/>
  <c r="J335" i="2"/>
  <c r="K335" i="2"/>
  <c r="J821" i="2"/>
  <c r="I821" i="2"/>
  <c r="J850" i="2"/>
  <c r="K850" i="2"/>
  <c r="I850" i="2"/>
  <c r="I968" i="2"/>
  <c r="J968" i="2"/>
  <c r="L968" i="2"/>
  <c r="M968" i="2"/>
  <c r="I456" i="2"/>
  <c r="J456" i="2"/>
  <c r="L456" i="2"/>
  <c r="M456" i="2"/>
  <c r="I501" i="2"/>
  <c r="J693" i="2"/>
  <c r="I693" i="2"/>
  <c r="I16" i="2"/>
  <c r="J16" i="2"/>
  <c r="H727" i="2"/>
  <c r="I727" i="2"/>
  <c r="J836" i="2"/>
  <c r="L836" i="2"/>
  <c r="M836" i="2"/>
  <c r="J37" i="2"/>
  <c r="L37" i="2"/>
  <c r="M37" i="2"/>
  <c r="L879" i="2"/>
  <c r="M879" i="2"/>
  <c r="J505" i="2"/>
  <c r="K505" i="2"/>
  <c r="I454" i="2"/>
  <c r="L851" i="2"/>
  <c r="M851" i="2"/>
  <c r="J75" i="2"/>
  <c r="K75" i="2"/>
  <c r="J887" i="2"/>
  <c r="L887" i="2"/>
  <c r="M887" i="2"/>
  <c r="K846" i="2"/>
  <c r="K771" i="2"/>
  <c r="L1021" i="2"/>
  <c r="M1021" i="2"/>
  <c r="I712" i="2"/>
  <c r="I468" i="2"/>
  <c r="K717" i="2"/>
  <c r="J58" i="2"/>
  <c r="K58" i="2"/>
  <c r="K1046" i="2"/>
  <c r="K1062" i="2"/>
  <c r="L1073" i="2"/>
  <c r="M1073" i="2"/>
  <c r="K900" i="2"/>
  <c r="K1026" i="2"/>
  <c r="L659" i="2"/>
  <c r="M659" i="2"/>
  <c r="J698" i="2"/>
  <c r="L698" i="2"/>
  <c r="M698" i="2"/>
  <c r="J378" i="2"/>
  <c r="L378" i="2"/>
  <c r="M378" i="2"/>
  <c r="J496" i="2"/>
  <c r="L496" i="2"/>
  <c r="M496" i="2"/>
  <c r="I820" i="2"/>
  <c r="I704" i="2"/>
  <c r="J898" i="2"/>
  <c r="K898" i="2"/>
  <c r="K1037" i="2"/>
  <c r="K713" i="2"/>
  <c r="L338" i="2"/>
  <c r="M338" i="2"/>
  <c r="I729" i="2"/>
  <c r="I934" i="2"/>
  <c r="J934" i="2"/>
  <c r="J930" i="2"/>
  <c r="I930" i="2"/>
  <c r="J969" i="2"/>
  <c r="I969" i="2"/>
  <c r="I443" i="2"/>
  <c r="J928" i="2"/>
  <c r="I928" i="2"/>
  <c r="J440" i="2"/>
  <c r="L440" i="2"/>
  <c r="M440" i="2"/>
  <c r="I508" i="2"/>
  <c r="K1066" i="2"/>
  <c r="L1035" i="2"/>
  <c r="M1035" i="2"/>
  <c r="I199" i="2"/>
  <c r="J72" i="2"/>
  <c r="K72" i="2"/>
  <c r="L1028" i="2"/>
  <c r="M1028" i="2"/>
  <c r="I79" i="2"/>
  <c r="L987" i="2"/>
  <c r="M987" i="2"/>
  <c r="J213" i="2"/>
  <c r="L213" i="2"/>
  <c r="M213" i="2"/>
  <c r="L1093" i="2"/>
  <c r="M1093" i="2"/>
  <c r="J363" i="2"/>
  <c r="L363" i="2"/>
  <c r="M363" i="2"/>
  <c r="L1052" i="2"/>
  <c r="M1052" i="2"/>
  <c r="L979" i="2"/>
  <c r="M979" i="2"/>
  <c r="I407" i="2"/>
  <c r="L1083" i="2"/>
  <c r="M1083" i="2"/>
  <c r="J835" i="2"/>
  <c r="K835" i="2"/>
  <c r="I202" i="2"/>
  <c r="K991" i="2"/>
  <c r="K1001" i="2"/>
  <c r="J715" i="2"/>
  <c r="L715" i="2"/>
  <c r="M715" i="2"/>
  <c r="L864" i="2"/>
  <c r="M864" i="2"/>
  <c r="L779" i="2"/>
  <c r="M779" i="2"/>
  <c r="K1069" i="2"/>
  <c r="J703" i="2"/>
  <c r="L703" i="2"/>
  <c r="M703" i="2"/>
  <c r="I654" i="2"/>
  <c r="L1064" i="2"/>
  <c r="M1064" i="2"/>
  <c r="J219" i="2"/>
  <c r="K219" i="2"/>
  <c r="I816" i="2"/>
  <c r="J808" i="2"/>
  <c r="L808" i="2"/>
  <c r="M808" i="2"/>
  <c r="I288" i="2"/>
  <c r="I140" i="2"/>
  <c r="L832" i="2"/>
  <c r="M832" i="2"/>
  <c r="J653" i="2"/>
  <c r="K653" i="2"/>
  <c r="K985" i="2"/>
  <c r="I713" i="2"/>
  <c r="I832" i="2"/>
  <c r="K1003" i="2"/>
  <c r="J546" i="2"/>
  <c r="K546" i="2"/>
  <c r="L1081" i="2"/>
  <c r="M1081" i="2"/>
  <c r="I893" i="2"/>
  <c r="I473" i="2"/>
  <c r="L1048" i="2"/>
  <c r="M1048" i="2"/>
  <c r="K520" i="2"/>
  <c r="L285" i="2"/>
  <c r="M285" i="2"/>
  <c r="I351" i="2"/>
  <c r="J643" i="2"/>
  <c r="L643" i="2"/>
  <c r="M643" i="2"/>
  <c r="K816" i="2"/>
  <c r="I830" i="2"/>
  <c r="J660" i="2"/>
  <c r="K660" i="2"/>
  <c r="L830" i="2"/>
  <c r="M830" i="2"/>
  <c r="J886" i="2"/>
  <c r="L886" i="2"/>
  <c r="M886" i="2"/>
  <c r="L466" i="2"/>
  <c r="M466" i="2"/>
  <c r="I285" i="2"/>
  <c r="K710" i="2"/>
  <c r="I757" i="2"/>
  <c r="I466" i="2"/>
  <c r="K757" i="2"/>
  <c r="I691" i="2"/>
  <c r="I50" i="2"/>
  <c r="J99" i="2"/>
  <c r="K99" i="2"/>
  <c r="I493" i="2"/>
  <c r="J499" i="2"/>
  <c r="K499" i="2"/>
  <c r="I537" i="2"/>
  <c r="L537" i="2"/>
  <c r="M537" i="2"/>
  <c r="J818" i="2"/>
  <c r="L818" i="2"/>
  <c r="M818" i="2"/>
  <c r="I780" i="2"/>
  <c r="I298" i="2"/>
  <c r="I338" i="2"/>
  <c r="J409" i="2"/>
  <c r="K409" i="2"/>
  <c r="I891" i="2"/>
  <c r="J526" i="2"/>
  <c r="K526" i="2"/>
  <c r="J32" i="2"/>
  <c r="K32" i="2"/>
  <c r="J368" i="2"/>
  <c r="K368" i="2"/>
  <c r="I710" i="2"/>
  <c r="L473" i="2"/>
  <c r="M473" i="2"/>
  <c r="K473" i="2"/>
  <c r="J151" i="2"/>
  <c r="K151" i="2"/>
  <c r="K202" i="2"/>
  <c r="L202" i="2"/>
  <c r="M202" i="2"/>
  <c r="J892" i="2"/>
  <c r="I892" i="2"/>
  <c r="I520" i="2"/>
  <c r="J732" i="2"/>
  <c r="L732" i="2"/>
  <c r="M732" i="2"/>
  <c r="I534" i="2"/>
  <c r="I827" i="2"/>
  <c r="J827" i="2"/>
  <c r="K765" i="2"/>
  <c r="K485" i="2"/>
  <c r="J733" i="2"/>
  <c r="K733" i="2"/>
  <c r="J815" i="2"/>
  <c r="L815" i="2"/>
  <c r="M815" i="2"/>
  <c r="J87" i="2"/>
  <c r="K87" i="2"/>
  <c r="I765" i="2"/>
  <c r="I485" i="2"/>
  <c r="J77" i="2"/>
  <c r="K77" i="2"/>
  <c r="J435" i="2"/>
  <c r="K435" i="2"/>
  <c r="I841" i="2"/>
  <c r="K841" i="2"/>
  <c r="L503" i="2"/>
  <c r="M503" i="2"/>
  <c r="I673" i="2"/>
  <c r="J528" i="2"/>
  <c r="L673" i="2"/>
  <c r="M673" i="2"/>
  <c r="I819" i="2"/>
  <c r="I839" i="2"/>
  <c r="J839" i="2"/>
  <c r="J807" i="2"/>
  <c r="I807" i="2"/>
  <c r="I395" i="2"/>
  <c r="I332" i="2"/>
  <c r="K691" i="2"/>
  <c r="J685" i="2"/>
  <c r="L685" i="2"/>
  <c r="M685" i="2"/>
  <c r="L847" i="2"/>
  <c r="M847" i="2"/>
  <c r="K847" i="2"/>
  <c r="I705" i="2"/>
  <c r="K652" i="2"/>
  <c r="J167" i="2"/>
  <c r="I844" i="2"/>
  <c r="J844" i="2"/>
  <c r="J895" i="2"/>
  <c r="I895" i="2"/>
  <c r="L729" i="2"/>
  <c r="M729" i="2"/>
  <c r="K729" i="2"/>
  <c r="I731" i="2"/>
  <c r="J731" i="2"/>
  <c r="J429" i="2"/>
  <c r="I429" i="2"/>
  <c r="J18" i="2"/>
  <c r="L18" i="2"/>
  <c r="M18" i="2"/>
  <c r="J837" i="2"/>
  <c r="I837" i="2"/>
  <c r="I117" i="2"/>
  <c r="J117" i="2"/>
  <c r="K891" i="2"/>
  <c r="J187" i="2"/>
  <c r="L187" i="2"/>
  <c r="M187" i="2"/>
  <c r="J720" i="2"/>
  <c r="I720" i="2"/>
  <c r="K443" i="2"/>
  <c r="L443" i="2"/>
  <c r="M443" i="2"/>
  <c r="I848" i="2"/>
  <c r="J848" i="2"/>
  <c r="J359" i="2"/>
  <c r="I359" i="2"/>
  <c r="L199" i="2"/>
  <c r="M199" i="2"/>
  <c r="K199" i="2"/>
  <c r="L705" i="2"/>
  <c r="M705" i="2"/>
  <c r="K705" i="2"/>
  <c r="L704" i="2"/>
  <c r="M704" i="2"/>
  <c r="K704" i="2"/>
  <c r="L481" i="2"/>
  <c r="M481" i="2"/>
  <c r="K481" i="2"/>
  <c r="L893" i="2"/>
  <c r="M893" i="2"/>
  <c r="K893" i="2"/>
  <c r="L332" i="2"/>
  <c r="M332" i="2"/>
  <c r="K332" i="2"/>
  <c r="L79" i="2"/>
  <c r="M79" i="2"/>
  <c r="K79" i="2"/>
  <c r="K780" i="2"/>
  <c r="L780" i="2"/>
  <c r="M780" i="2"/>
  <c r="K83" i="2"/>
  <c r="L83" i="2"/>
  <c r="M83" i="2"/>
  <c r="K50" i="2"/>
  <c r="L50" i="2"/>
  <c r="M50" i="2"/>
  <c r="K140" i="2"/>
  <c r="L140" i="2"/>
  <c r="M140" i="2"/>
  <c r="L207" i="2"/>
  <c r="M207" i="2"/>
  <c r="L24" i="2"/>
  <c r="M24" i="2"/>
  <c r="K24" i="2"/>
  <c r="L270" i="2"/>
  <c r="M270" i="2"/>
  <c r="K270" i="2"/>
  <c r="K654" i="2"/>
  <c r="L654" i="2"/>
  <c r="M654" i="2"/>
  <c r="L820" i="2"/>
  <c r="M820" i="2"/>
  <c r="K820" i="2"/>
  <c r="L493" i="2"/>
  <c r="M493" i="2"/>
  <c r="K493" i="2"/>
  <c r="L407" i="2"/>
  <c r="M407" i="2"/>
  <c r="K407" i="2"/>
  <c r="K298" i="2"/>
  <c r="L298" i="2"/>
  <c r="M298" i="2"/>
  <c r="L534" i="2"/>
  <c r="M534" i="2"/>
  <c r="K534" i="2"/>
  <c r="K819" i="2"/>
  <c r="L819" i="2"/>
  <c r="M819" i="2"/>
  <c r="L232" i="2"/>
  <c r="M232" i="2"/>
  <c r="K232" i="2"/>
  <c r="L163" i="2"/>
  <c r="M163" i="2"/>
  <c r="K163" i="2"/>
  <c r="I448" i="2"/>
  <c r="J448" i="2"/>
  <c r="L211" i="2"/>
  <c r="M211" i="2"/>
  <c r="K211" i="2"/>
  <c r="L373" i="2"/>
  <c r="M373" i="2"/>
  <c r="K373" i="2"/>
  <c r="J227" i="2"/>
  <c r="I227" i="2"/>
  <c r="J424" i="2"/>
  <c r="L424" i="2"/>
  <c r="M424" i="2"/>
  <c r="J462" i="2"/>
  <c r="K462" i="2"/>
  <c r="L288" i="2"/>
  <c r="M288" i="2"/>
  <c r="K288" i="2"/>
  <c r="L686" i="2"/>
  <c r="M686" i="2"/>
  <c r="K686" i="2"/>
  <c r="L664" i="2"/>
  <c r="M664" i="2"/>
  <c r="K664" i="2"/>
  <c r="K85" i="2"/>
  <c r="L85" i="2"/>
  <c r="M85" i="2"/>
  <c r="I176" i="2"/>
  <c r="J176" i="2"/>
  <c r="K454" i="2"/>
  <c r="L454" i="2"/>
  <c r="M454" i="2"/>
  <c r="K322" i="2"/>
  <c r="L322" i="2"/>
  <c r="M322" i="2"/>
  <c r="J343" i="2"/>
  <c r="I343" i="2"/>
  <c r="I421" i="2"/>
  <c r="J421" i="2"/>
  <c r="J341" i="2"/>
  <c r="I341" i="2"/>
  <c r="K508" i="2"/>
  <c r="L508" i="2"/>
  <c r="M508" i="2"/>
  <c r="K468" i="2"/>
  <c r="L468" i="2"/>
  <c r="M468" i="2"/>
  <c r="K351" i="2"/>
  <c r="L351" i="2"/>
  <c r="M351" i="2"/>
  <c r="I401" i="2"/>
  <c r="J401" i="2"/>
  <c r="L128" i="2"/>
  <c r="M128" i="2"/>
  <c r="K128" i="2"/>
  <c r="J645" i="2"/>
  <c r="I645" i="2"/>
  <c r="J489" i="2"/>
  <c r="I489" i="2"/>
  <c r="K196" i="2"/>
  <c r="L196" i="2"/>
  <c r="M196" i="2"/>
  <c r="I484" i="2"/>
  <c r="J484" i="2"/>
  <c r="J41" i="2"/>
  <c r="I41" i="2"/>
  <c r="I345" i="2"/>
  <c r="J345" i="2"/>
  <c r="I134" i="2"/>
  <c r="J134" i="2"/>
  <c r="I120" i="2"/>
  <c r="J120" i="2"/>
  <c r="J415" i="2"/>
  <c r="I415" i="2"/>
  <c r="L395" i="2"/>
  <c r="M395" i="2"/>
  <c r="K395" i="2"/>
  <c r="I452" i="2"/>
  <c r="J452" i="2"/>
  <c r="K89" i="2"/>
  <c r="L89" i="2"/>
  <c r="M89" i="2"/>
  <c r="I49" i="2"/>
  <c r="J49" i="2"/>
  <c r="K712" i="2"/>
  <c r="L712" i="2"/>
  <c r="M712" i="2"/>
  <c r="L983" i="2"/>
  <c r="M983" i="2"/>
  <c r="K983" i="2"/>
  <c r="K998" i="2"/>
  <c r="L998" i="2"/>
  <c r="M998" i="2"/>
  <c r="L1024" i="2"/>
  <c r="M1024" i="2"/>
  <c r="K1024" i="2"/>
  <c r="L833" i="2"/>
  <c r="M833" i="2"/>
  <c r="K833" i="2"/>
  <c r="K1049" i="2"/>
  <c r="L1049" i="2"/>
  <c r="M1049" i="2"/>
  <c r="K1013" i="2"/>
  <c r="L1013" i="2"/>
  <c r="M1013" i="2"/>
  <c r="K30" i="2"/>
  <c r="L30" i="2"/>
  <c r="M30" i="2"/>
  <c r="K1006" i="2"/>
  <c r="L1006" i="2"/>
  <c r="M1006" i="2"/>
  <c r="K784" i="2"/>
  <c r="L784" i="2"/>
  <c r="M784" i="2"/>
  <c r="L796" i="2"/>
  <c r="M796" i="2"/>
  <c r="K796" i="2"/>
  <c r="L1018" i="2"/>
  <c r="M1018" i="2"/>
  <c r="K1018" i="2"/>
  <c r="K467" i="2"/>
  <c r="L467" i="2"/>
  <c r="M467" i="2"/>
  <c r="K973" i="2"/>
  <c r="L973" i="2"/>
  <c r="M973" i="2"/>
  <c r="K1030" i="2"/>
  <c r="L1030" i="2"/>
  <c r="M1030" i="2"/>
  <c r="K787" i="2"/>
  <c r="L787" i="2"/>
  <c r="M787" i="2"/>
  <c r="K984" i="2"/>
  <c r="L984" i="2"/>
  <c r="M984" i="2"/>
  <c r="K858" i="2"/>
  <c r="L858" i="2"/>
  <c r="M858" i="2"/>
  <c r="K1054" i="2"/>
  <c r="L1054" i="2"/>
  <c r="M1054" i="2"/>
  <c r="K369" i="2"/>
  <c r="L369" i="2"/>
  <c r="M369" i="2"/>
  <c r="K25" i="2"/>
  <c r="L25" i="2"/>
  <c r="M25" i="2"/>
  <c r="K490" i="2"/>
  <c r="L490" i="2"/>
  <c r="M490" i="2"/>
  <c r="L1055" i="2"/>
  <c r="M1055" i="2"/>
  <c r="K1055" i="2"/>
  <c r="L197" i="2"/>
  <c r="M197" i="2"/>
  <c r="K197" i="2"/>
  <c r="K923" i="2"/>
  <c r="L923" i="2"/>
  <c r="M923" i="2"/>
  <c r="K1002" i="2"/>
  <c r="L1002" i="2"/>
  <c r="M1002" i="2"/>
  <c r="L783" i="2"/>
  <c r="M783" i="2"/>
  <c r="K783" i="2"/>
  <c r="K1084" i="2"/>
  <c r="L1084" i="2"/>
  <c r="M1084" i="2"/>
  <c r="L500" i="2"/>
  <c r="M500" i="2"/>
  <c r="K500" i="2"/>
  <c r="L798" i="2"/>
  <c r="M798" i="2"/>
  <c r="K798" i="2"/>
  <c r="L970" i="2"/>
  <c r="M970" i="2"/>
  <c r="K970" i="2"/>
  <c r="L200" i="2"/>
  <c r="M200" i="2"/>
  <c r="K200" i="2"/>
  <c r="K1075" i="2"/>
  <c r="L1075" i="2"/>
  <c r="M1075" i="2"/>
  <c r="L1063" i="2"/>
  <c r="M1063" i="2"/>
  <c r="K1063" i="2"/>
  <c r="K1041" i="2"/>
  <c r="L1041" i="2"/>
  <c r="M1041" i="2"/>
  <c r="L469" i="2"/>
  <c r="M469" i="2"/>
  <c r="K469" i="2"/>
  <c r="K521" i="2"/>
  <c r="L521" i="2"/>
  <c r="M521" i="2"/>
  <c r="K794" i="2"/>
  <c r="L794" i="2"/>
  <c r="M794" i="2"/>
  <c r="K1085" i="2"/>
  <c r="L1085" i="2"/>
  <c r="M1085" i="2"/>
  <c r="L36" i="2"/>
  <c r="M36" i="2"/>
  <c r="K36" i="2"/>
  <c r="L656" i="2"/>
  <c r="M656" i="2"/>
  <c r="K656" i="2"/>
  <c r="K241" i="2"/>
  <c r="L241" i="2"/>
  <c r="M241" i="2"/>
  <c r="L1074" i="2"/>
  <c r="M1074" i="2"/>
  <c r="K1074" i="2"/>
  <c r="L279" i="2"/>
  <c r="M279" i="2"/>
  <c r="K279" i="2"/>
  <c r="K376" i="2"/>
  <c r="L376" i="2"/>
  <c r="M376" i="2"/>
  <c r="K793" i="2"/>
  <c r="L793" i="2"/>
  <c r="M793" i="2"/>
  <c r="K451" i="2"/>
  <c r="L451" i="2"/>
  <c r="M451" i="2"/>
  <c r="K802" i="2"/>
  <c r="L802" i="2"/>
  <c r="M802" i="2"/>
  <c r="K1032" i="2"/>
  <c r="L1032" i="2"/>
  <c r="M1032" i="2"/>
  <c r="K1090" i="2"/>
  <c r="L1090" i="2"/>
  <c r="M1090" i="2"/>
  <c r="K522" i="2"/>
  <c r="L522" i="2"/>
  <c r="M522" i="2"/>
  <c r="L762" i="2"/>
  <c r="M762" i="2"/>
  <c r="K762" i="2"/>
  <c r="L1031" i="2"/>
  <c r="M1031" i="2"/>
  <c r="K1031" i="2"/>
  <c r="K1056" i="2"/>
  <c r="L1056" i="2"/>
  <c r="M1056" i="2"/>
  <c r="K981" i="2"/>
  <c r="L981" i="2"/>
  <c r="M981" i="2"/>
  <c r="K1076" i="2"/>
  <c r="L1076" i="2"/>
  <c r="M1076" i="2"/>
  <c r="K1051" i="2"/>
  <c r="L1051" i="2"/>
  <c r="M1051" i="2"/>
  <c r="K1038" i="2"/>
  <c r="L1038" i="2"/>
  <c r="M1038" i="2"/>
  <c r="L890" i="2"/>
  <c r="M890" i="2"/>
  <c r="K890" i="2"/>
  <c r="L453" i="2"/>
  <c r="M453" i="2"/>
  <c r="K453" i="2"/>
  <c r="K302" i="2"/>
  <c r="L302" i="2"/>
  <c r="M302" i="2"/>
  <c r="L1043" i="2"/>
  <c r="M1043" i="2"/>
  <c r="K1043" i="2"/>
  <c r="K817" i="2"/>
  <c r="L817" i="2"/>
  <c r="M817" i="2"/>
  <c r="L789" i="2"/>
  <c r="M789" i="2"/>
  <c r="K789" i="2"/>
  <c r="L792" i="2"/>
  <c r="M792" i="2"/>
  <c r="K792" i="2"/>
  <c r="K1008" i="2"/>
  <c r="L1008" i="2"/>
  <c r="M1008" i="2"/>
  <c r="K1034" i="2"/>
  <c r="L1034" i="2"/>
  <c r="M1034" i="2"/>
  <c r="K810" i="2"/>
  <c r="L810" i="2"/>
  <c r="M810" i="2"/>
  <c r="K1014" i="2"/>
  <c r="L1014" i="2"/>
  <c r="M1014" i="2"/>
  <c r="K1029" i="2"/>
  <c r="L1029" i="2"/>
  <c r="M1029" i="2"/>
  <c r="L994" i="2"/>
  <c r="M994" i="2"/>
  <c r="K994" i="2"/>
  <c r="K842" i="2"/>
  <c r="L842" i="2"/>
  <c r="M842" i="2"/>
  <c r="K208" i="2"/>
  <c r="L208" i="2"/>
  <c r="M208" i="2"/>
  <c r="L1044" i="2"/>
  <c r="M1044" i="2"/>
  <c r="K1044" i="2"/>
  <c r="K990" i="2"/>
  <c r="L990" i="2"/>
  <c r="M990" i="2"/>
  <c r="K1050" i="2"/>
  <c r="L1050" i="2"/>
  <c r="M1050" i="2"/>
  <c r="L799" i="2"/>
  <c r="M799" i="2"/>
  <c r="K799" i="2"/>
  <c r="L1010" i="2"/>
  <c r="M1010" i="2"/>
  <c r="K1010" i="2"/>
  <c r="L1022" i="2"/>
  <c r="M1022" i="2"/>
  <c r="K1022" i="2"/>
  <c r="K1047" i="2"/>
  <c r="L1047" i="2"/>
  <c r="M1047" i="2"/>
  <c r="L1088" i="2"/>
  <c r="M1088" i="2"/>
  <c r="K1088" i="2"/>
  <c r="L31" i="2"/>
  <c r="M31" i="2"/>
  <c r="K31" i="2"/>
  <c r="L1025" i="2"/>
  <c r="M1025" i="2"/>
  <c r="K1025" i="2"/>
  <c r="L460" i="2"/>
  <c r="M460" i="2"/>
  <c r="K460" i="2"/>
  <c r="L491" i="2"/>
  <c r="M491" i="2"/>
  <c r="K491" i="2"/>
  <c r="L42" i="2"/>
  <c r="M42" i="2"/>
  <c r="K42" i="2"/>
  <c r="K999" i="2"/>
  <c r="L999" i="2"/>
  <c r="M999" i="2"/>
  <c r="L804" i="2"/>
  <c r="M804" i="2"/>
  <c r="K804" i="2"/>
  <c r="L1071" i="2"/>
  <c r="M1071" i="2"/>
  <c r="K1071" i="2"/>
  <c r="L980" i="2"/>
  <c r="M980" i="2"/>
  <c r="K980" i="2"/>
  <c r="K1059" i="2"/>
  <c r="L1059" i="2"/>
  <c r="M1059" i="2"/>
  <c r="L482" i="2"/>
  <c r="M482" i="2"/>
  <c r="K482" i="2"/>
  <c r="L763" i="2"/>
  <c r="M763" i="2"/>
  <c r="K763" i="2"/>
  <c r="K502" i="2"/>
  <c r="L502" i="2"/>
  <c r="M502" i="2"/>
  <c r="K989" i="2"/>
  <c r="L989" i="2"/>
  <c r="M989" i="2"/>
  <c r="L814" i="2"/>
  <c r="M814" i="2"/>
  <c r="K814" i="2"/>
  <c r="K1004" i="2"/>
  <c r="L1004" i="2"/>
  <c r="M1004" i="2"/>
  <c r="K1053" i="2"/>
  <c r="L1053" i="2"/>
  <c r="M1053" i="2"/>
  <c r="K1027" i="2"/>
  <c r="L1027" i="2"/>
  <c r="M1027" i="2"/>
  <c r="K805" i="2"/>
  <c r="L805" i="2"/>
  <c r="M805" i="2"/>
  <c r="K1072" i="2"/>
  <c r="L1072" i="2"/>
  <c r="M1072" i="2"/>
  <c r="K70" i="2"/>
  <c r="L70" i="2"/>
  <c r="M70" i="2"/>
  <c r="K59" i="2"/>
  <c r="L59" i="2"/>
  <c r="M59" i="2"/>
  <c r="K1020" i="2"/>
  <c r="L1020" i="2"/>
  <c r="M1020" i="2"/>
  <c r="K978" i="2"/>
  <c r="L978" i="2"/>
  <c r="M978" i="2"/>
  <c r="K483" i="2"/>
  <c r="L483" i="2"/>
  <c r="M483" i="2"/>
  <c r="L543" i="2"/>
  <c r="M543" i="2"/>
  <c r="K543" i="2"/>
  <c r="K1015" i="2"/>
  <c r="L1015" i="2"/>
  <c r="M1015" i="2"/>
  <c r="K782" i="2"/>
  <c r="L782" i="2"/>
  <c r="M782" i="2"/>
  <c r="K547" i="2"/>
  <c r="L547" i="2"/>
  <c r="M547" i="2"/>
  <c r="K529" i="2"/>
  <c r="L529" i="2"/>
  <c r="M529" i="2"/>
  <c r="K697" i="2"/>
  <c r="L697" i="2"/>
  <c r="M697" i="2"/>
  <c r="K247" i="2"/>
  <c r="L247" i="2"/>
  <c r="M247" i="2"/>
  <c r="L88" i="2"/>
  <c r="M88" i="2"/>
  <c r="K88" i="2"/>
  <c r="K307" i="2"/>
  <c r="L307" i="2"/>
  <c r="M307" i="2"/>
  <c r="K536" i="2"/>
  <c r="L536" i="2"/>
  <c r="M536" i="2"/>
  <c r="L130" i="2"/>
  <c r="M130" i="2"/>
  <c r="K130" i="2"/>
  <c r="K400" i="2"/>
  <c r="L400" i="2"/>
  <c r="M400" i="2"/>
  <c r="L257" i="2"/>
  <c r="M257" i="2"/>
  <c r="K257" i="2"/>
  <c r="K667" i="2"/>
  <c r="L667" i="2"/>
  <c r="M667" i="2"/>
  <c r="K457" i="2"/>
  <c r="L457" i="2"/>
  <c r="M457" i="2"/>
  <c r="K358" i="2"/>
  <c r="L358" i="2"/>
  <c r="M358" i="2"/>
  <c r="L708" i="2"/>
  <c r="M708" i="2"/>
  <c r="K708" i="2"/>
  <c r="K700" i="2"/>
  <c r="L700" i="2"/>
  <c r="M700" i="2"/>
  <c r="K118" i="2"/>
  <c r="L118" i="2"/>
  <c r="M118" i="2"/>
  <c r="K295" i="2"/>
  <c r="L295" i="2"/>
  <c r="M295" i="2"/>
  <c r="K753" i="2"/>
  <c r="L753" i="2"/>
  <c r="M753" i="2"/>
  <c r="K143" i="2"/>
  <c r="L143" i="2"/>
  <c r="M143" i="2"/>
  <c r="K746" i="2"/>
  <c r="L746" i="2"/>
  <c r="M746" i="2"/>
  <c r="K439" i="2"/>
  <c r="L439" i="2"/>
  <c r="M439" i="2"/>
  <c r="L216" i="2"/>
  <c r="M216" i="2"/>
  <c r="K216" i="2"/>
  <c r="K162" i="2"/>
  <c r="L162" i="2"/>
  <c r="M162" i="2"/>
  <c r="K406" i="2"/>
  <c r="L406" i="2"/>
  <c r="M406" i="2"/>
  <c r="L102" i="2"/>
  <c r="M102" i="2"/>
  <c r="K102" i="2"/>
  <c r="K320" i="2"/>
  <c r="L320" i="2"/>
  <c r="M320" i="2"/>
  <c r="K145" i="2"/>
  <c r="L145" i="2"/>
  <c r="M145" i="2"/>
  <c r="K220" i="2"/>
  <c r="L220" i="2"/>
  <c r="M220" i="2"/>
  <c r="L194" i="2"/>
  <c r="M194" i="2"/>
  <c r="K194" i="2"/>
  <c r="K834" i="2"/>
  <c r="L834" i="2"/>
  <c r="M834" i="2"/>
  <c r="L386" i="2"/>
  <c r="M386" i="2"/>
  <c r="K386" i="2"/>
  <c r="L173" i="2"/>
  <c r="M173" i="2"/>
  <c r="K173" i="2"/>
  <c r="L337" i="2"/>
  <c r="M337" i="2"/>
  <c r="K337" i="2"/>
  <c r="L670" i="2"/>
  <c r="M670" i="2"/>
  <c r="K670" i="2"/>
  <c r="K299" i="2"/>
  <c r="L299" i="2"/>
  <c r="M299" i="2"/>
  <c r="L668" i="2"/>
  <c r="M668" i="2"/>
  <c r="K668" i="2"/>
  <c r="L123" i="2"/>
  <c r="M123" i="2"/>
  <c r="K123" i="2"/>
  <c r="K658" i="2"/>
  <c r="L658" i="2"/>
  <c r="M658" i="2"/>
  <c r="K141" i="2"/>
  <c r="L141" i="2"/>
  <c r="M141" i="2"/>
  <c r="L129" i="2"/>
  <c r="M129" i="2"/>
  <c r="K129" i="2"/>
  <c r="K427" i="2"/>
  <c r="L427" i="2"/>
  <c r="M427" i="2"/>
  <c r="L778" i="2"/>
  <c r="M778" i="2"/>
  <c r="K778" i="2"/>
  <c r="L93" i="2"/>
  <c r="M93" i="2"/>
  <c r="K93" i="2"/>
  <c r="K168" i="2"/>
  <c r="L168" i="2"/>
  <c r="M168" i="2"/>
  <c r="K682" i="2"/>
  <c r="L682" i="2"/>
  <c r="M682" i="2"/>
  <c r="K133" i="2"/>
  <c r="L133" i="2"/>
  <c r="M133" i="2"/>
  <c r="L96" i="2"/>
  <c r="M96" i="2"/>
  <c r="K96" i="2"/>
  <c r="L433" i="2"/>
  <c r="M433" i="2"/>
  <c r="K433" i="2"/>
  <c r="L538" i="2"/>
  <c r="M538" i="2"/>
  <c r="K538" i="2"/>
  <c r="L773" i="2"/>
  <c r="M773" i="2"/>
  <c r="K773" i="2"/>
  <c r="L55" i="2"/>
  <c r="M55" i="2"/>
  <c r="K55" i="2"/>
  <c r="K754" i="2"/>
  <c r="L754" i="2"/>
  <c r="M754" i="2"/>
  <c r="L160" i="2"/>
  <c r="M160" i="2"/>
  <c r="K160" i="2"/>
  <c r="K262" i="2"/>
  <c r="L262" i="2"/>
  <c r="M262" i="2"/>
  <c r="L494" i="2"/>
  <c r="M494" i="2"/>
  <c r="K494" i="2"/>
  <c r="K843" i="2"/>
  <c r="L843" i="2"/>
  <c r="M843" i="2"/>
  <c r="L769" i="2"/>
  <c r="M769" i="2"/>
  <c r="K769" i="2"/>
  <c r="K699" i="2"/>
  <c r="L699" i="2"/>
  <c r="M699" i="2"/>
  <c r="L455" i="2"/>
  <c r="M455" i="2"/>
  <c r="K455" i="2"/>
  <c r="K112" i="2"/>
  <c r="L112" i="2"/>
  <c r="M112" i="2"/>
  <c r="K95" i="2"/>
  <c r="L95" i="2"/>
  <c r="M95" i="2"/>
  <c r="K517" i="2"/>
  <c r="L517" i="2"/>
  <c r="M517" i="2"/>
  <c r="K265" i="2"/>
  <c r="L265" i="2"/>
  <c r="M265" i="2"/>
  <c r="L862" i="2"/>
  <c r="M862" i="2"/>
  <c r="K862" i="2"/>
  <c r="L273" i="2"/>
  <c r="M273" i="2"/>
  <c r="K273" i="2"/>
  <c r="K276" i="2"/>
  <c r="L276" i="2"/>
  <c r="M276" i="2"/>
  <c r="K419" i="2"/>
  <c r="L419" i="2"/>
  <c r="M419" i="2"/>
  <c r="K34" i="2"/>
  <c r="L34" i="2"/>
  <c r="M34" i="2"/>
  <c r="L479" i="2"/>
  <c r="M479" i="2"/>
  <c r="K479" i="2"/>
  <c r="K516" i="2"/>
  <c r="L516" i="2"/>
  <c r="M516" i="2"/>
  <c r="K27" i="2"/>
  <c r="L27" i="2"/>
  <c r="M27" i="2"/>
  <c r="K217" i="2"/>
  <c r="L217" i="2"/>
  <c r="M217" i="2"/>
  <c r="K777" i="2"/>
  <c r="L777" i="2"/>
  <c r="M777" i="2"/>
  <c r="K210" i="2"/>
  <c r="L210" i="2"/>
  <c r="M210" i="2"/>
  <c r="K215" i="2"/>
  <c r="L215" i="2"/>
  <c r="M215" i="2"/>
  <c r="K739" i="2"/>
  <c r="L739" i="2"/>
  <c r="M739" i="2"/>
  <c r="L854" i="2"/>
  <c r="M854" i="2"/>
  <c r="K854" i="2"/>
  <c r="L29" i="2"/>
  <c r="M29" i="2"/>
  <c r="K29" i="2"/>
  <c r="K711" i="2"/>
  <c r="L711" i="2"/>
  <c r="M711" i="2"/>
  <c r="K314" i="2"/>
  <c r="L314" i="2"/>
  <c r="M314" i="2"/>
  <c r="K147" i="2"/>
  <c r="L147" i="2"/>
  <c r="M147" i="2"/>
  <c r="L327" i="2"/>
  <c r="M327" i="2"/>
  <c r="K327" i="2"/>
  <c r="K357" i="2"/>
  <c r="L357" i="2"/>
  <c r="M357" i="2"/>
  <c r="L293" i="2"/>
  <c r="M293" i="2"/>
  <c r="K293" i="2"/>
  <c r="K107" i="2"/>
  <c r="L107" i="2"/>
  <c r="M107" i="2"/>
  <c r="L857" i="2"/>
  <c r="M857" i="2"/>
  <c r="K857" i="2"/>
  <c r="L436" i="2"/>
  <c r="M436" i="2"/>
  <c r="K436" i="2"/>
  <c r="K178" i="2"/>
  <c r="L178" i="2"/>
  <c r="M178" i="2"/>
  <c r="L192" i="2"/>
  <c r="M192" i="2"/>
  <c r="K192" i="2"/>
  <c r="L91" i="2"/>
  <c r="M91" i="2"/>
  <c r="K91" i="2"/>
  <c r="L297" i="2"/>
  <c r="M297" i="2"/>
  <c r="K297" i="2"/>
  <c r="L115" i="2"/>
  <c r="M115" i="2"/>
  <c r="K115" i="2"/>
  <c r="K290" i="2"/>
  <c r="L290" i="2"/>
  <c r="M290" i="2"/>
  <c r="K384" i="2"/>
  <c r="L384" i="2"/>
  <c r="M384" i="2"/>
  <c r="L254" i="2"/>
  <c r="M254" i="2"/>
  <c r="K254" i="2"/>
  <c r="K21" i="2"/>
  <c r="L21" i="2"/>
  <c r="M21" i="2"/>
  <c r="K861" i="2"/>
  <c r="L861" i="2"/>
  <c r="M861" i="2"/>
  <c r="K80" i="2"/>
  <c r="L80" i="2"/>
  <c r="M80" i="2"/>
  <c r="K741" i="2"/>
  <c r="L741" i="2"/>
  <c r="M741" i="2"/>
  <c r="L311" i="2"/>
  <c r="M311" i="2"/>
  <c r="K311" i="2"/>
  <c r="L672" i="2"/>
  <c r="M672" i="2"/>
  <c r="K672" i="2"/>
  <c r="L204" i="2"/>
  <c r="M204" i="2"/>
  <c r="K204" i="2"/>
  <c r="L413" i="2"/>
  <c r="M413" i="2"/>
  <c r="K413" i="2"/>
  <c r="L828" i="2"/>
  <c r="M828" i="2"/>
  <c r="K828" i="2"/>
  <c r="K684" i="2"/>
  <c r="L684" i="2"/>
  <c r="M684" i="2"/>
  <c r="K863" i="2"/>
  <c r="L863" i="2"/>
  <c r="M863" i="2"/>
  <c r="K545" i="2"/>
  <c r="L545" i="2"/>
  <c r="M545" i="2"/>
  <c r="L497" i="2"/>
  <c r="M497" i="2"/>
  <c r="K497" i="2"/>
  <c r="K113" i="2"/>
  <c r="L113" i="2"/>
  <c r="M113" i="2"/>
  <c r="L231" i="2"/>
  <c r="M231" i="2"/>
  <c r="K231" i="2"/>
  <c r="K206" i="2"/>
  <c r="L206" i="2"/>
  <c r="M206" i="2"/>
  <c r="K26" i="2"/>
  <c r="L26" i="2"/>
  <c r="M26" i="2"/>
  <c r="K170" i="2"/>
  <c r="L170" i="2"/>
  <c r="M170" i="2"/>
  <c r="K282" i="2"/>
  <c r="L282" i="2"/>
  <c r="M282" i="2"/>
  <c r="K663" i="2"/>
  <c r="L663" i="2"/>
  <c r="M663" i="2"/>
  <c r="L399" i="2"/>
  <c r="M399" i="2"/>
  <c r="K399" i="2"/>
  <c r="L725" i="2"/>
  <c r="M725" i="2"/>
  <c r="K725" i="2"/>
  <c r="L694" i="2"/>
  <c r="M694" i="2"/>
  <c r="K694" i="2"/>
  <c r="K541" i="2"/>
  <c r="L541" i="2"/>
  <c r="M541" i="2"/>
  <c r="K649" i="2"/>
  <c r="L649" i="2"/>
  <c r="M649" i="2"/>
  <c r="L33" i="2"/>
  <c r="M33" i="2"/>
  <c r="K33" i="2"/>
  <c r="L149" i="2"/>
  <c r="M149" i="2"/>
  <c r="K149" i="2"/>
  <c r="K743" i="2"/>
  <c r="L743" i="2"/>
  <c r="M743" i="2"/>
  <c r="K690" i="2"/>
  <c r="L690" i="2"/>
  <c r="M690" i="2"/>
  <c r="K164" i="2"/>
  <c r="L164" i="2"/>
  <c r="M164" i="2"/>
  <c r="K305" i="2"/>
  <c r="L305" i="2"/>
  <c r="M305" i="2"/>
  <c r="L524" i="2"/>
  <c r="M524" i="2"/>
  <c r="K524" i="2"/>
  <c r="K269" i="2"/>
  <c r="L269" i="2"/>
  <c r="M269" i="2"/>
  <c r="L719" i="2"/>
  <c r="M719" i="2"/>
  <c r="K719" i="2"/>
  <c r="K225" i="2"/>
  <c r="L225" i="2"/>
  <c r="M225" i="2"/>
  <c r="K532" i="2"/>
  <c r="L532" i="2"/>
  <c r="M532" i="2"/>
  <c r="K339" i="2"/>
  <c r="L339" i="2"/>
  <c r="M339" i="2"/>
  <c r="L101" i="2"/>
  <c r="M101" i="2"/>
  <c r="K101" i="2"/>
  <c r="L539" i="2"/>
  <c r="M539" i="2"/>
  <c r="K539" i="2"/>
  <c r="K447" i="2"/>
  <c r="L447" i="2"/>
  <c r="M447" i="2"/>
  <c r="L385" i="2"/>
  <c r="M385" i="2"/>
  <c r="K385" i="2"/>
  <c r="K205" i="2"/>
  <c r="L205" i="2"/>
  <c r="M205" i="2"/>
  <c r="K414" i="2"/>
  <c r="L414" i="2"/>
  <c r="M414" i="2"/>
  <c r="L362" i="2"/>
  <c r="M362" i="2"/>
  <c r="K362" i="2"/>
  <c r="K758" i="2"/>
  <c r="L758" i="2"/>
  <c r="M758" i="2"/>
  <c r="L253" i="2"/>
  <c r="M253" i="2"/>
  <c r="K253" i="2"/>
  <c r="K114" i="2"/>
  <c r="L114" i="2"/>
  <c r="M114" i="2"/>
  <c r="K261" i="2"/>
  <c r="L261" i="2"/>
  <c r="M261" i="2"/>
  <c r="K127" i="2"/>
  <c r="L127" i="2"/>
  <c r="M127" i="2"/>
  <c r="K195" i="2"/>
  <c r="L195" i="2"/>
  <c r="M195" i="2"/>
  <c r="K110" i="2"/>
  <c r="L110" i="2"/>
  <c r="M110" i="2"/>
  <c r="L236" i="2"/>
  <c r="M236" i="2"/>
  <c r="K236" i="2"/>
  <c r="K840" i="2"/>
  <c r="L840" i="2"/>
  <c r="M840" i="2"/>
  <c r="K159" i="2"/>
  <c r="L159" i="2"/>
  <c r="M159" i="2"/>
  <c r="L756" i="2"/>
  <c r="M756" i="2"/>
  <c r="K756" i="2"/>
  <c r="K683" i="2"/>
  <c r="L683" i="2"/>
  <c r="M683" i="2"/>
  <c r="L487" i="2"/>
  <c r="M487" i="2"/>
  <c r="K487" i="2"/>
  <c r="K740" i="2"/>
  <c r="L740" i="2"/>
  <c r="M740" i="2"/>
  <c r="K412" i="2"/>
  <c r="L412" i="2"/>
  <c r="M412" i="2"/>
  <c r="L267" i="2"/>
  <c r="M267" i="2"/>
  <c r="K267" i="2"/>
  <c r="K379" i="2"/>
  <c r="L379" i="2"/>
  <c r="M379" i="2"/>
  <c r="L375" i="2"/>
  <c r="M375" i="2"/>
  <c r="K375" i="2"/>
  <c r="K61" i="2"/>
  <c r="L61" i="2"/>
  <c r="M61" i="2"/>
  <c r="K417" i="2"/>
  <c r="L417" i="2"/>
  <c r="M417" i="2"/>
  <c r="L464" i="2"/>
  <c r="M464" i="2"/>
  <c r="K464" i="2"/>
  <c r="L121" i="2"/>
  <c r="M121" i="2"/>
  <c r="K121" i="2"/>
  <c r="K259" i="2"/>
  <c r="L259" i="2"/>
  <c r="M259" i="2"/>
  <c r="K326" i="2"/>
  <c r="L326" i="2"/>
  <c r="M326" i="2"/>
  <c r="L738" i="2"/>
  <c r="M738" i="2"/>
  <c r="K738" i="2"/>
  <c r="K486" i="2"/>
  <c r="L486" i="2"/>
  <c r="M486" i="2"/>
  <c r="K223" i="2"/>
  <c r="L223" i="2"/>
  <c r="M223" i="2"/>
  <c r="L750" i="2"/>
  <c r="M750" i="2"/>
  <c r="K750" i="2"/>
  <c r="L252" i="2"/>
  <c r="M252" i="2"/>
  <c r="K252" i="2"/>
  <c r="K770" i="2"/>
  <c r="L770" i="2"/>
  <c r="M770" i="2"/>
  <c r="L831" i="2"/>
  <c r="M831" i="2"/>
  <c r="K831" i="2"/>
  <c r="L701" i="2"/>
  <c r="M701" i="2"/>
  <c r="K701" i="2"/>
  <c r="L772" i="2"/>
  <c r="M772" i="2"/>
  <c r="K772" i="2"/>
  <c r="L138" i="2"/>
  <c r="M138" i="2"/>
  <c r="K138" i="2"/>
  <c r="K28" i="2"/>
  <c r="L28" i="2"/>
  <c r="M28" i="2"/>
  <c r="K675" i="2"/>
  <c r="L675" i="2"/>
  <c r="M675" i="2"/>
  <c r="L744" i="2"/>
  <c r="M744" i="2"/>
  <c r="K744" i="2"/>
  <c r="K724" i="2"/>
  <c r="L724" i="2"/>
  <c r="M724" i="2"/>
  <c r="L535" i="2"/>
  <c r="M535" i="2"/>
  <c r="K535" i="2"/>
  <c r="K480" i="2"/>
  <c r="L480" i="2"/>
  <c r="M480" i="2"/>
  <c r="L829" i="2"/>
  <c r="M829" i="2"/>
  <c r="K829" i="2"/>
  <c r="L507" i="2"/>
  <c r="M507" i="2"/>
  <c r="K507" i="2"/>
  <c r="K687" i="2"/>
  <c r="L687" i="2"/>
  <c r="M687" i="2"/>
  <c r="K679" i="2"/>
  <c r="L679" i="2"/>
  <c r="M679" i="2"/>
  <c r="L859" i="2"/>
  <c r="M859" i="2"/>
  <c r="K859" i="2"/>
  <c r="L428" i="2"/>
  <c r="M428" i="2"/>
  <c r="K428" i="2"/>
  <c r="K747" i="2"/>
  <c r="L747" i="2"/>
  <c r="M747" i="2"/>
  <c r="L655" i="2"/>
  <c r="M655" i="2"/>
  <c r="K655" i="2"/>
  <c r="K150" i="2"/>
  <c r="L150" i="2"/>
  <c r="M150" i="2"/>
  <c r="K397" i="2"/>
  <c r="L397" i="2"/>
  <c r="M397" i="2"/>
  <c r="L177" i="2"/>
  <c r="M177" i="2"/>
  <c r="K177" i="2"/>
  <c r="L63" i="2"/>
  <c r="M63" i="2"/>
  <c r="K63" i="2"/>
  <c r="L734" i="2"/>
  <c r="M734" i="2"/>
  <c r="K734" i="2"/>
  <c r="K310" i="2"/>
  <c r="L310" i="2"/>
  <c r="M310" i="2"/>
  <c r="K410" i="2"/>
  <c r="L410" i="2"/>
  <c r="M410" i="2"/>
  <c r="L371" i="2"/>
  <c r="M371" i="2"/>
  <c r="K371" i="2"/>
  <c r="L333" i="2"/>
  <c r="M333" i="2"/>
  <c r="K333" i="2"/>
  <c r="K132" i="2"/>
  <c r="L132" i="2"/>
  <c r="M132" i="2"/>
  <c r="K266" i="2"/>
  <c r="L266" i="2"/>
  <c r="M266" i="2"/>
  <c r="L775" i="2"/>
  <c r="M775" i="2"/>
  <c r="K775" i="2"/>
  <c r="K853" i="2"/>
  <c r="L853" i="2"/>
  <c r="M853" i="2"/>
  <c r="L527" i="2"/>
  <c r="M527" i="2"/>
  <c r="K527" i="2"/>
  <c r="K669" i="2"/>
  <c r="L669" i="2"/>
  <c r="M669" i="2"/>
  <c r="K260" i="2"/>
  <c r="L260" i="2"/>
  <c r="M260" i="2"/>
  <c r="L736" i="2"/>
  <c r="M736" i="2"/>
  <c r="K736" i="2"/>
  <c r="L425" i="2"/>
  <c r="M425" i="2"/>
  <c r="K425" i="2"/>
  <c r="K281" i="2"/>
  <c r="L281" i="2"/>
  <c r="M281" i="2"/>
  <c r="L677" i="2"/>
  <c r="M677" i="2"/>
  <c r="K677" i="2"/>
  <c r="L692" i="2"/>
  <c r="M692" i="2"/>
  <c r="K692" i="2"/>
  <c r="K382" i="2"/>
  <c r="L382" i="2"/>
  <c r="M382" i="2"/>
  <c r="L845" i="2"/>
  <c r="M845" i="2"/>
  <c r="K845" i="2"/>
  <c r="L111" i="2"/>
  <c r="M111" i="2"/>
  <c r="K111" i="2"/>
  <c r="K289" i="2"/>
  <c r="L289" i="2"/>
  <c r="M289" i="2"/>
  <c r="L255" i="2"/>
  <c r="M255" i="2"/>
  <c r="K255" i="2"/>
  <c r="L730" i="2"/>
  <c r="M730" i="2"/>
  <c r="K730" i="2"/>
  <c r="L676" i="2"/>
  <c r="M676" i="2"/>
  <c r="K676" i="2"/>
  <c r="L540" i="2"/>
  <c r="M540" i="2"/>
  <c r="K540" i="2"/>
  <c r="L179" i="2"/>
  <c r="M179" i="2"/>
  <c r="K179" i="2"/>
  <c r="L418" i="2"/>
  <c r="M418" i="2"/>
  <c r="K418" i="2"/>
  <c r="K81" i="2"/>
  <c r="L81" i="2"/>
  <c r="M81" i="2"/>
  <c r="K706" i="2"/>
  <c r="L706" i="2"/>
  <c r="M706" i="2"/>
  <c r="K458" i="2"/>
  <c r="L458" i="2"/>
  <c r="M458" i="2"/>
  <c r="K317" i="2"/>
  <c r="L317" i="2"/>
  <c r="M317" i="2"/>
  <c r="K268" i="2"/>
  <c r="L268" i="2"/>
  <c r="M268" i="2"/>
  <c r="K767" i="2"/>
  <c r="L767" i="2"/>
  <c r="M767" i="2"/>
  <c r="L367" i="2"/>
  <c r="M367" i="2"/>
  <c r="K367" i="2"/>
  <c r="K347" i="2"/>
  <c r="L347" i="2"/>
  <c r="M347" i="2"/>
  <c r="K533" i="2"/>
  <c r="L533" i="2"/>
  <c r="M533" i="2"/>
  <c r="L398" i="2"/>
  <c r="M398" i="2"/>
  <c r="K398" i="2"/>
  <c r="L776" i="2"/>
  <c r="M776" i="2"/>
  <c r="K776" i="2"/>
  <c r="L416" i="2"/>
  <c r="M416" i="2"/>
  <c r="K416" i="2"/>
  <c r="L372" i="2"/>
  <c r="M372" i="2"/>
  <c r="K372" i="2"/>
  <c r="K155" i="2"/>
  <c r="L155" i="2"/>
  <c r="M155" i="2"/>
  <c r="L735" i="2"/>
  <c r="M735" i="2"/>
  <c r="K735" i="2"/>
  <c r="L515" i="2"/>
  <c r="M515" i="2"/>
  <c r="K515" i="2"/>
  <c r="L512" i="2"/>
  <c r="M512" i="2"/>
  <c r="K512" i="2"/>
  <c r="L234" i="2"/>
  <c r="M234" i="2"/>
  <c r="K234" i="2"/>
  <c r="K434" i="2"/>
  <c r="L434" i="2"/>
  <c r="M434" i="2"/>
  <c r="K122" i="2"/>
  <c r="L122" i="2"/>
  <c r="M122" i="2"/>
  <c r="L98" i="2"/>
  <c r="M98" i="2"/>
  <c r="K98" i="2"/>
  <c r="L766" i="2"/>
  <c r="M766" i="2"/>
  <c r="K766" i="2"/>
  <c r="L531" i="2"/>
  <c r="M531" i="2"/>
  <c r="K531" i="2"/>
  <c r="L530" i="2"/>
  <c r="M530" i="2"/>
  <c r="K530" i="2"/>
  <c r="K751" i="2"/>
  <c r="L751" i="2"/>
  <c r="M751" i="2"/>
  <c r="K284" i="2"/>
  <c r="L284" i="2"/>
  <c r="M284" i="2"/>
  <c r="L153" i="2"/>
  <c r="M153" i="2"/>
  <c r="K153" i="2"/>
  <c r="L131" i="2"/>
  <c r="M131" i="2"/>
  <c r="K131" i="2"/>
  <c r="K73" i="2"/>
  <c r="L73" i="2"/>
  <c r="M73" i="2"/>
  <c r="K768" i="2"/>
  <c r="L768" i="2"/>
  <c r="M768" i="2"/>
  <c r="L678" i="2"/>
  <c r="M678" i="2"/>
  <c r="K678" i="2"/>
  <c r="L465" i="2"/>
  <c r="M465" i="2"/>
  <c r="K465" i="2"/>
  <c r="K323" i="2"/>
  <c r="L323" i="2"/>
  <c r="M323" i="2"/>
  <c r="L82" i="2"/>
  <c r="M82" i="2"/>
  <c r="K82" i="2"/>
  <c r="K650" i="2"/>
  <c r="L650" i="2"/>
  <c r="M650" i="2"/>
  <c r="L755" i="2"/>
  <c r="M755" i="2"/>
  <c r="K755" i="2"/>
  <c r="K478" i="2"/>
  <c r="L478" i="2"/>
  <c r="M478" i="2"/>
  <c r="L354" i="2"/>
  <c r="M354" i="2"/>
  <c r="K354" i="2"/>
  <c r="K726" i="2"/>
  <c r="L726" i="2"/>
  <c r="M726" i="2"/>
  <c r="K716" i="2"/>
  <c r="L716" i="2"/>
  <c r="M716" i="2"/>
  <c r="K165" i="2"/>
  <c r="L165" i="2"/>
  <c r="M165" i="2"/>
  <c r="K430" i="2"/>
  <c r="L430" i="2"/>
  <c r="M430" i="2"/>
  <c r="K137" i="2"/>
  <c r="L137" i="2"/>
  <c r="M137" i="2"/>
  <c r="K125" i="2"/>
  <c r="L174" i="2"/>
  <c r="M174" i="2"/>
  <c r="K838" i="2"/>
  <c r="K16" i="2"/>
  <c r="L16" i="2"/>
  <c r="M16" i="2"/>
  <c r="L825" i="2"/>
  <c r="M825" i="2"/>
  <c r="K456" i="2"/>
  <c r="K689" i="2"/>
  <c r="L335" i="2"/>
  <c r="M335" i="2"/>
  <c r="L505" i="2"/>
  <c r="M505" i="2"/>
  <c r="K680" i="2"/>
  <c r="L955" i="2"/>
  <c r="M955" i="2"/>
  <c r="L387" i="2"/>
  <c r="M387" i="2"/>
  <c r="L824" i="2"/>
  <c r="M824" i="2"/>
  <c r="L230" i="2"/>
  <c r="M230" i="2"/>
  <c r="L251" i="2"/>
  <c r="M251" i="2"/>
  <c r="K193" i="2"/>
  <c r="K181" i="2"/>
  <c r="L850" i="2"/>
  <c r="M850" i="2"/>
  <c r="K64" i="2"/>
  <c r="L312" i="2"/>
  <c r="M312" i="2"/>
  <c r="J727" i="2"/>
  <c r="K727" i="2"/>
  <c r="K968" i="2"/>
  <c r="L383" i="2"/>
  <c r="M383" i="2"/>
  <c r="K926" i="2"/>
  <c r="K37" i="2"/>
  <c r="K774" i="2"/>
  <c r="K821" i="2"/>
  <c r="L821" i="2"/>
  <c r="M821" i="2"/>
  <c r="L693" i="2"/>
  <c r="M693" i="2"/>
  <c r="K693" i="2"/>
  <c r="K800" i="2"/>
  <c r="L800" i="2"/>
  <c r="M800" i="2"/>
  <c r="L459" i="2"/>
  <c r="M459" i="2"/>
  <c r="K459" i="2"/>
  <c r="K836" i="2"/>
  <c r="K887" i="2"/>
  <c r="L75" i="2"/>
  <c r="M75" i="2"/>
  <c r="L58" i="2"/>
  <c r="M58" i="2"/>
  <c r="K643" i="2"/>
  <c r="K378" i="2"/>
  <c r="L898" i="2"/>
  <c r="M898" i="2"/>
  <c r="L435" i="2"/>
  <c r="M435" i="2"/>
  <c r="K213" i="2"/>
  <c r="K440" i="2"/>
  <c r="K715" i="2"/>
  <c r="L835" i="2"/>
  <c r="M835" i="2"/>
  <c r="K698" i="2"/>
  <c r="K496" i="2"/>
  <c r="L32" i="2"/>
  <c r="M32" i="2"/>
  <c r="K808" i="2"/>
  <c r="L219" i="2"/>
  <c r="M219" i="2"/>
  <c r="L409" i="2"/>
  <c r="M409" i="2"/>
  <c r="L969" i="2"/>
  <c r="M969" i="2"/>
  <c r="K969" i="2"/>
  <c r="K934" i="2"/>
  <c r="L934" i="2"/>
  <c r="M934" i="2"/>
  <c r="L930" i="2"/>
  <c r="M930" i="2"/>
  <c r="K930" i="2"/>
  <c r="K928" i="2"/>
  <c r="L928" i="2"/>
  <c r="M928" i="2"/>
  <c r="K363" i="2"/>
  <c r="L99" i="2"/>
  <c r="M99" i="2"/>
  <c r="L72" i="2"/>
  <c r="M72" i="2"/>
  <c r="K703" i="2"/>
  <c r="L499" i="2"/>
  <c r="M499" i="2"/>
  <c r="L87" i="2"/>
  <c r="M87" i="2"/>
  <c r="K886" i="2"/>
  <c r="L368" i="2"/>
  <c r="M368" i="2"/>
  <c r="L653" i="2"/>
  <c r="M653" i="2"/>
  <c r="K18" i="2"/>
  <c r="K732" i="2"/>
  <c r="L546" i="2"/>
  <c r="M546" i="2"/>
  <c r="L77" i="2"/>
  <c r="M77" i="2"/>
  <c r="L660" i="2"/>
  <c r="M660" i="2"/>
  <c r="K815" i="2"/>
  <c r="K818" i="2"/>
  <c r="L526" i="2"/>
  <c r="M526" i="2"/>
  <c r="L151" i="2"/>
  <c r="M151" i="2"/>
  <c r="K424" i="2"/>
  <c r="K685" i="2"/>
  <c r="L892" i="2"/>
  <c r="M892" i="2"/>
  <c r="K892" i="2"/>
  <c r="L733" i="2"/>
  <c r="M733" i="2"/>
  <c r="K827" i="2"/>
  <c r="L827" i="2"/>
  <c r="M827" i="2"/>
  <c r="L807" i="2"/>
  <c r="M807" i="2"/>
  <c r="K807" i="2"/>
  <c r="K839" i="2"/>
  <c r="L839" i="2"/>
  <c r="M839" i="2"/>
  <c r="L528" i="2"/>
  <c r="M528" i="2"/>
  <c r="K528" i="2"/>
  <c r="K187" i="2"/>
  <c r="L429" i="2"/>
  <c r="M429" i="2"/>
  <c r="K429" i="2"/>
  <c r="L731" i="2"/>
  <c r="M731" i="2"/>
  <c r="K731" i="2"/>
  <c r="K844" i="2"/>
  <c r="L844" i="2"/>
  <c r="M844" i="2"/>
  <c r="K895" i="2"/>
  <c r="L895" i="2"/>
  <c r="M895" i="2"/>
  <c r="K167" i="2"/>
  <c r="L167" i="2"/>
  <c r="M167" i="2"/>
  <c r="K837" i="2"/>
  <c r="L837" i="2"/>
  <c r="M837" i="2"/>
  <c r="K720" i="2"/>
  <c r="L720" i="2"/>
  <c r="M720" i="2"/>
  <c r="K117" i="2"/>
  <c r="L117" i="2"/>
  <c r="M117" i="2"/>
  <c r="L359" i="2"/>
  <c r="M359" i="2"/>
  <c r="K359" i="2"/>
  <c r="K848" i="2"/>
  <c r="L848" i="2"/>
  <c r="M848" i="2"/>
  <c r="L462" i="2"/>
  <c r="M462" i="2"/>
  <c r="L421" i="2"/>
  <c r="M421" i="2"/>
  <c r="K421" i="2"/>
  <c r="K176" i="2"/>
  <c r="L176" i="2"/>
  <c r="M176" i="2"/>
  <c r="L227" i="2"/>
  <c r="M227" i="2"/>
  <c r="K227" i="2"/>
  <c r="L341" i="2"/>
  <c r="M341" i="2"/>
  <c r="K341" i="2"/>
  <c r="K343" i="2"/>
  <c r="L343" i="2"/>
  <c r="M343" i="2"/>
  <c r="K448" i="2"/>
  <c r="L448" i="2"/>
  <c r="M448" i="2"/>
  <c r="L41" i="2"/>
  <c r="M41" i="2"/>
  <c r="K41" i="2"/>
  <c r="K484" i="2"/>
  <c r="L484" i="2"/>
  <c r="M484" i="2"/>
  <c r="L645" i="2"/>
  <c r="M645" i="2"/>
  <c r="K645" i="2"/>
  <c r="L401" i="2"/>
  <c r="M401" i="2"/>
  <c r="K401" i="2"/>
  <c r="K415" i="2"/>
  <c r="L415" i="2"/>
  <c r="M415" i="2"/>
  <c r="K489" i="2"/>
  <c r="L489" i="2"/>
  <c r="M489" i="2"/>
  <c r="L134" i="2"/>
  <c r="M134" i="2"/>
  <c r="K134" i="2"/>
  <c r="L49" i="2"/>
  <c r="M49" i="2"/>
  <c r="K49" i="2"/>
  <c r="K452" i="2"/>
  <c r="L452" i="2"/>
  <c r="M452" i="2"/>
  <c r="L120" i="2"/>
  <c r="M120" i="2"/>
  <c r="K120" i="2"/>
  <c r="L345" i="2"/>
  <c r="M345" i="2"/>
  <c r="K345" i="2"/>
  <c r="L727" i="2"/>
  <c r="M727" i="2"/>
  <c r="K1095" i="2"/>
  <c r="M1095" i="2"/>
  <c r="N11" i="2"/>
</calcChain>
</file>

<file path=xl/sharedStrings.xml><?xml version="1.0" encoding="utf-8"?>
<sst xmlns="http://schemas.openxmlformats.org/spreadsheetml/2006/main" count="9608" uniqueCount="1728">
  <si>
    <t>ПРАЙС-ЛИСТ РЕХАУ ВИС EA 2026</t>
  </si>
  <si>
    <t>НДС</t>
  </si>
  <si>
    <t>Основная скидка / Grundrabatt:</t>
  </si>
  <si>
    <t>Скидка за оснащение склада или объектная скидка / Lagererstausstattungsrabatt bzw.Objektrabatt::</t>
  </si>
  <si>
    <t>Скидка за предоплату / Skonto:</t>
  </si>
  <si>
    <t>Надбавка / Logistikkostenaufschlag:</t>
  </si>
  <si>
    <r>
      <t xml:space="preserve">Z - Планируется замена артикула; N = Новый артикул; </t>
    </r>
    <r>
      <rPr>
        <b/>
        <sz val="10"/>
        <color rgb="FFFF0000"/>
        <rFont val="Arial"/>
        <family val="2"/>
        <charset val="204"/>
      </rPr>
      <t>D =</t>
    </r>
    <r>
      <rPr>
        <b/>
        <sz val="10"/>
        <rFont val="Arial"/>
        <family val="2"/>
        <charset val="204"/>
      </rPr>
      <t xml:space="preserve"> Выводится из программы поставок.</t>
    </r>
  </si>
  <si>
    <t>Программа</t>
  </si>
  <si>
    <t>Прежний материал</t>
  </si>
  <si>
    <t>Актуальный материал</t>
  </si>
  <si>
    <t>Наименование</t>
  </si>
  <si>
    <t>Кол-во</t>
  </si>
  <si>
    <t>Ед. изм.</t>
  </si>
  <si>
    <t>Единица поставки</t>
  </si>
  <si>
    <t>Цена брутто 
ЕВРО
без НДС</t>
  </si>
  <si>
    <t>Цена брутто
ЕВРО 
с НДС</t>
  </si>
  <si>
    <t>Сумма брутто
ЕВРО
с НДС</t>
  </si>
  <si>
    <t>Цена нетто
ЕВРО 
без НДС</t>
  </si>
  <si>
    <t>Сумма нетто
ЕВРО 
без НДС</t>
  </si>
  <si>
    <t>Цена нетто
ЕВРО 
с НДС</t>
  </si>
  <si>
    <t>Сумма нетто
ЕВРО 
с НДС</t>
  </si>
  <si>
    <t>РРЦ, 
РУБ С НДС</t>
  </si>
  <si>
    <t>РРЦ, РУБ С НДС</t>
  </si>
  <si>
    <t>RAUTITAN</t>
  </si>
  <si>
    <t>1.1.1. Трубы и комплектующие на водоснабжение и отопление</t>
  </si>
  <si>
    <r>
      <rPr>
        <b/>
        <sz val="8"/>
        <color rgb="FFFF0000"/>
        <rFont val="Calibri"/>
        <family val="2"/>
        <charset val="204"/>
        <scheme val="minor"/>
      </rPr>
      <t xml:space="preserve">D </t>
    </r>
    <r>
      <rPr>
        <sz val="8"/>
        <rFont val="Calibri"/>
        <family val="2"/>
        <charset val="204"/>
        <scheme val="minor"/>
      </rPr>
      <t>= Выводится из программы поставок. Распродаются остатки на складе.</t>
    </r>
  </si>
  <si>
    <t>АКЦИЯ!
РАСПРОДАЖА</t>
  </si>
  <si>
    <t>Универсальн.труба RAUTITAN stabil PLATINUM 32х4,7 мм, прям. отрезки 5м</t>
  </si>
  <si>
    <t>м</t>
  </si>
  <si>
    <t>Универсальн.труба RAUTITAN stabil 32х4,7 мм, прям.отрезки 5м</t>
  </si>
  <si>
    <t>N</t>
  </si>
  <si>
    <t>Универсальн.труба РЕХАУ STABIL 16,2х2,6 мм, бухта 100 м</t>
  </si>
  <si>
    <t>Универсальн.труба РЕХАУ STABIL 20х2,9 мм, бухта 100 м</t>
  </si>
  <si>
    <t>Универсальн.труба РЕХАУ STABIL 25х3,7 мм, бухта 50 м</t>
  </si>
  <si>
    <t>Универсальн.труба РЕХАУ STABIL 32х4,7 мм, бухта 25 м</t>
  </si>
  <si>
    <t>Универсальн.труба РЕХАУ STABIL 40х6,0 мм, прям.отрезки 5м</t>
  </si>
  <si>
    <t>Универсальн.труба РЕХАУ FLEX 16x2,2, бухта 100м</t>
  </si>
  <si>
    <t>Универсальн.труба РЕХАУ FLEX 20x2,8, бухта 100м</t>
  </si>
  <si>
    <t>Универсальн.труба РЕХАУ FLEX 25x3,5, бухта 50м</t>
  </si>
  <si>
    <t>Универсальн.труба РЕХАУ FLEX 32x4,4, бухта 50м</t>
  </si>
  <si>
    <t xml:space="preserve">
11304103006</t>
  </si>
  <si>
    <t>Универсальн.труба РЕХАУ FLEX 40x5,5, прям.отрезки 6м</t>
  </si>
  <si>
    <t>Универсальн.труба РЕХАУ FLEX 50x6,9, прям.отрезки 6м</t>
  </si>
  <si>
    <t>Универсальн.труба РЕХАУ FLEX 63x8,6, прям.отрезки 6м</t>
  </si>
  <si>
    <t>Отоп. труба РЕХАУ PINK 16х2,2 мм, бухта 120 м</t>
  </si>
  <si>
    <t>Отоп. труба РЕХАУ PINK 20х2,8 мм, бухта 120 м</t>
  </si>
  <si>
    <t>Отоп. труба РЕХАУ PINK 25х3,5 мм, бухта 50 м</t>
  </si>
  <si>
    <t>Отоп. труба РЕХАУ PINK 32х4,4 мм, бухта 50 м</t>
  </si>
  <si>
    <t>Универсальн. объектная труба РЕХАУ BLACK 16х2,2 мм, бухта 200 м</t>
  </si>
  <si>
    <t>по запросу</t>
  </si>
  <si>
    <t>Универсальн. объектная труба РЕХАУ BLACK 20х2,8 мм, бухта 180 м</t>
  </si>
  <si>
    <t>Универсальн. объектная труба РЕХАУ BLACK 25х3,5 мм, бухта 100 м</t>
  </si>
  <si>
    <t>D</t>
  </si>
  <si>
    <t>Отоп.труба РЕХАУ BLACK 16х2,2 мм, бухта 200 м</t>
  </si>
  <si>
    <t>Отоп.труба РЕХАУ BLACK 20х2,8 мм, бухта 180 м</t>
  </si>
  <si>
    <t>Отоп.труба РЕХАУ BLACK 25х3,5 мм, бухта 100 м</t>
  </si>
  <si>
    <t>Фиксирующий желоб РЕХАУ для ПЭ-трубы 16/17</t>
  </si>
  <si>
    <t>Фиксирующий желоб РЕХАУ для ПЭ-трубы 20</t>
  </si>
  <si>
    <t>Фиксирующий желоб РЕХАУ для ПЭ-трубы 25</t>
  </si>
  <si>
    <t>Фиксирующий желоб РЕХАУ для ПЭ-трубы 32</t>
  </si>
  <si>
    <t>Фиксирующий желоб РЕХАУ для ПЭ-трубы 40</t>
  </si>
  <si>
    <t>Фиксирующий желоб РЕХАУ для ПЭ-трубы 50</t>
  </si>
  <si>
    <t>Фиксирующий желоб РЕХАУ для ПЭ-трубы 63</t>
  </si>
  <si>
    <t>1.1.2. Универсальные фитинги RAUTITAN для водоснабжения и отопления</t>
  </si>
  <si>
    <t>Монтажная гильза 16 LX</t>
  </si>
  <si>
    <t>шт</t>
  </si>
  <si>
    <t>Монтажная гильза 20 LX</t>
  </si>
  <si>
    <t>Монтажная гильза 25 LX</t>
  </si>
  <si>
    <t>Монтажная гильза 32 LX</t>
  </si>
  <si>
    <t>Монтажная гильза 40 LX</t>
  </si>
  <si>
    <t>Монтажная гильза 50 LX</t>
  </si>
  <si>
    <t>Монтажная гильза 63 LX</t>
  </si>
  <si>
    <t>Тройник РЕХАУ равнопроходный 16-16-16 RX+</t>
  </si>
  <si>
    <t>Тройник РЕХАУ равнопроходный 20-20-20 RX+</t>
  </si>
  <si>
    <t>Тройник РЕХАУ равнопроходный 25-25-25 RX+</t>
  </si>
  <si>
    <t>Тройник РЕХАУ равнопроходный 32-32-32 RX+</t>
  </si>
  <si>
    <t>Тройник РЕХАУ равнопроходный 40-40-40 RX+</t>
  </si>
  <si>
    <t>Тройник равнопроходный 16-16-16 MX</t>
  </si>
  <si>
    <t>Тройник равнопроходный 20-20-20 MX</t>
  </si>
  <si>
    <t>Тройник равнопроходный 25-25-25 MX</t>
  </si>
  <si>
    <t>Тройник равнопроходный 32-32-32 MX</t>
  </si>
  <si>
    <t>Тройник равнопроходный 40-40-40 MX</t>
  </si>
  <si>
    <t>Тройник равнопроходный 50-50-50 MX</t>
  </si>
  <si>
    <t>Тройник равнопроходный 63-63-63 MX</t>
  </si>
  <si>
    <t>Тройник равнопроходный 25-25-25 PX</t>
  </si>
  <si>
    <t>Тройник равнопроходный 40-40-40 PX</t>
  </si>
  <si>
    <t>Тройник РЕХАУ с повышенным сопротивлением на проходе 32-16-25 RX+</t>
  </si>
  <si>
    <t>Тройник с повышенным сопротивлением на проходе 40-16-32 RX+</t>
  </si>
  <si>
    <t>Проточный настенный угольник РЕХАУ 16/16-Rp 1/2 длинный RX+</t>
  </si>
  <si>
    <t>Проточный настенный угольник РЕХАУ 16/16-Rp 1/2 короткий RX+</t>
  </si>
  <si>
    <t>Проточный настенный угольник РЕХАУ 20/20-Rp 1/2 длинный RX+</t>
  </si>
  <si>
    <t>Проточный настенный угольник 20/16-Rp 1/2 короткий RX+</t>
  </si>
  <si>
    <t>Тройник РЕХАУ с наружной резьбой 20-20-R 1/2 RX+</t>
  </si>
  <si>
    <t>Тройник с наружной резьбой 20-20-R 1/2 RX+</t>
  </si>
  <si>
    <t>Тройник РЕХАУ с уменьшенным боковым проходом 20-16-20 RX+</t>
  </si>
  <si>
    <t>Тройник РЕХАУ с уменьшенным боковым проходом 25-16-25 RX+</t>
  </si>
  <si>
    <t>Тройник РЕХАУ с уменьшенным боковым проходом 25-20-25 RX+</t>
  </si>
  <si>
    <t>Тройник РЕХАУ с уменьшенным боковым проходом 32-16-32 RX+</t>
  </si>
  <si>
    <t>Тройник РЕХАУ с уменьшенным боковым проходом 32-20-32 RX+</t>
  </si>
  <si>
    <t>Тройник РЕХАУ с уменьшенным боковым проходом 32-25-32 RX+</t>
  </si>
  <si>
    <t>Тройник РЕХАУ с уменьшенным боковым проходом 40-20-40 RX+</t>
  </si>
  <si>
    <t>Тройник РЕХАУ с уменьшенным боковым проходом 40-25-40 RX+</t>
  </si>
  <si>
    <t>Тройник РЕХАУ с уменьшенным боковым проходом 40-32-40 RX+</t>
  </si>
  <si>
    <t>Тройник с уменьшенным боковым проходом 20-16-20 MX</t>
  </si>
  <si>
    <t>Тройник с уменьшенным боковым проходом 25-16-25 MX</t>
  </si>
  <si>
    <t>Тройник с уменьшенным боковым проходом 25-20-25 MX</t>
  </si>
  <si>
    <t>Тройник с уменьшенным боковым проходом 32-16-32 MX</t>
  </si>
  <si>
    <t>Тройник с уменьшенным боковым проходом 32-20-32 MX</t>
  </si>
  <si>
    <t>Тройник с уменьшенным боковым проходом 32-25-32 MX</t>
  </si>
  <si>
    <t>Тройник с уменьшенным боковым проходом 40-20-40 MX</t>
  </si>
  <si>
    <t>Тройник с уменьшенным боковым проходом 40-25-40 MX</t>
  </si>
  <si>
    <t>Тройник с уменьшенным боковым проходом 40-32-40 MX</t>
  </si>
  <si>
    <t>Тройник с уменьшенным боковым проходом 50-20-50 MX</t>
  </si>
  <si>
    <t>Тройник с уменьшенным боковым проходом 50-25-50 MX</t>
  </si>
  <si>
    <t>Тройник с уменьшенным боковым проходом 50-32-50 MX</t>
  </si>
  <si>
    <t>Тройник с уменьшенным боковым проходом 50-40-50 MX</t>
  </si>
  <si>
    <t>Тройник с уменьшенным боковым проходом 63-25-63 MX</t>
  </si>
  <si>
    <t>Тройник с уменьшенным боковым проходом 63-32-63 MX</t>
  </si>
  <si>
    <t>Тройник с уменьшенным боковым проходом 63-40-63 MX</t>
  </si>
  <si>
    <t>Тройник с уменьшенным боковым проходом 63-50-63 MX</t>
  </si>
  <si>
    <t>Тройник с уменьшенным боковым проходом 32-25-32 PX</t>
  </si>
  <si>
    <t>Тройник с уменьшенным боковым проходом 40-32-40 PX</t>
  </si>
  <si>
    <t>Тройник с уменьшенным боковым проходом 50-32-50 RX+</t>
  </si>
  <si>
    <t>Тройник с уменьшенным боковым проходом 63-25-63 RX+</t>
  </si>
  <si>
    <t>Тройник с уменьшенным боковым проходом 63-40-63 RX+</t>
  </si>
  <si>
    <t>Тройник с уменьшенным боковым проходом 63-50-63 RX+</t>
  </si>
  <si>
    <t>Тройник с уменьшенным боковым проходом 25-16-25 PLATINUM RX</t>
  </si>
  <si>
    <t>Тройник с уменьшенным боковым проходом 25-20-25 PLATINUM RX</t>
  </si>
  <si>
    <t>Тройник РЕХАУ с уменьшенным торцевым проходом 20-20-16 RX+</t>
  </si>
  <si>
    <t>Тройник РЕХАУ с уменьшенным торцевым проходом 25-25-16 RX+</t>
  </si>
  <si>
    <t>Тройник РЕХАУ с уменьшенным торцевым проходом 25-25-20 RX+</t>
  </si>
  <si>
    <t>Тройник РЕХАУ с уменьшенным торцевым проходом 32-32-20 RX+</t>
  </si>
  <si>
    <t>Тройник РЕХАУ с уменьшенным торцевым проходом 32-32-25 RX+</t>
  </si>
  <si>
    <t>Тройник с уменьшенным торцевым проходом 20-20-16 MX</t>
  </si>
  <si>
    <t>Тройник с уменьшенным торцевым проходом 25-25-16 MX</t>
  </si>
  <si>
    <t>Тройник с уменьшенным торцевым проходом 25-25-20 MX</t>
  </si>
  <si>
    <t>Тройник с уменьшенным торцевым проходом 32-32-20 MX</t>
  </si>
  <si>
    <t>Тройник с уменьшенным торцевым проходом 32-32-25 MX</t>
  </si>
  <si>
    <t>Тройник РЕХАУ с уменьшенным боковым и торцевым проходами 20-16-16 RX+</t>
  </si>
  <si>
    <t>Тройник РЕХАУ с уменьшенным боковым и торцевым проходами 25-16-16 RX+</t>
  </si>
  <si>
    <t>Тройник РЕХАУ с уменьшенным боковым и торцевым проходами 25-16-20 RX+</t>
  </si>
  <si>
    <t>Тройник РЕХАУ с уменьшенным боковым и торцевым проходами 25-20-16 RX+</t>
  </si>
  <si>
    <t>Тройник РЕХАУ с уменьшенным боковым и торцевым проходами 25-20-20 RX+</t>
  </si>
  <si>
    <t>Тройник РЕХАУ с уменьшенным боковым и торцевым проходами 32-20-20 RX+</t>
  </si>
  <si>
    <t>Тройник РЕХАУ с уменьшенным боковым и торцевым проходами 32-20-25 RX+</t>
  </si>
  <si>
    <t>Тройник РЕХАУ с уменьшенным боковым и торцевым проходами 32-25-20 RX+</t>
  </si>
  <si>
    <t>Тройник РЕХАУ с уменьшенным боковым и торцевым проходами 32-25-25 RX+</t>
  </si>
  <si>
    <t>Тройник РЕХАУ с уменьшенным боковым и торцевым проходами 40-32-32 RX+</t>
  </si>
  <si>
    <t>Тройник с уменьшенным боковым и торцевым проходами 20-16-16 MX</t>
  </si>
  <si>
    <t>Тройник с уменьшенным боковым и торцевым проходами 25-16-16 MX</t>
  </si>
  <si>
    <t>Тройник с уменьшенным боковым и торцевым проходами 25-16-20 MX</t>
  </si>
  <si>
    <t>Тройник с уменьшенным боковым и торцевым проходами 25-20-16 MX</t>
  </si>
  <si>
    <t>Тройник с уменьшенным боковым и торцевым проходами 25-20-20 MX</t>
  </si>
  <si>
    <t>Тройник с уменьшенным боковым и торцевым проходами 32-20-20 MX</t>
  </si>
  <si>
    <t>Тройник с уменьшенным боковым и торцевым проходами 32-20-25 MX</t>
  </si>
  <si>
    <t>Тройник с уменьшенным боковым и торцевым проходами 32-25-20 MX</t>
  </si>
  <si>
    <t>Тройник с уменьшенным боковым и торцевым проходами 32-25-25 MX</t>
  </si>
  <si>
    <t>Тройник с уменьшенным боковым и торцевым проходами 40-32-32 MX</t>
  </si>
  <si>
    <t>Тройник с уменьшенным боковым и торцевым проходами 50-32-40 MX</t>
  </si>
  <si>
    <t>Тройник с уменьшенным торцевым проходом 20-20-16 PX</t>
  </si>
  <si>
    <t>Тройник с уменьшенным торцевым проходом 25-25-20 PX</t>
  </si>
  <si>
    <t>Тройник с уменьшенным торцевым проходом 32-32-20 PX</t>
  </si>
  <si>
    <t>Тройник с уменьшенным торцевым проходом 25-25-16 PLATINUM RX</t>
  </si>
  <si>
    <t>Тройник с уменьшенным боковым и торцевым проходами 25-16-16 PX</t>
  </si>
  <si>
    <t>Тройник с уменьшенным боковым и торцевым проходами 32-20-20 PX</t>
  </si>
  <si>
    <t>Тройник с уменьшенным боковым и торцевым проходами 32-20-25 PX</t>
  </si>
  <si>
    <t>Тройник с уменьшенным боковым и торцевым проходами 32-25-20 PX</t>
  </si>
  <si>
    <t>Тройник с уменьшенным боковым и торцевым проходами 50-32-40 RX+</t>
  </si>
  <si>
    <t>Тройник с уменьшенным боковым и торцевым проходами 25-16-16 PLATINUM RX</t>
  </si>
  <si>
    <t>Тройник с уменьшенным боковым и торцевым проходами 25-16-20 PLATINUM RX</t>
  </si>
  <si>
    <t>Тройник с уменьшенным боковым и торцевым проходами 25-20-20 PLATINUM RX</t>
  </si>
  <si>
    <t>Тройник с уменьшенным боковым и торцевым проходами 32-25-25 PLATINUM RX</t>
  </si>
  <si>
    <t>Тройник РЕХАУ с увеличенным боковым проходом 16-20-16 RX+</t>
  </si>
  <si>
    <t>Тройник РЕХАУ с увеличенным боковым проходом 16-25-16 RX+</t>
  </si>
  <si>
    <t>Тройник РЕХАУ с увеличенным боковым проходом 20-25-16 RX+</t>
  </si>
  <si>
    <t>Тройник РЕХАУ с увеличенным боковым проходом 20-25-20 RX+</t>
  </si>
  <si>
    <t>Тройник РЕХАУ с увеличенным боковым проходом 25-32-25 RX+</t>
  </si>
  <si>
    <t>Тройник с увеличенным боковым проходом 16-20-16 MX</t>
  </si>
  <si>
    <t>Тройник с увеличенным боковым проходом 16-25-16 MX</t>
  </si>
  <si>
    <t>Тройник с увеличенным боковым проходом 20-25-16 MX</t>
  </si>
  <si>
    <t>Тройник с увеличенным боковым проходом 20-25-20 MX</t>
  </si>
  <si>
    <t>Тройник с увеличенным боковым проходом 25-32-25 MX</t>
  </si>
  <si>
    <t>Тройник с увеличенным боковым проходом 20-25-16 PX</t>
  </si>
  <si>
    <t>Тройник с увеличенным боковым проходом 20-25-20 PX</t>
  </si>
  <si>
    <t>Тройник РЕХАУ настенный с внутренней резьбой 16-Rp1/2-16 RX+</t>
  </si>
  <si>
    <t>Тройник РЕХАУ настенный с внутренней резьбой 20-Rp1/2-20 RX+</t>
  </si>
  <si>
    <t>Тройник настенный с внутренней резьбой 16-Rp1/2-16 MX</t>
  </si>
  <si>
    <t>Тройник настенный с внутренней резьбой 20-Rp1/2-20 MX</t>
  </si>
  <si>
    <t>Тройник РЕХАУ с внутр. резьбой на боков. проходе 25-Rp 1/2-25 RX+</t>
  </si>
  <si>
    <t>Тройник РЕХАУ с внутр. резьбой на боков. проходе 25-Rp 3/4-25 RX+</t>
  </si>
  <si>
    <t>Тройник РЕХАУ с внутр. резьбой на боков. проходе 32-Rp 3/4-32 RX+</t>
  </si>
  <si>
    <t>Тройник РЕХАУ с внутр. резьбой на боков. проходе 40-Rp 1-40 RX+</t>
  </si>
  <si>
    <t>Тройник с внутр. резьбой на боков. проходе 25-Rp 3/4-25 MX</t>
  </si>
  <si>
    <t>Тройник с внутр. резьбой на боков. проходе 32-Rp 3/4-32 MX</t>
  </si>
  <si>
    <t>Тройник с внутр. резьбой на боков. проходе 40-Rp 1-40 MX</t>
  </si>
  <si>
    <t>Тройник с внутр. резьбой на боков. проходе 32-Rp 3/4-32 RX+</t>
  </si>
  <si>
    <t>Муфта РЕХАУ соединительная равнопроходная 16 RX+</t>
  </si>
  <si>
    <t>Муфта РЕХАУ соединительная равнопроходная 20 RX+</t>
  </si>
  <si>
    <t>Муфта РЕХАУ соединительная равнопроходная 25 RX+</t>
  </si>
  <si>
    <t>Муфта РЕХАУ соединительная равнопроходная 32 RX+</t>
  </si>
  <si>
    <t>Муфта РЕХАУ соединительная равнопроходная 40 RX+</t>
  </si>
  <si>
    <t>Муфта соединительная равнопроходная 16 MX</t>
  </si>
  <si>
    <t>Муфта соединительная равнопроходная 20 MX</t>
  </si>
  <si>
    <t>Муфта соединительная равнопроходная 25 MX</t>
  </si>
  <si>
    <t>Муфта соединительная равнопроходная 32 MX</t>
  </si>
  <si>
    <t>Муфта соединительная равнопроходная 40 MX</t>
  </si>
  <si>
    <t>Муфта соединительная равнопроходная 50 MX</t>
  </si>
  <si>
    <t>Муфта соединительная равнопроходная 63 MX</t>
  </si>
  <si>
    <t>Муфта соединительная равнопроходная 25 PX</t>
  </si>
  <si>
    <t>Муфта соединительная равнопроходная 63 RX +</t>
  </si>
  <si>
    <t>Муфта соединительная равнопроходная 25 PLATINUM RX</t>
  </si>
  <si>
    <t>Муфта РЕХАУ соединительная переходная 20-16 RX+</t>
  </si>
  <si>
    <t>Муфта РЕХАУ соединительная переходная 25-16 RX+</t>
  </si>
  <si>
    <t>Муфта РЕХАУ соединительная переходная 25-20 RX+</t>
  </si>
  <si>
    <t>Муфта РЕХАУ соединительная переходная 32-25 RX+</t>
  </si>
  <si>
    <t>Муфта РЕХАУ соединительная переходная 40-25 RX+</t>
  </si>
  <si>
    <t>Муфта РЕХАУ соединительная переходная 40-32 RX+</t>
  </si>
  <si>
    <t>Муфта соединительная переходная 20-16 MX</t>
  </si>
  <si>
    <t>Муфта соединительная переходная 25-16 MX</t>
  </si>
  <si>
    <t>Муфта соединительная переходная 25-20 MX</t>
  </si>
  <si>
    <t>Муфта соединительная переходная 32-25 MX</t>
  </si>
  <si>
    <t>Муфта соединительная переходная 40-25 MX</t>
  </si>
  <si>
    <t>Муфта соединительная переходная 40-32 MX</t>
  </si>
  <si>
    <t>Муфта соединительная переходная 50-32 MX</t>
  </si>
  <si>
    <t>Муфта соединительная переходная 50-40 MX</t>
  </si>
  <si>
    <t>Муфта соединительная переходная 63-50 MX</t>
  </si>
  <si>
    <t>Муфта соединительная переходная 25-20 PX</t>
  </si>
  <si>
    <t>Муфта соединительная переходная 20-16 PLATINUM RX</t>
  </si>
  <si>
    <t>Муфта соединительная переходная 25-16 PLATINUM RX</t>
  </si>
  <si>
    <t>Муфта соединительная переходная 25-20 PLATINUM RX</t>
  </si>
  <si>
    <t>Муфта соединительная переходная 32-25 PLATINUM RX</t>
  </si>
  <si>
    <t>Переходник РЕХАУ с наружной резьбой 16-R 1/2 RX+</t>
  </si>
  <si>
    <t>Переходник РЕХАУ с наружной резьбой 16-R 3/4 RX+</t>
  </si>
  <si>
    <t>Переходник РЕХАУ с наружной резьбой 16-R 1 RX+</t>
  </si>
  <si>
    <t>Переходник РЕХАУ с наружной резьбой 20-R 1/2 RX+</t>
  </si>
  <si>
    <t>Переходник РЕХАУ с наружной резьбой 20-R 3/4 RX+</t>
  </si>
  <si>
    <t>Переходник РЕХАУ с наружной резьбой 20-R 1 RX+</t>
  </si>
  <si>
    <t>Переходник РЕХАУ с наружной резьбой 25-R 1 RX+</t>
  </si>
  <si>
    <t>Переходник РЕХАУ с наружной резьбой 25-R 1/2 RX+</t>
  </si>
  <si>
    <t>Переходник РЕХАУ с наружной резьбой 25-R 3/4 RX+</t>
  </si>
  <si>
    <t>Переходник РЕХАУ с наружной резьбой 32-R 3/4 RX+</t>
  </si>
  <si>
    <t>Переходник РЕХАУ с наружной резьбой 32-R 1 RX+</t>
  </si>
  <si>
    <t>Переходник РЕХАУ с наружной резьбой 32-R 1 1/4 RX+</t>
  </si>
  <si>
    <t>Переходник РЕХАУ с наружной резьбой 40-R 1 1/4 RX+</t>
  </si>
  <si>
    <t>Переходник с наружной резьбой 16-R 1/2 MX</t>
  </si>
  <si>
    <t>Переходник с наружной резьбой 16-R 3/4 MX</t>
  </si>
  <si>
    <t>Переходник с наружной резьбой 16-R 1 MX</t>
  </si>
  <si>
    <t>Переходник с наружной резьбой 20-R 1/2 MX</t>
  </si>
  <si>
    <t>Переходник с наружной резьбой 20-R 3/4 MX</t>
  </si>
  <si>
    <t>Переходник с наружной резьбой 25-R 1/2 MX</t>
  </si>
  <si>
    <t>Переходник с наружной резьбой 25-R 3/4 MX</t>
  </si>
  <si>
    <t>Переходник с наружной резьбой 25-R 1 MX</t>
  </si>
  <si>
    <t>Переходник с наружной резьбой 32-R 3/4 MX</t>
  </si>
  <si>
    <t>Переходник с наружной резьбой 32-R 1 MX</t>
  </si>
  <si>
    <t>Переходник с наружной резьбой 40-R 1 1/4 MX</t>
  </si>
  <si>
    <t>Переходник с наружной резьбой 50-R 1 1/4 MX</t>
  </si>
  <si>
    <t>Переходник с наружной резьбой 50-R 1 1/2 MX</t>
  </si>
  <si>
    <t>Переходник с наружной резьбой 63-R 2 MX</t>
  </si>
  <si>
    <t>Переходник с наружной резьбой 16-R 1 RX+</t>
  </si>
  <si>
    <t>Переходник с наружной резьбой 25-R 1/2 RX+</t>
  </si>
  <si>
    <t>Переходник РЕХАУ с внутренней резьбой 16-Rp 1/2 RX+</t>
  </si>
  <si>
    <t>Переходник РЕХАУ с внутренней резьбой 20-Rp 1/2 RX+</t>
  </si>
  <si>
    <t>Переходник РЕХАУ с внутренней резьбой 20-Rp 3/4 RX+</t>
  </si>
  <si>
    <t>Переходник РЕХАУ с внутренней резьбой 25-Rp 1/2 RX+</t>
  </si>
  <si>
    <t>Переходник РЕХАУ с внутренней резьбой 25-Rp 3/4 RX+</t>
  </si>
  <si>
    <t>Переходник РЕХАУ с внутренней резьбой 25-Rp 1 RX+</t>
  </si>
  <si>
    <t>Переходник РЕХАУ с внутренней резьбой 32-Rp 3/4 RX+</t>
  </si>
  <si>
    <t>Переходник РЕХАУ с внутренней резьбой 32-Rр 1 RX+</t>
  </si>
  <si>
    <t>Переходник РЕХАУ с внутренней резьбой 40-Rр 1 1/4 RX+</t>
  </si>
  <si>
    <t>Переходник с внутренней резьбой 16-Rp 1/2 MX</t>
  </si>
  <si>
    <t>Переходник с внутренней резьбой 20-Rp 1/2 MX</t>
  </si>
  <si>
    <t>Переходник с внутренней резьбой 20-Rp 3/4 MX</t>
  </si>
  <si>
    <t>Переходник с внутренней резьбой 25-Rp 1/2 MX</t>
  </si>
  <si>
    <t>Переходник с внутренней резьбой 25-Rp 3/4 MX</t>
  </si>
  <si>
    <t>Переходник с внутренней резьбой 25-Rp 1 MX</t>
  </si>
  <si>
    <t>Переходник с внутренней резьбой 32-Rp 3/4 MX</t>
  </si>
  <si>
    <t>Переходник с внутренней резьбой 32-Rр 1 MX</t>
  </si>
  <si>
    <t>Переходник с внутренней резьбой 40-Rр 1 1/4 MX</t>
  </si>
  <si>
    <t>Переходник с внутренней резьбой 20-Rp 3/4 RX+</t>
  </si>
  <si>
    <t>Переходник с внутренней резьбой 25-Rp 3/4 RX+</t>
  </si>
  <si>
    <t>Переходник с внутренней резьбой 32-Rр 1 RX+</t>
  </si>
  <si>
    <t>Переходник РЕХАУ с накидной гайкой 16-G 1/2 RX+</t>
  </si>
  <si>
    <t>Переходник РЕХАУ с накидной гайкой 16-G 3/4 RX+</t>
  </si>
  <si>
    <t>Переходник РЕХАУ с накидной гайкой 20-G 1/2 RX+</t>
  </si>
  <si>
    <t>Переходник РЕХАУ с накидной гайкой 20-G 3/4 RX+</t>
  </si>
  <si>
    <t>Переходник РЕХАУ с накидной гайкой 25-G 3/4 RX+</t>
  </si>
  <si>
    <t>Переходник РЕХАУ с накидной гайкой 25-G 1 RX+</t>
  </si>
  <si>
    <t>Переходник РЕХАУ с накидной гайкой 32-G 1 RX+</t>
  </si>
  <si>
    <t>Переходник РЕХАУ с накидной гайкой 32-G 1 1/4 RX+</t>
  </si>
  <si>
    <t>Переходник РЕХАУ с накидной гайкой 40-G 1 1/2 RX+</t>
  </si>
  <si>
    <t>Переходник с накидной гайкой 16-G 1/2 MX</t>
  </si>
  <si>
    <t>Переходник с накидной гайкой 16-G 3/4 MX</t>
  </si>
  <si>
    <t>Переходник с накидной гайкой 20-G 1/2 MX</t>
  </si>
  <si>
    <t>Переходник с накидной гайкой 20-G 3/4 MX</t>
  </si>
  <si>
    <t>Переходник с накидной гайкой 25-G 3/4 MX</t>
  </si>
  <si>
    <t>Переходник с накидной гайкой 25-G 1 MX</t>
  </si>
  <si>
    <t>Переходник с накидной гайкой 32-G 1 MX</t>
  </si>
  <si>
    <t>Переходник с накидной гайкой 32-G 1 1/4 MX</t>
  </si>
  <si>
    <t>Переходник с накидной гайкой 40-G 1 1/2 MX</t>
  </si>
  <si>
    <t>Переходник с накидной гайкой 50-G 1 3/4 RX+</t>
  </si>
  <si>
    <t>Переходник с накидной гайкой 63-G 2 3/8 RX+</t>
  </si>
  <si>
    <t xml:space="preserve">Переходник на евроконус РЕХАУ 16-G 3/4 </t>
  </si>
  <si>
    <t xml:space="preserve">Переходник на евроконус РЕХАУ 20-G 3/4 </t>
  </si>
  <si>
    <t>Угольник-переходник РЕХАУ с накидной гайкой 16-G 1/2 RX+</t>
  </si>
  <si>
    <t>Угольник-переходник РЕХАУ с накидной гайкой 20-G 1/2 RX+</t>
  </si>
  <si>
    <t>Угольник-переходник с накидной гайкой 16-G 1/2 MX</t>
  </si>
  <si>
    <t>Угольник-переходник с накидной гайкой 20-G 1/2 RX+</t>
  </si>
  <si>
    <t>Угольник РЕХАУ 90°, 16 RX+</t>
  </si>
  <si>
    <t>Угольник РЕХАУ 90°, 20 RX+</t>
  </si>
  <si>
    <t>Угольник РЕХАУ 90°, 25 RX+</t>
  </si>
  <si>
    <t>Угольник РЕХАУ 90°, 32 RX+</t>
  </si>
  <si>
    <t>Угольник РЕХАУ 90°, 40 RX+</t>
  </si>
  <si>
    <t>Угольник 90°, 16 MX</t>
  </si>
  <si>
    <t>Угольник 90°, 20 MX</t>
  </si>
  <si>
    <t>Угольник 90°, 25 MX</t>
  </si>
  <si>
    <t>Угольник 90°, 32 MX</t>
  </si>
  <si>
    <t>Угольник 90°, 40 MX</t>
  </si>
  <si>
    <t>Угольник 90°, 50 MX</t>
  </si>
  <si>
    <t>Угольник 90°, 63 MX</t>
  </si>
  <si>
    <t>Угольник 90° 16 PLATINUM RX</t>
  </si>
  <si>
    <t>Угольник 90° 20 PLATINUM RX</t>
  </si>
  <si>
    <t>Угольник РЕХАУ 45°, 20 RX+</t>
  </si>
  <si>
    <t>Угольник РЕХАУ 45°, 25 RX+</t>
  </si>
  <si>
    <t>Угольник РЕХАУ 45°, 32 RX+</t>
  </si>
  <si>
    <t>Угольник РЕХАУ 45°, 40 RX+</t>
  </si>
  <si>
    <t>Угольник 45°, 20 MX</t>
  </si>
  <si>
    <t>Угольник 45°, 25 MX</t>
  </si>
  <si>
    <t>Угольник 45°, 32 MX</t>
  </si>
  <si>
    <t>Угольник 45°, 40 MX</t>
  </si>
  <si>
    <t>Угольник 45°, 20 PX</t>
  </si>
  <si>
    <t>Угольник 45°, 25 PX</t>
  </si>
  <si>
    <t>Угольник 45°, 50 RX+</t>
  </si>
  <si>
    <t>Угольник 45°, 63 RX+</t>
  </si>
  <si>
    <t>Защитная втулка РЕХАУ на теплоизоляцию, 16 мм, красная</t>
  </si>
  <si>
    <t>Защитная втулка РЕХАУ на теплоизоляцию, 16 мм, синяя</t>
  </si>
  <si>
    <t>Защитная втулка РЕХАУ на теплоизоляцию, 20 мм, красная</t>
  </si>
  <si>
    <t>Защитная втулка РЕХАУ на теплоизоляцию, 20 мм, синяя</t>
  </si>
  <si>
    <t>Фиксатор поворота РЕХАУ пластмас. на 90° для трубы 16/17</t>
  </si>
  <si>
    <t>Фиксатор поворота РЕХАУ пластмас. на 90° для трубы 20</t>
  </si>
  <si>
    <t>Фиксатор поворота РЕХАУ пластмас. на 90° для трубы 25</t>
  </si>
  <si>
    <t>Фиксатор поворота РЕХАУ с кольцами 90°, 20 (оцинк. сталь)</t>
  </si>
  <si>
    <t>Фиксатор поворота РЕХАУ с кольцами 90°, 25 (оцинк. сталь)</t>
  </si>
  <si>
    <t>Фиксатор поворота РЕХАУ с кольцами 90°, 32 (оцинк. сталь)</t>
  </si>
  <si>
    <t>Фиксатор поворота РЕХАУ 16/17/90°, без колец (оцинк. сталь)</t>
  </si>
  <si>
    <t>Фиксатор поворота РЕХАУ 20/90°, без колец (оцинк. сталь)</t>
  </si>
  <si>
    <t>Фиксатор поворота РЕХАУ 25/90°, без колец (оцинк. сталь)</t>
  </si>
  <si>
    <t>Угольник-переходник РЕХАУ с наружной резьбой 16-R 1/2 RX+</t>
  </si>
  <si>
    <t>Угольник-переходник РЕХАУ с наружной резьбой 20-R 1/2 RX+</t>
  </si>
  <si>
    <t>Угольник-переходник РЕХАУ с наружной резьбой 20-R 3/4 RX+</t>
  </si>
  <si>
    <t>Угольник-переходник РЕХАУ с наружной резьбой 25-R 3/4 RX+</t>
  </si>
  <si>
    <t>Угольник-переходник РЕХАУ с наружной резьбой 32-R 1 RX+</t>
  </si>
  <si>
    <t>Угольник-переходник с наружной резьбой 16-R 1/2 MX</t>
  </si>
  <si>
    <t>Угольник-переходник с наружной резьбой 20-R 1/2 MX</t>
  </si>
  <si>
    <t>Угольник-переходник с наружной резьбой 20-R 3/4 MX</t>
  </si>
  <si>
    <t>Угольник-переходник с наружной резьбой 25-R 3/4 MX</t>
  </si>
  <si>
    <t>Угольник-переходник с наружной резьбой 32-R 1 MX</t>
  </si>
  <si>
    <t>Угольник-переходник с наружной резьбой 32-R 3/4 RX+</t>
  </si>
  <si>
    <t>Угольник-переходник РЕХАУ с внутренней резьбой 16-Rp 1/2 RX+</t>
  </si>
  <si>
    <t>Угольник-переходник РЕХАУ с внутренней резьбой 16-Rp 3/4 RX+</t>
  </si>
  <si>
    <t>Угольник-переходник РЕХАУ с внутренней резьбой 20-Rp 1/2 RX+</t>
  </si>
  <si>
    <t>Угольник-переходник РЕХАУ с внутренней резьбой 20-Rp 3/4 RX+</t>
  </si>
  <si>
    <t>Угольник-переходник РЕХАУ с внутренней резьбой 25-Rp 1 RX+</t>
  </si>
  <si>
    <t>Угольник-переходник с внутренней резьбой 16-Rp 1/2 MX</t>
  </si>
  <si>
    <t>Угольник-переходник с внутренней резьбой 16-Rp 3/4 MX</t>
  </si>
  <si>
    <t>Угольник-переходник с внутренней резьбой 20-Rp 1/2 MX</t>
  </si>
  <si>
    <t>Угольник-переходник с внутренней резьбой 20-Rp 3/4 MX</t>
  </si>
  <si>
    <t>Угольник-переходник с внутренней резьбой 25-Rp 1 MX</t>
  </si>
  <si>
    <t>Угольник-переходник с внутренней резьбой 16-Rp 3/4 RX+</t>
  </si>
  <si>
    <t>Угольник-переходник с внутренней резьбой 20-Rp 1/2 RX+</t>
  </si>
  <si>
    <t>Угольник настенный РЕХАУ с внутр. резьбой 16-Rp 1/2 RX+</t>
  </si>
  <si>
    <t>Угольник настенный РЕХАУ с внутр. резьбой 20-Rp 1/2 RX+</t>
  </si>
  <si>
    <t>Угольник настенный РЕХАУ с внутр. резьбой 20-Rp 3/4 RX+</t>
  </si>
  <si>
    <t>Угольник настенный РЕХАУ с внутр. резьбой 25-Rp 3/4 RX+</t>
  </si>
  <si>
    <t>Угольник настенный РЕХАУ с длинным патрубком, внутр. резьба 16-Rp 1/2 RX+</t>
  </si>
  <si>
    <t>Угольник настенный РЕХАУ с длинным патрубком, внутр. резьба 20-Rp 1/2 RX+</t>
  </si>
  <si>
    <t>Угольник настенный РЕХАУ с наружной резьбой 16-R 1/2 RX+</t>
  </si>
  <si>
    <t>Угольник настенный РЕХАУ с наружной резьбой 20-R 1/2 RX+</t>
  </si>
  <si>
    <t>Угольник настенный с внутр. резьбой 16-Rp 1/2 MX</t>
  </si>
  <si>
    <t>Угольник настенный с внутр. резьбой 20-Rp 1/2 MX</t>
  </si>
  <si>
    <t>Угольник настенный с внутр. резьбой 20-Rp 3/4 MX</t>
  </si>
  <si>
    <t>Угольник настенный с внутр. резьбой 25-Rp 3/4 MX</t>
  </si>
  <si>
    <t>Угольник настенный с длинным патрубком, внутр. резьба 16-Rp 1/2 MX</t>
  </si>
  <si>
    <t xml:space="preserve">Угольник настенный с длинным патрубком, внутр. резьба 20-Rp 1/2 MX </t>
  </si>
  <si>
    <t>Угольник настенный с наружной резьбой 16-R 1/2 MX</t>
  </si>
  <si>
    <t>Угольник настенный с наружной резьбой 20-R 1/2 MX</t>
  </si>
  <si>
    <t>Угольник настенный с внутр. резьбой 20-Rp 1/2 RX+</t>
  </si>
  <si>
    <t>Угольник настенный с наружной резьбой 20-R 1/2 RX+</t>
  </si>
  <si>
    <t>Угольник настенный РЕХАУ для фальшстены с внутр. резьбой 16-Rp 1/2 длинный, 59 мм RX+</t>
  </si>
  <si>
    <t>Угольник настенный для фальштсены с внутр. резьбой 16-Rp 1/2 длинный, 59 мм MX</t>
  </si>
  <si>
    <t>Угольник настенный с квадратными фланцами 16-Rp1/2 RX+</t>
  </si>
  <si>
    <t>Угольник настенный РЕХАУ для гипсокартонных плит 16-Rp1/2x28 RX+</t>
  </si>
  <si>
    <t>Угольник настенный РЕХАУ для гипсокартонных плит 20-Rp1/2x28 RX+</t>
  </si>
  <si>
    <t>Угольник настенный для гипсокартонных плит 16-Rp1/2x28 MX</t>
  </si>
  <si>
    <t>Угольник настенный для гипсокартонных плит 20-Rp1/2x28 MX</t>
  </si>
  <si>
    <t>Фильтр сетчатый косой DN 15-Rp1/2 RX+</t>
  </si>
  <si>
    <t>Фильтр сетчатый косой DN 20-Rp3/4 RX+</t>
  </si>
  <si>
    <t>Фильтр сетчатый косой DN 25-Rp1 RX+</t>
  </si>
  <si>
    <t>Z</t>
  </si>
  <si>
    <t xml:space="preserve">Защитная лента RAUTITAN </t>
  </si>
  <si>
    <t>Кронштейн РЕХАУ, тип O 75 / 150</t>
  </si>
  <si>
    <t>Кронштейн РЕХАУ 75 / 150</t>
  </si>
  <si>
    <t>Кронштейн РЕХАУ, тип Z 30</t>
  </si>
  <si>
    <t>Монтажная шина РЕХАУ, 2 м</t>
  </si>
  <si>
    <t>Кронштейн, тип Е</t>
  </si>
  <si>
    <t>Распределительный коллектор РЕХАУ G 3/4 2 отвода G 3/4</t>
  </si>
  <si>
    <t>Распределительный коллектор РЕХАУ G 3/4 3 отвода G 3/4</t>
  </si>
  <si>
    <t>Распределительный коллектор РЕХАУ G 3/4 4 отвода G 3/4</t>
  </si>
  <si>
    <t>Заглушка для коллектора РЕХАУ с наружной резьбой 3/4 MX хром.</t>
  </si>
  <si>
    <t>Заглушка для коллектора РЕХАУ с внутренней резьбой 3/4 MX хром.</t>
  </si>
  <si>
    <t>Заглушка РЕХАУ для полимерн. трубы 16 MX</t>
  </si>
  <si>
    <t>Заглушка для полимерн. трубы 20 MX</t>
  </si>
  <si>
    <t>1.2. Система радиаторной разводки RAUTITAN</t>
  </si>
  <si>
    <t xml:space="preserve">Трубка РЕХАУ из. нерж. стали для подкл. радиатора, Г-образная 16/250 </t>
  </si>
  <si>
    <t xml:space="preserve">Трубка РЕХАУ из. нерж. стали для подкл. радиатора, Г-образная 16/500 </t>
  </si>
  <si>
    <t xml:space="preserve">Трубка РЕХАУ из. нерж. стали для подкл. радиатора, Г-образная 16/1000 </t>
  </si>
  <si>
    <t xml:space="preserve">Трубка РЕХАУ из. нерж. стали для подкл. радиатора, Г-образная 20/250 </t>
  </si>
  <si>
    <t xml:space="preserve">Трубка РЕХАУ из. нерж. стали для подкл. радиатора, Г-образная 20/500 </t>
  </si>
  <si>
    <t xml:space="preserve">Трубка РЕХАУ из. нерж. стали для подкл. радиатора, Г-образная 20/1000 </t>
  </si>
  <si>
    <t xml:space="preserve">Трубка РЕХАУ из. нерж. стали для подкл. радиатора, Т-образная 16/250 </t>
  </si>
  <si>
    <t xml:space="preserve">Трубка РЕХАУ из. нерж. стали для подкл. радиатора, Т-образная 20/250 </t>
  </si>
  <si>
    <t xml:space="preserve">Трубка из. нерж. стали для подкл. радиатора, Т-образная 16/1000 </t>
  </si>
  <si>
    <t xml:space="preserve">Трубка из. нерж. стали для подкл. радиатора, Т-образная 20/500 </t>
  </si>
  <si>
    <t>Фиксирующая скоба РЕХАУ для присоединительных трубок</t>
  </si>
  <si>
    <t xml:space="preserve">Резьбозажим. ниппель РЕХАУ с нар.резьбой 1/2х3/4 </t>
  </si>
  <si>
    <t>Резьбозажимное соединение РЕХАУ для металлической трубки G 3/4 -15</t>
  </si>
  <si>
    <t xml:space="preserve">Блок шаровых кранов РЕХАУ с соед. нип. G 1/2xG 3/4, угловой (никелирован.) </t>
  </si>
  <si>
    <t xml:space="preserve">Блок шаровых кранов с соед. нип. G 1/2xG 3/4, прямой (никелирован.) </t>
  </si>
  <si>
    <t>Распределительный коллектор HLV на 2 группы нерж. сталь</t>
  </si>
  <si>
    <t>Распределительный коллектор HLV на 3 групп нерж. сталь</t>
  </si>
  <si>
    <t>Распределительный коллектор HLV на 4 группы нерж. сталь</t>
  </si>
  <si>
    <t>Распределительный коллектор HLV на 5 групп нерж. сталь</t>
  </si>
  <si>
    <t>Распределительный коллектор HLV на 6 групп нерж. сталь</t>
  </si>
  <si>
    <t>Распределительный коллектор HLV на 7 групп нерж. сталь</t>
  </si>
  <si>
    <t>Распределительный коллектор HLV на 8 групп нерж. сталь</t>
  </si>
  <si>
    <t>Распределительный коллектор HLV на 9 групп нерж. сталь</t>
  </si>
  <si>
    <t>Распределительный коллектор HLV на 10 групп нерж. сталь</t>
  </si>
  <si>
    <t>Распределительный коллектор HLV на 11 групп нерж. сталь</t>
  </si>
  <si>
    <t>Распределительный коллектор HLV на 12 групп нерж. сталь</t>
  </si>
  <si>
    <t>Резьбозажимное соединение РЕХАУ FLEX/PINK 16х2,2xG3/4</t>
  </si>
  <si>
    <t xml:space="preserve">Резьбозажимное соединение РЕХАУ FLEX/PINK 20х2,8xG3/4 </t>
  </si>
  <si>
    <t xml:space="preserve">Резьбозажимное соединение РЕХАУ STABIL 16,2x2,6xG3/4 </t>
  </si>
  <si>
    <t xml:space="preserve">Резьбозажимное соединение РЕХАУ STABIL 20x2,9xG3/4 </t>
  </si>
  <si>
    <t xml:space="preserve">Комплект двух прямых никелирован. шаровых кранов G1" для коллекторов </t>
  </si>
  <si>
    <t>Шкаф коллекторный, встраиваемый, тип UP 110/550, белый</t>
  </si>
  <si>
    <t>Шкаф коллекторный, встраиваемый, тип UP 110/750, белый</t>
  </si>
  <si>
    <t>Шкаф коллекторный, встраиваемый, тип UP 110/950, белый</t>
  </si>
  <si>
    <t>Шкаф коллекторный, встраиваемый, тип UP 110/1150, белый</t>
  </si>
  <si>
    <t>Шкаф коллекторный, встраиваемый, тип UP 110/1300, белый</t>
  </si>
  <si>
    <t xml:space="preserve">Шкаф коллекторный, приставной, тип AP 130/605, белый </t>
  </si>
  <si>
    <t>Шкаф коллекторный, приставной, тип AP 130/1353, белый</t>
  </si>
  <si>
    <t>Шкаф коллекторный, встраиваемый, тип UP 75/550 , белый</t>
  </si>
  <si>
    <t>Шкаф коллекторный, встраиваемый, тип UP 75/750, белый</t>
  </si>
  <si>
    <t>Шкаф коллекторный, встраиваемый, тип UP 75/950, белый</t>
  </si>
  <si>
    <t>Шкаф коллекторный, встраиваемый, тип UP 75/1150, белый</t>
  </si>
  <si>
    <t>Крюк с дюбелем для 1 трубы</t>
  </si>
  <si>
    <t>Двойной крюк РЕХАУ с дюбелем для 2-х труб</t>
  </si>
  <si>
    <t>Двойной крюк РЕХАУ с дюбелем для 2-х труб в изоляции</t>
  </si>
  <si>
    <t>Комплект пластм. отводов РЕХАУ для подкл. отоп. прибора труб FLEX/PINK/STABIL</t>
  </si>
  <si>
    <t>2 Инсталляции NOVAFLOW</t>
  </si>
  <si>
    <t>NOVA</t>
  </si>
  <si>
    <t>2.1 Инсталляции для подвесных унитазов</t>
  </si>
  <si>
    <t>Инсталляция РЕХАУ NOVAFLOW для подвесных унитазов</t>
  </si>
  <si>
    <t>2.2 Комплект инсталляции с панелью смыва</t>
  </si>
  <si>
    <t>Комплект инсталляции РЕХАУ NOVAFLOW с панелью смыва NOVA QUAD 001 с прямоугольными клавишами, пластик, белый, глянцевый</t>
  </si>
  <si>
    <t>Комплект инсталляции РЕХАУ NOVAFLOW с панелью смыва NOVA QUAD 001 с прямоугольными клавишами, пластик, хром, глянцевый</t>
  </si>
  <si>
    <t>Комплект инсталляции РЕХАУ NOVAFLOW с панелью смыва NOVA QUAD 001 с прямоугольными клавишами, пластик, черный, матовый</t>
  </si>
  <si>
    <t>Комплект инсталляции РЕХАУ NOVAFLOW с панелью смыва NOVA ORB 001 с круглыми клавишами, пластик, белый, глянцевый</t>
  </si>
  <si>
    <t>Комплект инсталляции РЕХАУ NOVAFLOW с панелью смыва NOVA ORB 001 с круглыми клавишами, пластик, хром, глянцевый</t>
  </si>
  <si>
    <t>Комплект инсталляции РЕХАУ NOVAFLOW с панелью смыва NOVA ORB 001 с круглыми клавишами, пластик, черный, матовый</t>
  </si>
  <si>
    <t>Комплект инсталляции РЕХАУ NOVAFLOW с панелью смыва NOVA ELLIPSE 001 с овальными клавишами, пластик, белый, глянцевый</t>
  </si>
  <si>
    <t>Комплект инсталляции РЕХАУ NOVAFLOW с панелью смыва NOVA ELLIPSE 001 с овальными клавишами, пластик, хром, глянцевый</t>
  </si>
  <si>
    <t>Комплект инсталляции РЕХАУ NOVAFLOW с панелью смыва NOVA ELLIPSE 001 с овальными клавишами, пластик, черный, матовый</t>
  </si>
  <si>
    <t>2.3 Панели смыва</t>
  </si>
  <si>
    <t>Панель смыва РЕХАУ NOVA QUAD 001 с прямоугольными клавишами, пластик, белый, глянцевый</t>
  </si>
  <si>
    <t>Под заказ</t>
  </si>
  <si>
    <t>Панель смыва РЕХАУ NOVA QUAD 001 с прямоугольными клавишами, пластик, хром, глянцевый</t>
  </si>
  <si>
    <t>Панель смыва РЕХАУ NOVA QUAD 001 с прямоугольными клавишами, пластик, серебристый, матовый</t>
  </si>
  <si>
    <t>Панель смыва РЕХАУ NOVA QUAD 001 с прямоугольными клавишами, пластик, графитовый, матовый</t>
  </si>
  <si>
    <t>Панель смыва РЕХАУ NOVA QUAD 001 с прямоугольными клавишами, пластик, черный, матовый</t>
  </si>
  <si>
    <t>Панель смыва РЕХАУ NOVA QUAD 001 с прямоугольными клавишами, пластик, золотой, матовый</t>
  </si>
  <si>
    <t>Панель смыва РЕХАУ NOVA QUAD 001 с прямоугольными клавишами, пластик, розовое золото, матовый</t>
  </si>
  <si>
    <t>Панель смыва РЕХАУ NOVA ELLIPSE 001 с овальными клавишами, пластик, белый, глянцевый</t>
  </si>
  <si>
    <t>Панель смыва РЕХАУ NOVA ELLIPSE 001 с овальными клавишами, пластик, хром, глянцевый</t>
  </si>
  <si>
    <t>Панель смыва РЕХАУ NOVA ELLIPSE 001 с овальными клавишами, пластик, серебристый, матовый</t>
  </si>
  <si>
    <t>Панель смыва РЕХАУ NOVA ELLIPSE 001 с овальными клавишами, пластик, графитовый, матовый</t>
  </si>
  <si>
    <t>Панель смыва РЕХАУ NOVA ELLIPSE 001 с овальными клавишами, пластик, черный, матовый</t>
  </si>
  <si>
    <t>Панель смыва РЕХАУ NOVA ELLIPSE 001 с овальными клавишами, пластик, золотой, матовый</t>
  </si>
  <si>
    <t>Панель смыва РЕХАУ NOVA ELLIPSE 001 с овальными клавишами, пластик, розовое золото, матовый</t>
  </si>
  <si>
    <t>Панель смыва РЕХАУ NOVA ORB 001 с круглыми клавишами, пластик, белый, глянцевый</t>
  </si>
  <si>
    <t>Панель смыва РЕХАУ NOVA ORB 001 с круглыми клавишами, пластик, хром, глянцевый</t>
  </si>
  <si>
    <t>Панель смыва РЕХАУ NOVA ORB 001 с круглыми клавишами, пластик, серебристый, матовый</t>
  </si>
  <si>
    <t>Панель смыва РЕХАУ NOVA ORB 001 с круглыми клавишами, пластик, графитовый, матовый</t>
  </si>
  <si>
    <t>Панель смыва РЕХАУ NOVA ORB 001 с круглыми клавишами, пластик, черный, матовый</t>
  </si>
  <si>
    <t>Панель смыва РЕХАУ NOVA ORB 001 с круглыми клавишами, пластик, золотой, матовый</t>
  </si>
  <si>
    <t>Панель смыва РЕХАУ NOVA ORB 001 с круглыми клавишами, пластик, розовое золото, матовый</t>
  </si>
  <si>
    <t>Панель смыва РЕХАУ NOVA LONG 001 с прямоугольными клавишами, пластик, белый, глянцевый</t>
  </si>
  <si>
    <t>Панель смыва РЕХАУ NOVA LONG 001 с прямоугольными клавишами, пластик, белый, глянцевый, клавиши хром, глянцевый</t>
  </si>
  <si>
    <t>Панель смыва РЕХАУ NOVA LONG 001 с прямоугольными клавишами, пластик, хром, глянцевый</t>
  </si>
  <si>
    <t>Панель смыва РЕХАУ NOVA LONG 001 с прямоугольными клавишами, пластик, серебристый, матовый</t>
  </si>
  <si>
    <t>Панель смыва РЕХАУ NOVA LONG 001  с прямоугольными клавишами, пластик, графитовый, матовый</t>
  </si>
  <si>
    <t>Панель смыва РЕХАУ NOVA LONG 001 с прямоугольными клавишами, пластик, черный, матовый</t>
  </si>
  <si>
    <t>Панель смыва РЕХАУ NOVA LONG 001 с прямоугольными клавишами, пластик, черный, матовый, контур клавиш хром, глянцевый</t>
  </si>
  <si>
    <t>Панель смыва РЕХАУ NOVA LONG 001 с прямоугольными клавишами, пластик, золотой, матовый</t>
  </si>
  <si>
    <t>Панель смыва РЕХАУ NOVA LONG 001 с прямоугольными клавишами, пластик, розовое золото, матовый</t>
  </si>
  <si>
    <t>Панель смыва РЕХАУ NOVA ELLIPSE 002 с овальными клавишами, пластик, белый, глянцевый, контур клавиш хром, глянцевый</t>
  </si>
  <si>
    <t>Панель смыва РЕХАУ NOVA ELLIPSE 002 с овальными клавишами, пластик, хром глянцевый, контур клавиш хром, глянцевый</t>
  </si>
  <si>
    <t>Панель смыва РЕХАУ NOVA ELLIPSE 002 с овальными клавишами, пластик, серебристый, матовый, контур клавиш хром, глянцевый</t>
  </si>
  <si>
    <t>Панель смыва РЕХАУ NOVA ELLIPSE 002 с овальными клавишами, пластик, графитовый, матовый, контур клавиш хром, глянцевый</t>
  </si>
  <si>
    <t>Панель смыва РЕХАУ NOVA ELLIPSE 002 с овальными клавишами, пластик, черный, матовый, контур клавиш хром, глянцевый</t>
  </si>
  <si>
    <t>Панель смыва РЕХАУ NOVA ELLIPSE 002 с овальными клавишами, пластик, золотой, матовый, контур клавиш хром, глянцевый</t>
  </si>
  <si>
    <t>Панель смыва РЕХАУ NOVA ELLIPSE 002 с овальными клавишами, пластик, розовое золото, матовый, контур клавиш хром, глянцевый</t>
  </si>
  <si>
    <t>Панель смыва РЕХАУ NOVA LONG 002 с прямоугольными клавишами, пластик, белый, глянцевый, нижняя полоса клавиш хром, глянцевый</t>
  </si>
  <si>
    <t>Панель смыва РЕХАУ NOVA LONG 002 с прямоугольными клавишами, пластик, хром, глянцевый, нижняя полоса клавиш хром, глянцевый</t>
  </si>
  <si>
    <t>Панель смыва РЕХАУ NOVA LONG 002 с прямоугольными клавишами, пластик, серебристый, матовый, нижняя полоса клавиш хром, глянцевый</t>
  </si>
  <si>
    <t>Панель смыва РЕХАУ NOVA LONG 002 с прямоугольными клавишами, пластик, графит,матовый,  нижняя полоса клавиш хром, глянцевый</t>
  </si>
  <si>
    <t>Панель смыва РЕХАУ NOVA LONG 002 с прямоугольными клавишами, пластик, черный, матовый, нижняя полоса клавиш хром, глянцевый</t>
  </si>
  <si>
    <t>Панель смыва РЕХАУ NOVA LONG 002 с прямоугольными клавишами, пластик, золотой, матовый, нижняя полоса клавиш хром, глянцевый</t>
  </si>
  <si>
    <t>Панель смыва РЕХАУ NOVA LONG 002 с прямоугольными клавишами, пластик, розовое золото, нижняя полоса клавиш хром, глянцевый</t>
  </si>
  <si>
    <t>Панель смыва РЕХАУ NOVA ORB GLASS с круглыми клавишами, закаленное стекло, белый, клавиши и их контур хром, глянцевый</t>
  </si>
  <si>
    <t>Панель смыва РЕХАУ NOVA ORB GLASS с круглыми клавишами, закаленное стекло, черный, клавиши и их контур хром, глянцевый</t>
  </si>
  <si>
    <t>Панель смыва РЕХАУ NOVA ORB GLASS с круглыми клавишами, закаленное стекло, красный, клавиши и их контур хром, глянцевый</t>
  </si>
  <si>
    <t>Панель смыва РЕХАУ NOVA ORB STEEL с круглыми клавишами с покрытием против отпечатков пальцев, нержавеющая сталь, цвет брашированная нержавеющая сталь, матовый</t>
  </si>
  <si>
    <t>Панель смыва РЕХАУ NOVA ORB STEEL с круглыми клавишами, нержавеющая сталь, цвет нержавеющая сталь, глянцевый</t>
  </si>
  <si>
    <t>Панель смыва РЕХАУ NOVA ORB STEEL с круглыми клавишами с покрытием против отпечатков пальцев, нержавеющая сталь, брашированный графитовый, матовый</t>
  </si>
  <si>
    <t>Панель смыва РЕХАУ NOVA ORB STEEL с круглыми клавишами с покрытием против отпечатков пальцев, нержавеющая сталь, черный, матовый</t>
  </si>
  <si>
    <t>Панель смыва РЕХАУ NOVA ORB STEEL с круглыми клавишами с покрытием против отпечатков пальцев, нержавеющая сталь, брашированное розовое золото, матовый</t>
  </si>
  <si>
    <t>Панель смыва РЕХАУ NOVA ORB STEEL с круглыми клавишами с покрытием против отпечатков пальцев, нержавеющая сталь, брашированное циркониевое золото, матовый</t>
  </si>
  <si>
    <t>Панель смыва РЕХАУ NOVA ORB STEEL с круглыми клавишами с покрытием против отпечатков пальцев, нержавеющая сталь, брашированное титановое золото, матовый</t>
  </si>
  <si>
    <t>Панель смыва РЕХАУ NOVA QUAD STEEL с прямоугольными клавишами с покрытием против отпечатков пальцев, нержавеющая сталь, цвет брашированная нержавеющая сталь, матовый</t>
  </si>
  <si>
    <t>Панель смыва РЕХАУ NOVA QUAD STEEL с прямоугольными клавишами, нержавеющая сталь, цвет нержавеющая сталь, глянцевый</t>
  </si>
  <si>
    <t xml:space="preserve">Панель смыва РЕХАУ NOVA QUAD STEEL с прямоугольными клавишами с покрытием против отпечатков пальцев, нержавеющая сталь, брашированный графитовый, матовый                                                              </t>
  </si>
  <si>
    <t>Панель смыва РЕХАУ NOVA QUAD STEEL с прямоугольными клавишами с покрытием против отпечатков пальцев, нержавеющая сталь, черный, матовый</t>
  </si>
  <si>
    <t>Панель смыва РЕХАУ NOVA QUAD STEEL с прямоугольными клавишами с покрытием против отпечатков пальцев, нержавеющая сталь, брашированное розовое золото, матовый</t>
  </si>
  <si>
    <t>Панель смыва РЕХАУ NOVA QUAD STEEL с прямоугольными клавишами с покрытием против отпечатков пальцев, нержавеющая сталь, брашированное циркониевое золото, матовый</t>
  </si>
  <si>
    <t>Панель смыва РЕХАУ NOVA QUAD STEEL с прямоугольными клавишами с покрытием против отпечатков пальцев, нержавеющая сталь, брашированное титановое золото, матовый</t>
  </si>
  <si>
    <t>Панель смыва РЕХАУ NOVA PUBLIC антивандальная с прямоугольными клавишами с покрытием против отпечатков пальцев, нержавеющая сталь, цвет брашированная нержавеющая сталь, матовый</t>
  </si>
  <si>
    <t>Панель смыва РЕХАУ NOVA PUBLIC антивандальная с прямоугольными клавишами, нержавеющая сталь, цвет нержавеющая сталь, глянцевый</t>
  </si>
  <si>
    <t xml:space="preserve">Панель смыва РЕХАУ NOVA PUBLIC антивандальная с прямоугольными клавишами с покрытием против отпечатков пальцев, нержавеющая сталь, брашированный графитовый, матовый                                                                           </t>
  </si>
  <si>
    <t>Панель смыва РЕХАУ NOVA PUBLIC антивандальная с прямоугольными клавишами с покрытием против отпечатков пальцев, нержавеющая сталь, черный, матовый</t>
  </si>
  <si>
    <t>Панель смыва РЕХАУ NOVA PUBLIC антивандальная с прямоугольными клавишами с покрытием против отпечатков пальцев, нержавеющая сталь, брашированное розовое золото, матовый</t>
  </si>
  <si>
    <t xml:space="preserve">Панель смыва РЕХАУ NOVA PUBLIC антивандальная с прямоугольными клавишами с покрытием против отпечатков пальцев, нержавеющая сталь, брашированное циркониевое золото, матовый    </t>
  </si>
  <si>
    <t xml:space="preserve">Панель смыва РЕХАУ NOVA PUBLIC антивандальная с прямоугольными клавишами с покрытием против отпечатков пальцев, нержавеющая сталь, брашированное титановое золото, матовый </t>
  </si>
  <si>
    <t>RAUTHERM S</t>
  </si>
  <si>
    <t>3.1 Системы обогрева/охлаждения поверхностей</t>
  </si>
  <si>
    <t>3.1.1 Tрубы и гофротрубы</t>
  </si>
  <si>
    <t>Отопит.труба РЕХАУ THERM S 17х2,0 мм, бухта 120 м</t>
  </si>
  <si>
    <t xml:space="preserve">Отопит.труба РЕХАУ THERM S 17х2,0 мм, бухта 500 м </t>
  </si>
  <si>
    <t>Отопит.труба РЕХАУ THERM S 20х2,0 мм, бухта 120 м</t>
  </si>
  <si>
    <t>Отопит.труба РЕХАУ THERM S 20х2,0 мм, бухта 500 м</t>
  </si>
  <si>
    <t>Отопит.труба РЕХАУ THERM S 25х2,3 мм, бухта 120 м</t>
  </si>
  <si>
    <t>Отопит.труба РЕХАУ THERM S 25х2,3 мм, бухта 300 м</t>
  </si>
  <si>
    <t>3.1.2 Haдвижные гильзы и фитинги</t>
  </si>
  <si>
    <t>Надвижные гильзы</t>
  </si>
  <si>
    <t xml:space="preserve">Надвижная гильза 25x2,3 </t>
  </si>
  <si>
    <t>Надвижная гильза 17x2,0 THERM S</t>
  </si>
  <si>
    <t>Надвижная гильза 20x2,0 THERM S</t>
  </si>
  <si>
    <t>Надвижная гильза 25x2,3 THERM S</t>
  </si>
  <si>
    <t>Фитинги</t>
  </si>
  <si>
    <t>Муфта соединительная равнопроходная 17 THERM S</t>
  </si>
  <si>
    <t>Муфта соединительная равнопроходная 20 THERM S</t>
  </si>
  <si>
    <t>Муфта соединительная равнопроходная 25 THERM S</t>
  </si>
  <si>
    <t>Муфта соединительная переходная 17-14</t>
  </si>
  <si>
    <t>Переходник с наруж. резьбой 17-R 1/2</t>
  </si>
  <si>
    <t>Переходник с наруж. резьбой 20-R1/2</t>
  </si>
  <si>
    <t>Переходник с наруж. резьбой 25-R3/4</t>
  </si>
  <si>
    <t>Переходник с наружной резьбой THERM S 17-R 1/2</t>
  </si>
  <si>
    <t>Переходник с наружной резьбой THERM S 20-R 1/2</t>
  </si>
  <si>
    <t>Переходник с наружной резьбой THERM S 20-R 3/4</t>
  </si>
  <si>
    <t>Переходник с наружной резьбой THERM S 25-R 3/4</t>
  </si>
  <si>
    <t>Переходник с наружной резьбой THERM S 25-R 1</t>
  </si>
  <si>
    <t>Угольник 90° - 14</t>
  </si>
  <si>
    <t>Угольник 90° - 20</t>
  </si>
  <si>
    <t>Угольник 90° - 25</t>
  </si>
  <si>
    <t>Угольник 90° - 17 THERM S</t>
  </si>
  <si>
    <t>Угольник 90° - 20 THERM S</t>
  </si>
  <si>
    <t>Угольник 90° - 25 THERM S</t>
  </si>
  <si>
    <t>Тройники равнопроходные</t>
  </si>
  <si>
    <t>Тройники с уменьшенным боковым проходом</t>
  </si>
  <si>
    <t>Тройник 17-10-17</t>
  </si>
  <si>
    <t>Тройник 20-10-20</t>
  </si>
  <si>
    <t>Тройник 25-17-25</t>
  </si>
  <si>
    <t>3.1.3 Способы крепления труб к полу</t>
  </si>
  <si>
    <t>Монтажный мат Varionova</t>
  </si>
  <si>
    <t>Мат ППС 30-2 EPS и панель с фиксаторами Varionova, 040 DES</t>
  </si>
  <si>
    <t>м2</t>
  </si>
  <si>
    <t>Мат c фиксаторами VarioFix</t>
  </si>
  <si>
    <t>Панель (пленка) с фиксаторами Varionova</t>
  </si>
  <si>
    <t>Соединительная лента для мат с фиксаторами Varionova</t>
  </si>
  <si>
    <t>Крепежный элемент для мат с фиксаторами Varionova</t>
  </si>
  <si>
    <t>Мат для крепления гарпун-скобами</t>
  </si>
  <si>
    <t>Мат ППС 50-2 для крепления гарпун-скоб, складной рулон</t>
  </si>
  <si>
    <t>Такер РЕХАУ для крепления гарпун-скоб</t>
  </si>
  <si>
    <t>Гарпун-скобы РЕХАУ для крепления труб 14-20, 42 мм</t>
  </si>
  <si>
    <t>Гарпун-скобы РЕХАУ для крепления труб 14-20, 50 мм</t>
  </si>
  <si>
    <t>Монтаж на шинах RAUFIX</t>
  </si>
  <si>
    <t>Фиксирующая шина РЕХАУ 16/17/20 мм</t>
  </si>
  <si>
    <t>Гарпун-скоба для фиксирующих шин</t>
  </si>
  <si>
    <t>Монтаж на шинах 10</t>
  </si>
  <si>
    <t>Двойной держатель для труб 10</t>
  </si>
  <si>
    <t>Монтаж на арматурной сетке</t>
  </si>
  <si>
    <t>Арматурная сетка RM 100, размер ячеек 100 мм x 100 мм</t>
  </si>
  <si>
    <t>Поворотная клипса для арматурной сетки Quattro</t>
  </si>
  <si>
    <t>Шток для крепления клипс Quattro</t>
  </si>
  <si>
    <t>Сухой способ монтажа</t>
  </si>
  <si>
    <t>Теплопроводная пластина TS-14 998 x 123 mm</t>
  </si>
  <si>
    <t>Компоненты Системы</t>
  </si>
  <si>
    <t>Отстенная изоляция РЕХАУ 10/180мм 25 метров</t>
  </si>
  <si>
    <t>Фиксатор поворота пластмас. на 90° для трубы 14</t>
  </si>
  <si>
    <t>Фиксатор поворота пластмас. на 90° для трубы 16/17</t>
  </si>
  <si>
    <t>3.1.4 Способы крепления труб к стен</t>
  </si>
  <si>
    <t>3.1.5 Коллекторы</t>
  </si>
  <si>
    <t>Коллекторы и принадлежности</t>
  </si>
  <si>
    <t>К-т коллекторов РЕХАУ HKV из нерж. стали на 2 контура с шар. кранами</t>
  </si>
  <si>
    <t>К-т коллекторов РЕХАУ HKV из нерж. стали на 3 контура с шар. кранами</t>
  </si>
  <si>
    <t>К-т коллекторов РЕХАУ HKV из нерж. стали на 4 контура с шар. кранами</t>
  </si>
  <si>
    <t>К-т коллекторов РЕХАУ HKV из нерж. стали на 5 контуров с шар. кранами</t>
  </si>
  <si>
    <t>К-т коллекторов РЕХАУ HKV из нерж. стали на 6 контуров с шар. кранами</t>
  </si>
  <si>
    <t>К-т коллекторов РЕХАУ HKV из нерж. стали на 7 контуров с шар. кранами</t>
  </si>
  <si>
    <t>К-т коллекторов РЕХАУ HKV из нерж. стали на 8 контуров с шар. кранами</t>
  </si>
  <si>
    <t>К-т коллекторов РЕХАУ HKV из нерж. стали на 9 контуров с шар. кранами</t>
  </si>
  <si>
    <t>К-т коллекторов РЕХАУ HKV из нерж. стали на 10 контуров с шар. кранами</t>
  </si>
  <si>
    <t>К-т коллекторов РЕХАУ HKV из нерж. стали на 11 контуров с шар. кранами</t>
  </si>
  <si>
    <t>К-т коллекторов РЕХАУ HKV из нерж. стали на 12 контуров с шар. кранами</t>
  </si>
  <si>
    <t>К-т коллекторов РЕХАУ HKV-D из нерж. стали на 2 контура с шар. кранами</t>
  </si>
  <si>
    <t>К-т коллекторов РЕХАУ HKV-D из нерж. стали на 3 контура с шар. кранами</t>
  </si>
  <si>
    <t>К-т коллекторов РЕХАУ HKV-D из нерж. стали на 4 контура с шар. кранами</t>
  </si>
  <si>
    <t>К-т коллекторов РЕХАУ HKV-D из нерж. стали на 5 контуров с шар. кранами</t>
  </si>
  <si>
    <t>К-т коллекторов РЕХАУ HKV-D из нерж. стали на 6 контуров с шар. кранами</t>
  </si>
  <si>
    <t>К-т коллекторов РЕХАУ HKV-D из нерж. стали на 7 контуров с шар. кранами</t>
  </si>
  <si>
    <t>К-т коллекторов РЕХАУ HKV-D из нерж. стали на 8 контуров с шар. кранами</t>
  </si>
  <si>
    <t>К-т коллекторов РЕХАУ HKV-D из нерж. стали на 9 контуров с шар. кранами</t>
  </si>
  <si>
    <t>К-т коллекторов РЕХАУ HKV-D из нерж. стали на 10 контуров с шар. кранами</t>
  </si>
  <si>
    <t>К-т коллекторов РЕХАУ HKV-D из нерж. стали на 11 контуров с шар. кранами</t>
  </si>
  <si>
    <t>К-т коллекторов РЕХАУ HKV-D из нерж. стали на 12 контуров с шар. кранами</t>
  </si>
  <si>
    <t xml:space="preserve">Распределительный коллектор HKV на 8 контуров нерж .сталь </t>
  </si>
  <si>
    <t xml:space="preserve">Распределительный коллектор HKV на 9 контуров нерж .сталь </t>
  </si>
  <si>
    <t>Комплект двух прямых никелирован. шаровых кранов 1" для коллекторов HKV/HLV</t>
  </si>
  <si>
    <t>Резьбозажимное соединение для подключ. трубы 14х1,5 мм</t>
  </si>
  <si>
    <t>Резьбозажимное соединение THERM S 17х2</t>
  </si>
  <si>
    <t>Резьбозажимное соединение ТНЕRМ S 20х2</t>
  </si>
  <si>
    <t>Распределительные шкафы</t>
  </si>
  <si>
    <t>3.1.6 Системы автоматического регулирования</t>
  </si>
  <si>
    <t>Система Nea</t>
  </si>
  <si>
    <t>NEA SMART 2.0 Терморегулятор TBW</t>
  </si>
  <si>
    <t>NEA SMART 2.0 Терморегулятор HBW</t>
  </si>
  <si>
    <t>NEA SMART 2.0 Терморегулятор HBB</t>
  </si>
  <si>
    <t>NEA SMART 2.0 Базовая станция 24 V</t>
  </si>
  <si>
    <t>NEA SMART 2.0 модуль расширения R-Module 24 V</t>
  </si>
  <si>
    <t>NEA SMART 2.0  модуль расширения U-Module 24 V</t>
  </si>
  <si>
    <t>NEA SMART 2.0 Наружный датчик температуры</t>
  </si>
  <si>
    <t>NEA SMART 2.0 Датчик температуры подачи</t>
  </si>
  <si>
    <t>Терморегулятор Nea H 24 В</t>
  </si>
  <si>
    <t xml:space="preserve">Терморегулятор Nea HT 24 В </t>
  </si>
  <si>
    <t xml:space="preserve">Терморегулятор Nea HCT 230 В </t>
  </si>
  <si>
    <t>Терморегулятор РЕХАУ NEA 24 В Черный</t>
  </si>
  <si>
    <t>Терморегулятор РЕХАУ NEA 24 В Белый</t>
  </si>
  <si>
    <t>Терморегулятор РЕХАУ NEA 230 В Черный</t>
  </si>
  <si>
    <t>Терморегулятор РЕХАУ NEA 230 В Белый</t>
  </si>
  <si>
    <t>12144511001, 12179051001</t>
  </si>
  <si>
    <t>Выносной датчик РЕХАУ NEA</t>
  </si>
  <si>
    <t>Комплект для установки (не подходит для систем NEA smart R)</t>
  </si>
  <si>
    <t>Клеммная колодка Nea H, 24 В, 6 каналов</t>
  </si>
  <si>
    <t>13390241002, 13400241001</t>
  </si>
  <si>
    <t>Клеммная панель РЕХАУ  230, 8 каналов</t>
  </si>
  <si>
    <t>Клеммная панель РЕХАУ с трансформатором 24 В, 8 каналов</t>
  </si>
  <si>
    <t>Сервопривод РЕХАУ UNI на 230 В NC</t>
  </si>
  <si>
    <t>Сервопривод РЕХАУ UNI на 24 В NC</t>
  </si>
  <si>
    <t>Сервопривод РЕХАУ UNI на 230 В NO</t>
  </si>
  <si>
    <t>Сервопривод РЕХАУ UNI на 24 В NO</t>
  </si>
  <si>
    <t>Датчик точки росы TPW</t>
  </si>
  <si>
    <t>Станции температурного регулирования</t>
  </si>
  <si>
    <t>Узел смешения РЕХАУ</t>
  </si>
  <si>
    <t>Система регулирования HC BUS</t>
  </si>
  <si>
    <t>Контроллер точки росы TPW</t>
  </si>
  <si>
    <t>Инструмент</t>
  </si>
  <si>
    <t>Механический инструмент RAUTOOL K 10</t>
  </si>
  <si>
    <t>3.2.1 Система подогрева и охлаждения ядра бетонных перекрытий</t>
  </si>
  <si>
    <t>Комроненты системы</t>
  </si>
  <si>
    <t>Проволочн. обвязка для соед. сетки (цена за 1 упаковку- за 100 шт.)</t>
  </si>
  <si>
    <t>3.2.2 Напольное отопление для промышленных зданий</t>
  </si>
  <si>
    <t>Общие Компоненты системы</t>
  </si>
  <si>
    <t>Фиксирующая шина Railfix РЕХАУ для трубы 25 х 2,3</t>
  </si>
  <si>
    <t>3.2.3 Амортизирующие полы в спортзалах</t>
  </si>
  <si>
    <t xml:space="preserve"> Амортизирующие полы с промышленным распределительным коллектором</t>
  </si>
  <si>
    <t xml:space="preserve"> Амортизирующие полы с напольным распределительным коллектором для спортзалов</t>
  </si>
  <si>
    <t>3.2.4 Обогрев открытых площадок</t>
  </si>
  <si>
    <t xml:space="preserve"> Обогрев открытых площадок в бетонных панелях</t>
  </si>
  <si>
    <t xml:space="preserve"> Обогрев открытых площадок под тротуарную плитку</t>
  </si>
  <si>
    <t xml:space="preserve"> Обогрев открытых площадок под натуральным и искусственными газонами</t>
  </si>
  <si>
    <t>Фиксатор отвода РЕХАУ пластмас. на 90° для трубы 20</t>
  </si>
  <si>
    <t>Фиксатор отвода РЕХАУ пластмас. на 90° для трубы 25</t>
  </si>
  <si>
    <t>SOLELEC</t>
  </si>
  <si>
    <t>8.1 Электрические греющие маты</t>
  </si>
  <si>
    <t>Мат греющий для напольного отопления, 0,5 м2</t>
  </si>
  <si>
    <t>Мат греющий для напольного отопления, 1 м2</t>
  </si>
  <si>
    <t>Мат греющий для напольного отопления, 1,5 м2</t>
  </si>
  <si>
    <t>Мат греющий для напольного отопления, 2 м2</t>
  </si>
  <si>
    <t>Мат греющий для напольного отопления, 2,5 м2</t>
  </si>
  <si>
    <t>Мат греющий для напольного отопления, 3 м2</t>
  </si>
  <si>
    <t>Мат греющий для напольного отопления, 3,5 м2</t>
  </si>
  <si>
    <t>Мат греющий для напольного отопления, 4 м2</t>
  </si>
  <si>
    <t>Мат греющий для напольного отопления, 5 м2</t>
  </si>
  <si>
    <t>Мат греющий для напольного отопления, 6 м2</t>
  </si>
  <si>
    <t>Мат греющий для напольного отопления, 7 м2</t>
  </si>
  <si>
    <t>Мат греющий для напольного отопления, 8 м2</t>
  </si>
  <si>
    <t>8.2 Электрический греющий кабель</t>
  </si>
  <si>
    <t>Кабель греющий для напольного отопления, 18,5 м</t>
  </si>
  <si>
    <t>Кабель греющий для напольного отопления, 31,04 м</t>
  </si>
  <si>
    <t>Кабель греющий для напольного отопления, 40,59 м</t>
  </si>
  <si>
    <t>Кабель греющий для напольного отопления, 49,35 м</t>
  </si>
  <si>
    <t>Кабель греющий для напольного отопления, 58,11 м</t>
  </si>
  <si>
    <t>Кабель греющий для напольного отопления, 99 м</t>
  </si>
  <si>
    <t xml:space="preserve">8.3 Терморегуляторы </t>
  </si>
  <si>
    <t>Терморегулятор OPTIMA</t>
  </si>
  <si>
    <t>RAUTOOL</t>
  </si>
  <si>
    <t xml:space="preserve">6. МОНТАЖНЫЙ ИНСТРУМЕНТ RAUTOOL </t>
  </si>
  <si>
    <t>Комплект механического инструмента RAUTOOL М1C (без насадок и экспандера)</t>
  </si>
  <si>
    <t>Комплект запрессовочн. тисков М1 25/32 (цвет: золотисто-желтый)</t>
  </si>
  <si>
    <t>Комплект запрессовочн. тисков М1 40 (цвет: черный)</t>
  </si>
  <si>
    <t>Экспандер механический системы QC</t>
  </si>
  <si>
    <t>Расширительная насадка для экспандера QC 16х2,2</t>
  </si>
  <si>
    <t>Расширительная насадка для экспандера QC 20х2,8</t>
  </si>
  <si>
    <t>Расширительная насадка для экспандера QC 25х3,5</t>
  </si>
  <si>
    <t>Расширительная насадка для экспандера QC 32х2,9</t>
  </si>
  <si>
    <t>Расширительная насадка для экспандера QC 32х4,7 (Stabil)</t>
  </si>
  <si>
    <t>Расширительная насадка экспандера QC для метал. трубок</t>
  </si>
  <si>
    <t>Расширительная насадка для экспандера QC 16х2,2 PEX</t>
  </si>
  <si>
    <t>Расширительная насадка для экспандера QC 20х2,8 PEX</t>
  </si>
  <si>
    <t>Расширительная насадка для экспандера QC 25х3,5 PEX</t>
  </si>
  <si>
    <t>Расширительная насадка для экспандера QC 32х4,4 PEX</t>
  </si>
  <si>
    <t>Расширительная насадка для экспандера QC 16,2х2,6 (Stabil)</t>
  </si>
  <si>
    <t>Расширительная насадка для экспандера QC 20х2,9 (Stabil)</t>
  </si>
  <si>
    <t>Расширительная насадка для экспандера QC 25х3,7 (Stabil)</t>
  </si>
  <si>
    <t>Расширительная насадка для экспандера Step one QC1 32x4,4</t>
  </si>
  <si>
    <t>Ножницы труборезные 16-25 (basic)</t>
  </si>
  <si>
    <t>Ножницы труборезные RAUTITAN 16-40 stabil (цвет: белый)</t>
  </si>
  <si>
    <t>Ножницы для труб RAUTITAN 16/20 (цвет: зеленый)</t>
  </si>
  <si>
    <t>Комплект гидравлич. инстр. на электроаккумулят. RAUTOOL A-light2</t>
  </si>
  <si>
    <t>Расширительный адаптер для инструмента RAUTOOL A-One 16-32</t>
  </si>
  <si>
    <t>Комплект запрессовочных тисков RAUTOOL A-One 16</t>
  </si>
  <si>
    <t xml:space="preserve">Запасной аккумулятор RAUTOOL A-One 10,8В / 2,0 Aч  </t>
  </si>
  <si>
    <t>Зарядное устройство RAUTOOL A-One 230В</t>
  </si>
  <si>
    <t>Комплект аккумуляторного инструмента RAUTOOL A-light2 Kombi (экспандер+запрессовщик)</t>
  </si>
  <si>
    <t>Инструмент РЕХАУ H2, мех.-гидравлический</t>
  </si>
  <si>
    <t>К-т запрес. тисков РЕХАУ H2/ A-light2 / A-light2 Kombi для труб 16/20</t>
  </si>
  <si>
    <t>К-т запрес. тисков РЕХАУ H2/ A-light2 / A-light2 Kombi для труб 17/20</t>
  </si>
  <si>
    <t xml:space="preserve">К-т запрес. тисков РЕХАУ H2/ A-light2 / A-light2 Kombi, для труб 25/32 </t>
  </si>
  <si>
    <t xml:space="preserve">К-т запрес. тисков РЕХАУ H2/ A-light2 / A-light2 Kombi, для трубы 40 </t>
  </si>
  <si>
    <t>К-т запрес. тисков H2, A-light2/ A-light2 Kombi  для труб 16/20/25</t>
  </si>
  <si>
    <t>Расширительный насадка H2, A-light2/A-light2 Kombi  для труб 40х3,7</t>
  </si>
  <si>
    <t>Расширительный насадка H2, A-light2/A-light2 Kombi  для труб 40х5,5</t>
  </si>
  <si>
    <t>Расширительная насадка H2, A-light2/A-light2 Kombi  для труб Stabil 40х6,0</t>
  </si>
  <si>
    <t>Комплект электро-гидравлич. инстр. RAUTOOL G2</t>
  </si>
  <si>
    <t>К-т запрессовочн. тисков G2,E/G1,H/G1,H/G1 (F), для трубы 40 (цвет: черный)</t>
  </si>
  <si>
    <t>К-т запрессовочн. тисков G2,E/G1,H/G1,H/G1 (F), для трубы 50</t>
  </si>
  <si>
    <t>К-т запрессовочн. тисков G2,E/G1,H/G1,H/G1 (F), для трубы 63</t>
  </si>
  <si>
    <t>Запрессовочные тиски G2,E/G1,H/G1,H/G1 (F), для трубы 75</t>
  </si>
  <si>
    <t>Запрессовочные тиски G2,E/G1,H/G1,H/G1 (F), для трубы 90</t>
  </si>
  <si>
    <t>Запрессовочные тиски G2,E/G1,H/G1,H/G1 (F), для трубы 110</t>
  </si>
  <si>
    <t>Расширительная насадка G2,E/G1,H/G1,H/G1 (F), для трубы 40х5,5</t>
  </si>
  <si>
    <t>Расширительная насадка G2,E/G1,H/G1,H/G1 (F), для трубы 50х6,9</t>
  </si>
  <si>
    <t>Расширительная насадка G2,E/G1,H/G1,H/G1 (F), для трубы 63х8,6</t>
  </si>
  <si>
    <t>Расширительная насадка G2,E/G1,H/G1,H/G1 (F), для трубы 40х3,7</t>
  </si>
  <si>
    <t>Расширительная насадка G2,E/G1,H/G1,H/G1 (F), для трубы 50х4,6</t>
  </si>
  <si>
    <t>Расширительная насадка G2,E/G1,H/G1,H/G1 (F), для трубы 63х5,7</t>
  </si>
  <si>
    <t>Расширительная насадка G2,E/G1,H/G1,H/G1 (F), для трубы 75x6,8</t>
  </si>
  <si>
    <t>Расширительная насадка G2,E/G1,H/G1,H/G1 (F), для трубы 90x8,2</t>
  </si>
  <si>
    <t>Расширительная насадка G2,E/G1,H/G1,H/G1 (F), для трубы 110x10,0</t>
  </si>
  <si>
    <t>Универсальный набор клемм для закрепления труб 63-180мм (центрирование)</t>
  </si>
  <si>
    <t>RAUPIANO</t>
  </si>
  <si>
    <t>7.1 Шумопоглощающая система 
внутренней канализации
RAUPIANO PLUS</t>
  </si>
  <si>
    <t>7.2 Канализационная труба RAUPIANO с раструбом и рез. уплотн. кольцом</t>
  </si>
  <si>
    <t xml:space="preserve">Канализационная труба диам.40/150 мм                                                             </t>
  </si>
  <si>
    <t>20</t>
  </si>
  <si>
    <t xml:space="preserve">Канализационная труба диам.40/250 мм                                                                        </t>
  </si>
  <si>
    <t>Канализационная труба диам.40/2000 мм</t>
  </si>
  <si>
    <t>Канализационная труба диам. 90/250 мм</t>
  </si>
  <si>
    <t>Канализационная труба диам. 90/500 мм</t>
  </si>
  <si>
    <t>Канализационная труба диам. 90/1500 мм</t>
  </si>
  <si>
    <t>Канализационная труба диам. 110/150 мм</t>
  </si>
  <si>
    <t>Канализационная труба диам. 110/250 мм</t>
  </si>
  <si>
    <t>Канализационная труба диам. 160/1000 мм</t>
  </si>
  <si>
    <t>Канализационная труба диам. 160/2000 мм</t>
  </si>
  <si>
    <t>Канализационная труба диам. 200/1000 мм</t>
  </si>
  <si>
    <t>Отвод диам. 40 на 45°</t>
  </si>
  <si>
    <t>Отвод диам. 40 на 67°</t>
  </si>
  <si>
    <t>Отвод диам. 40 на 87°</t>
  </si>
  <si>
    <t>11211041001; 
11211041002</t>
  </si>
  <si>
    <t>Отвод диам. 50 на 30°</t>
  </si>
  <si>
    <t>Отвод диам. 90 на 67°</t>
  </si>
  <si>
    <t>Отвод диам. 90 на 87°</t>
  </si>
  <si>
    <t>Отвод диам. 110 на 15°</t>
  </si>
  <si>
    <t xml:space="preserve">Отвод диам. 110 на 30° </t>
  </si>
  <si>
    <t>Отвод диам. 110 на 67°</t>
  </si>
  <si>
    <t>Отвод диам. 110 на 87°</t>
  </si>
  <si>
    <t>Отвод длинный диам. 110 на 87°</t>
  </si>
  <si>
    <t>Тройник 40/40/45°</t>
  </si>
  <si>
    <t>Тройник 50/40/45°</t>
  </si>
  <si>
    <t>Тройник 50/40/87°</t>
  </si>
  <si>
    <t>Тройник 50/50/87°</t>
  </si>
  <si>
    <t>Тройник 90/50/87°</t>
  </si>
  <si>
    <t>Тройник 90/90/45°</t>
  </si>
  <si>
    <t>Тройник 90/90/87° max flow (гидравл. оптимизированный радиус изгиба)</t>
  </si>
  <si>
    <t>Тройник 110/50/45°</t>
  </si>
  <si>
    <t>Тройник 110/50/87°</t>
  </si>
  <si>
    <t>Тройник 110/90/45°</t>
  </si>
  <si>
    <t>Тройник 110/90/87°</t>
  </si>
  <si>
    <t>Тройник 110/110/45°</t>
  </si>
  <si>
    <t>Тройник 160/110/45°</t>
  </si>
  <si>
    <t xml:space="preserve">Тройник 160/110/87° </t>
  </si>
  <si>
    <t>Тройник 160/160/45°</t>
  </si>
  <si>
    <t>Крестовина с параллельными отводами 110/110/50/110/87°</t>
  </si>
  <si>
    <t>Крестовина 90/90/90/87° max flow (гидравлически оптимизированный радиус)</t>
  </si>
  <si>
    <t>Крестовина 110/110/110/45°</t>
  </si>
  <si>
    <t>Крестовина 110/110/110/87°</t>
  </si>
  <si>
    <t>Крестовина двухплоскостная 110/110/110/87°</t>
  </si>
  <si>
    <t>Переходник 50/40</t>
  </si>
  <si>
    <t>Переходник 90/50</t>
  </si>
  <si>
    <t>Переходник 110/50</t>
  </si>
  <si>
    <t>Переходник 110/75</t>
  </si>
  <si>
    <t>Переходник 110/90</t>
  </si>
  <si>
    <t>Переходник 160/110</t>
  </si>
  <si>
    <t>Переходник короткий 110/90</t>
  </si>
  <si>
    <t>Переход на чугунную трубу/трубу из другого материала  110/ 110</t>
  </si>
  <si>
    <t>Отвод под сифон Dн 40/40-30</t>
  </si>
  <si>
    <t>Отвод под сифон Dн 50/50</t>
  </si>
  <si>
    <t>Заглушка 40</t>
  </si>
  <si>
    <t>Заглушка 50</t>
  </si>
  <si>
    <t>Заглушка 110</t>
  </si>
  <si>
    <t>Заглушка 160</t>
  </si>
  <si>
    <t>Муфта двухраструбная 40</t>
  </si>
  <si>
    <t>Муфта двухраструбная 50</t>
  </si>
  <si>
    <t>Муфта двухраструбная 110</t>
  </si>
  <si>
    <t>Муфта надвижная 50</t>
  </si>
  <si>
    <t>Муфта надвижная 90</t>
  </si>
  <si>
    <t>Муфта надвижная 110</t>
  </si>
  <si>
    <t>Муфта надвижная 160</t>
  </si>
  <si>
    <t xml:space="preserve">Ревизия 50 </t>
  </si>
  <si>
    <t>Ревизия 90</t>
  </si>
  <si>
    <t>Ревизия 125</t>
  </si>
  <si>
    <t>Ревизия 160</t>
  </si>
  <si>
    <t>Патрубок компенсационный 110</t>
  </si>
  <si>
    <t>Отвод для присоед.выпуска унитаза 110/45°</t>
  </si>
  <si>
    <t>Патрубок приборный 110/150 мм</t>
  </si>
  <si>
    <t>Патрубок приборный 110/250 мм</t>
  </si>
  <si>
    <t xml:space="preserve">Хомут шумопоглощающий с защелкой 90 M8/10 </t>
  </si>
  <si>
    <t xml:space="preserve">Хомут шумопоглощающий с защелкой 110 M8/10 </t>
  </si>
  <si>
    <t>Хомут шумопоглощающий с защелкой 160  М10</t>
  </si>
  <si>
    <t>Хомут жесткой фиксации 40 M8</t>
  </si>
  <si>
    <t>Хомут жесткой фиксации  50 M8</t>
  </si>
  <si>
    <t xml:space="preserve">Хомут жесткой фиксации  160 M10 </t>
  </si>
  <si>
    <t>Хомут скользящий  40 M8</t>
  </si>
  <si>
    <t>Хомут скользящий 50 M8</t>
  </si>
  <si>
    <t xml:space="preserve">Хомут скользящий 110 M8/10 </t>
  </si>
  <si>
    <t>Хомут для усиления раструбных соединений 50</t>
  </si>
  <si>
    <t>Шпилька для хомута М8</t>
  </si>
  <si>
    <t>Шпилька для хомута М10</t>
  </si>
  <si>
    <t>Противопожарная манжета компакт 50</t>
  </si>
  <si>
    <t>Противопожарная манжета компакт 90</t>
  </si>
  <si>
    <t>Кольцо уплотнительное резиновое для раструба трубы 40
После реализации складского запаса заменяется на артикул 11200891001</t>
  </si>
  <si>
    <t>Кольцо уплотнительное резиновое для раструба трубы 90
После реализации складского запаса заменяется на артикул 11200971001</t>
  </si>
  <si>
    <t>Кольцо уплотнительное резиновое для раструба трубы 110
После реализации складского запаса заменяется на артикул 11200991001</t>
  </si>
  <si>
    <t>Технический вазелин  РЕХАУ для раструб. соединений, Тюбик - 250 г</t>
  </si>
  <si>
    <t>RAUPEX</t>
  </si>
  <si>
    <t>4.1 RAUPEX-труба, SDR 11</t>
  </si>
  <si>
    <t>Труба для промышленности RPEX 20x1,9 бухта 100м</t>
  </si>
  <si>
    <t>Труба для промышленности RPEX 25x2,3 бухта 50м</t>
  </si>
  <si>
    <t>Труба для промышленности RPEX 32x2,9 бухта 50м</t>
  </si>
  <si>
    <t>Труба для промышленности RPEX 40x3,7 прям.отрезки 5м</t>
  </si>
  <si>
    <t>Труба для промышленности RPEX 50x4,6 прям.отрезки 5м</t>
  </si>
  <si>
    <t>Труба для промышленности RPEX 63x5,8 прям.отрезки 5м</t>
  </si>
  <si>
    <t>Труба для промышленности RPEX 75x6,8 прям.отрезки 5м</t>
  </si>
  <si>
    <t>Труба для промышленности RPEX 90x8,2 прям.отрезки 5м</t>
  </si>
  <si>
    <t>Труба для промышленности RPEX 110x10,0 прям.отрезки 5м</t>
  </si>
  <si>
    <t>Труба для промышленности RPEX 125x11,4 прям.отрезки 5м</t>
  </si>
  <si>
    <t>Труба для промышленности RPEX 160x14,6 прям.отрезки 5м</t>
  </si>
  <si>
    <t>RAUPEX-A-труба, SDR 11, серая, тонкостенная</t>
  </si>
  <si>
    <t>Труба для промышленности RAUPEX A 20x1,9 прям.отрезки 5м</t>
  </si>
  <si>
    <t>Труба для промышленности RAUPEX A 20x1,9 бухта 100м</t>
  </si>
  <si>
    <t>Труба для промышленности RAUPEX A 25x2,3 прям.отрезки 5м</t>
  </si>
  <si>
    <t>Труба для промышленности RAUPEX A 25x2,3 бухта 100м</t>
  </si>
  <si>
    <t>Труба для промышленности RAUPEX A 32x2,9 прям.отрезки 5м</t>
  </si>
  <si>
    <t>Труба для промышленности RAUPEX A 32x2,9 бухта 100м</t>
  </si>
  <si>
    <t>Труба для промышленности RAUPEX A 40x3,7 прям.отрезки 5м</t>
  </si>
  <si>
    <t>Труба для промышленности RAUPEX A 50x4,6 прям.отрезки 5м</t>
  </si>
  <si>
    <t>Труба для промышленности RAUPEX A 63x5,8 прям.отрезки 5м</t>
  </si>
  <si>
    <t>Труба для промышленности RAUPEX A 63x5,8 бухта 100м</t>
  </si>
  <si>
    <t>Труба для промышленности RAUPEX A 75x6,8 прям.отрезки 5м</t>
  </si>
  <si>
    <t>Труба для промышленности RAUPEX A 90x8,2 прям.отрезки 5м</t>
  </si>
  <si>
    <t>Труба для промышленности RAUPEX A 110x10,0 прям.отрезки 5м</t>
  </si>
  <si>
    <t>Труба для промышленности RAUPEX A 125x11,4 прям.отрезки 5м</t>
  </si>
  <si>
    <t>Труба для промышленности RAUPEX A 160x14,6 прям.отрезки 5м</t>
  </si>
  <si>
    <t>RAUPEX-R-труба, SDR 11, зелёная, тонкостенная</t>
  </si>
  <si>
    <t>Труба для промышленности RAUPEX K 20x1,9 прям.отрезки 5м</t>
  </si>
  <si>
    <t>Труба для промышленности RAUPEX K 20x1,9 бухта 100м</t>
  </si>
  <si>
    <t xml:space="preserve"> - </t>
  </si>
  <si>
    <t>Труба для промышленности RAUPEX K 25x2,3 прям.отрезки 5м</t>
  </si>
  <si>
    <t>Труба для промышленности RAUPEX K 25x2,3 бухта 100м</t>
  </si>
  <si>
    <t>Труба для промышленности RAUPEX K 32x2,9 прям.отрезки 5м</t>
  </si>
  <si>
    <t>Труба для промышленности RAUPEX K 40x3,7 прям.отрезки 5м</t>
  </si>
  <si>
    <t>Труба для промышленности RAUPEX K 50x4,6 прям.отрезки 5м</t>
  </si>
  <si>
    <t>Труба для промышленности RAUPEX K 63x5,8 прям.отрезки 5м</t>
  </si>
  <si>
    <t>Труба для промышленности RAUPEX K 75x6,8 прям.отрезки 5м</t>
  </si>
  <si>
    <t>Труба для промышленности RAUPEX K 90x8,2 прям.отрезки 5м</t>
  </si>
  <si>
    <t>Труба для промышленности RAUPEX K 110x10,0 прям.отрезки 5м</t>
  </si>
  <si>
    <t>Труба для промышленности RAUPEX K 125x11,4 прям.отрезки 5м</t>
  </si>
  <si>
    <t>Труба для промышленности RAUPEX K 160x14,6 прям.отрезки 5м</t>
  </si>
  <si>
    <t>RAUPEX-О-труба, SDR 11, голубая, тонкостенная</t>
  </si>
  <si>
    <t>Труба для промышленности RAUPEX O 20x1,9 прям.отрезки 5м</t>
  </si>
  <si>
    <t>Труба для промышленности RAUPEX O 20x1,9 бухта 100м</t>
  </si>
  <si>
    <t>Труба для промышленности RAUPEX O 25x2,3 прям.отрезки 5м</t>
  </si>
  <si>
    <t>Труба для промышленности RAUPEX O 25x2,3 бухта 100м</t>
  </si>
  <si>
    <t>Труба для промышленности RAUPEX O 32x2,9 прям.отрезки 5м</t>
  </si>
  <si>
    <t>Труба для промышленности RAUPEX O 40x3,7 прям.отрезки 5м</t>
  </si>
  <si>
    <t>Труба для промышленности RAUPEX O 50x4,6 прям.отрезки 5м</t>
  </si>
  <si>
    <t>Труба для промышленности RAUPEX O 63x5,8 прям.отрезки 5м</t>
  </si>
  <si>
    <t>Труба для промышленности RAUPEX O 75x6,8 прям.отрезки 5м</t>
  </si>
  <si>
    <t>Труба для промышленности RAUPEX O 90x8,2 прям.отрезки 5м</t>
  </si>
  <si>
    <t>Труба для промышленности RAUPEX O 110x10,0 прям.отрезки 5м</t>
  </si>
  <si>
    <t>Труба для промышленности RAUPEX O 125x11,4 прям.отрезки 5м</t>
  </si>
  <si>
    <t>Труба для промышленности RAUPEX O 160x14,6 прям.отрезки 5м</t>
  </si>
  <si>
    <t>RAUPEX-UV-труба, SDR 11, чёрная, тонкостенная</t>
  </si>
  <si>
    <t>Труба для промышленности RAUPEX UV 20x1,9 прям.отрезки 5м</t>
  </si>
  <si>
    <t>Труба для промышленности RAUPEX UV 20x1,9 бухта 100м</t>
  </si>
  <si>
    <t>Труба для промышленности RAUPEX UV 25x2,3 прям.отрезки 5м</t>
  </si>
  <si>
    <t>Труба для промышленности RAUPEX UV 25x2,3 бухта 100м</t>
  </si>
  <si>
    <t>Труба для промышленности RAUPEX UV 32x2,9 прям.отрезки 5м</t>
  </si>
  <si>
    <t>Труба для промышленности RAUPEX UV 40x3,7 прям.отрезки 5м</t>
  </si>
  <si>
    <t>Труба для промышленности RAUPEX UV 50x4,6 прям.отрезки 5м</t>
  </si>
  <si>
    <t>Труба для промышленности RAUPEX UV 63x5,8 прям.отрезки 5м</t>
  </si>
  <si>
    <t>Труба для промышленности RAUPEX UV 75x6,8 прям.отрезки 5м</t>
  </si>
  <si>
    <t>Труба для промышленности RAUPEX UV 90x8,2 прям.отрезки 5м</t>
  </si>
  <si>
    <t>Труба для промышленности RAUPEX UV 110x10,0 прям.отрезки 5м</t>
  </si>
  <si>
    <t>Труба для промышленности RAUPEX UV 125x11,4 прям.отрезки 5м</t>
  </si>
  <si>
    <t>Труба для промышленности RAUPEX UV 160x14,6 прям.отрезки 5м</t>
  </si>
  <si>
    <t>RAUTHERM-FW-Rohr, SDR 11, красная, тонкостенная</t>
  </si>
  <si>
    <t>Труба для промышленности RAUTHERM FW 25x2,3 прям.отрезки 5м</t>
  </si>
  <si>
    <t>Труба для промышленности RAUTHERM FW 32x2,9 прям.отрезки 5м</t>
  </si>
  <si>
    <t>Труба для промышленности RAUTHERM FW 40x3,7 прям.отрезки 5м</t>
  </si>
  <si>
    <t>Труба для промышленности RAUTHERM FW 50x4,6 прям.отрезки 5м</t>
  </si>
  <si>
    <t>Труба для промышленности RAUTHERM FW 63x5,8 прям.отрезки 5м</t>
  </si>
  <si>
    <t>Труба для промышленности RAUTHERM FW 75x6,8 прям.отрезки 5м</t>
  </si>
  <si>
    <t>Труба для промышленности RAUTHERM FW 90x8,2 прям.отрезки 5м</t>
  </si>
  <si>
    <t>Труба для промышленности RAUTHERM FW 110x10,0 прям.отрезки 5м</t>
  </si>
  <si>
    <t>Труба для промышленности RAUTHERM FW 125x11,4 прям.отрезки 5м</t>
  </si>
  <si>
    <t>Труба для промышленности RAUTHERM FW 160x14,6 прям.отрезки 5м</t>
  </si>
  <si>
    <t>Фиксирующий желоб 20, отрезки 4,895 м</t>
  </si>
  <si>
    <t>Фиксирующий желоб 25, отрезки 4,895 м</t>
  </si>
  <si>
    <t>Фиксирующий желоб 32, отрезки 4,885 м</t>
  </si>
  <si>
    <t>Фиксирующий желоб 40, отрезки 4,875 м</t>
  </si>
  <si>
    <t>Фиксирующий желоб 50, отрезки 4,865 м</t>
  </si>
  <si>
    <t>Фиксирующий желоб 63, отрезки 4,850 м</t>
  </si>
  <si>
    <t>Фиксирующий желоб 75, отрезки 4,825 м</t>
  </si>
  <si>
    <t>Фиксирующий желоб 90, отрезки 4,800 м</t>
  </si>
  <si>
    <t>Фиксирующий желоб 110, отрезки 4,775 м</t>
  </si>
  <si>
    <t>Фиксирующий желоб 125, отрезки 4,775 м</t>
  </si>
  <si>
    <t>Фиксирующий желоб 160, отрезки 4,750 м</t>
  </si>
  <si>
    <t>4.2 Техника соединения монтажная гильза, SDR 11</t>
  </si>
  <si>
    <t>Монтажная гильза SDR 11, 20х1,9</t>
  </si>
  <si>
    <t>Монтажная гильза SDR 11, 25х2,3</t>
  </si>
  <si>
    <t>Монтажная гильза SDR 11, 32х2,9</t>
  </si>
  <si>
    <t>Монтажная гильза SDR 11, 40х3,7</t>
  </si>
  <si>
    <t>Монтажная гильза SDR 11, 50х4,6</t>
  </si>
  <si>
    <t>Монтажная гильза SDR 11, 63х5,8</t>
  </si>
  <si>
    <t>Монтажная гильза SDR 11, 75х6,8</t>
  </si>
  <si>
    <t>Монтажная гильза SDR 11, 90х8,2</t>
  </si>
  <si>
    <t>Монтажная гильза SDR 11, 110х10,0</t>
  </si>
  <si>
    <t>Монтажная гильза SDR 11, 125х11,4</t>
  </si>
  <si>
    <t>Монтажная гильза SDR 11, 140х12,7</t>
  </si>
  <si>
    <t>Монтажная гильза SDR 11, 160х14,6</t>
  </si>
  <si>
    <t>Муфта соединительная равнопроходная SDR 11, 20х1,9 LX</t>
  </si>
  <si>
    <t>Муфта соединительная равнопроходная SDR 11, 25х2,3 LX</t>
  </si>
  <si>
    <t>Муфта соединительная равнопроходная SDR 11, 32х2,9 LX</t>
  </si>
  <si>
    <t>Муфта соединительная равнопроходная SDR 11, 40х3,7 LX</t>
  </si>
  <si>
    <t>Муфта соединительная равнопроходная SDR 11, 50х4,6 LX</t>
  </si>
  <si>
    <t>Муфта соединительная равнопроходная SDR 11, 63х5,8 LX</t>
  </si>
  <si>
    <t>Муфта соединительная равнопроходная SDR 11, 75х6,8</t>
  </si>
  <si>
    <t>Муфта соединительная равнопроходная SDR 11, 90х8,2</t>
  </si>
  <si>
    <t>Муфта соединительная равнопроходная SDR 11, 110х10,0</t>
  </si>
  <si>
    <t>Муфта соединительная равнопроходная SDR 11, 125х11,4</t>
  </si>
  <si>
    <t>Муфта соединительная равнопроходная SDR 11, 140х12,7</t>
  </si>
  <si>
    <t>Муфта соединительная равнопроходная SDR 11, 160х14,6</t>
  </si>
  <si>
    <t>Муфта соединительная переходная SDR 11, 25х2,3 - 20х1,9 LX</t>
  </si>
  <si>
    <t>Муфта соединительная переходная SDR 11, 32х2,9 - 25х2,3 LX</t>
  </si>
  <si>
    <t>Муфта соединительная переходная SDR 11, 40х3,7 - 20х1,9 LX</t>
  </si>
  <si>
    <t>Муфта соединительная переходная SDR 11, 40х3,7 - 32х2,9 LX</t>
  </si>
  <si>
    <t>Муфта соединительная переходная SDR 11, 50х4,6 - 32х2,9 LX</t>
  </si>
  <si>
    <t>Муфта соединительная переходная SDR 11, 50х4,6 - 40х3,7 LX</t>
  </si>
  <si>
    <t>Муфта соединительная переходная SDR 11, 63х5,7 - 50х4,6 LX</t>
  </si>
  <si>
    <t>Муфта соединительная переходная SDR 11, 75х6,8 - 63х5,7</t>
  </si>
  <si>
    <t>Муфта соединительная переходная SDR 11, 90х8,2 - 75х6,8</t>
  </si>
  <si>
    <t>Муфта соединительная переходная SDR 11, 110х10 - 90х8,2</t>
  </si>
  <si>
    <t>Переходник с наружной резьбой SDR 11, 20х1,9 -R 1/2/L15 LX</t>
  </si>
  <si>
    <t>Переходник с наружной резьбой SDR 11, 20х1,9 -R 3/4/L18 LX</t>
  </si>
  <si>
    <t>Переходник с наружной резьбой SDR 11, 25х2,3 -R 3/4 LX</t>
  </si>
  <si>
    <t>Переходник с наружной резьбой SDR 11, 25х2,3- R 1/L22 LX</t>
  </si>
  <si>
    <t>Переходник с наружной резьбой SDR 11, 32х2,9- R 1/L22 LX</t>
  </si>
  <si>
    <t>Переходник с наружной резьбой SDR 11, 40х3,7- R 1 1/4 LX</t>
  </si>
  <si>
    <t>Переходник с наружной резьбой SDR 11, 50х4,6- R 1 1/4 LX</t>
  </si>
  <si>
    <t>Переходник с наружной резьбой SDR 11, 50х4,6- R 1 1/2 LX</t>
  </si>
  <si>
    <t>Переходник с наружной резьбой SDR 11, 63х5,7- R 2 LX</t>
  </si>
  <si>
    <t>Переходник с наружной резьбой SDR 11, 75х6,8- R 2 1/2</t>
  </si>
  <si>
    <t xml:space="preserve">Переходник с наружной резьбой SDR 11, 90х8,2- R 3 </t>
  </si>
  <si>
    <t xml:space="preserve">Переходник с наружной резьбой SDR 11, 110х10,0- R 4 </t>
  </si>
  <si>
    <t>Переходник с наружной резьбой SDR 11, 125х11,4- R 5</t>
  </si>
  <si>
    <t>Распределитель на два отвода 90° с внутренней резьбой</t>
  </si>
  <si>
    <t xml:space="preserve">Переходник с конусом 60° SDR 11 32- G ½ </t>
  </si>
  <si>
    <t xml:space="preserve">Переходник с конусом 60° SDR 11 32- G 3/4 </t>
  </si>
  <si>
    <t>Переходник с внутренней резьбой SDR 11, 20х1,9- Rp 1/2 LX</t>
  </si>
  <si>
    <t>Переходник с внутренней резьбой SDR 11, 20х1,9- Rp 3/4 LX</t>
  </si>
  <si>
    <t>Переходник с внутренней резьбой SDR 11, 25х2,3- Rp 3/4 LX</t>
  </si>
  <si>
    <t>Переходник с внутренней резьбой SDR 11, 25х2,3- Rp 1 LX</t>
  </si>
  <si>
    <t>Переходник с внутренней резьбой SDR 11, 32x2,9- Rp1 LX</t>
  </si>
  <si>
    <t>Переход на сварное соединение SDR 11, 25х2,3-26,9х2,3</t>
  </si>
  <si>
    <t>Переход на сварное соединение SDR 11, 32х2,3-26,9х2,3</t>
  </si>
  <si>
    <t>Переход на сварное соединение SDR 11, 40х3,7-42,4х2,6</t>
  </si>
  <si>
    <t>Переход на сварное соединение SDR 11, 50х4,6-48,3х2,6</t>
  </si>
  <si>
    <t>Переход на сварное соединение SDR 11, 63х5,7-60,3х2,9</t>
  </si>
  <si>
    <t>Переход на сварное соединение SDR 11, 75х6,8-76,1х2,9</t>
  </si>
  <si>
    <t>Переход на сварное соединение SDR 11, 98х8,2-88,9х3,2</t>
  </si>
  <si>
    <t>Переход на сварное соединение SDR 11, 110х10,0-114,3х3,6</t>
  </si>
  <si>
    <t>Переход на сварное соединение SDR 11, 125х11,4-139,7х3,6</t>
  </si>
  <si>
    <t>Переход на сварное соединение SDR 11, 140x12,7-139,7x3,6</t>
  </si>
  <si>
    <t>Переход на сварное соединение SDR 11, 160х14,6-168,3х4,1</t>
  </si>
  <si>
    <t>Тройник равнопроходный SDR 11, 20х1,9 LX</t>
  </si>
  <si>
    <t>Тройник равнопроходный SDR 11, 25х2,3 LX</t>
  </si>
  <si>
    <t>Тройник равнопроходный SDR 11, 32х2,9 LX</t>
  </si>
  <si>
    <t>Тройник равнопроходный SDR 11, 40х3,7 LX</t>
  </si>
  <si>
    <t>Тройник равнопроходный SDR 11, 50х4,6 LX</t>
  </si>
  <si>
    <t>Тройник равнопроходный SDR 11, 63х5,7 LX</t>
  </si>
  <si>
    <t>Тройник равнопроходный SDR 11, 75х6,8</t>
  </si>
  <si>
    <t>Тройник равнопроходный SDR 11, 90х8,2</t>
  </si>
  <si>
    <t>Тройник равнопроходный SDR 11, 110х10,0</t>
  </si>
  <si>
    <t>Тройник SDR 11, 25-20-20 LX</t>
  </si>
  <si>
    <t>Тройник SDR 11, 32-25-25 LX</t>
  </si>
  <si>
    <t>Тройник SDR 11, 40-32-32 LX</t>
  </si>
  <si>
    <t>Тройник SDR 11, 50-25-40 LX</t>
  </si>
  <si>
    <t>Тройник SDR 11, 50-32-40 LX</t>
  </si>
  <si>
    <t>Тройник SDR 11, 63-32-50 LX</t>
  </si>
  <si>
    <t>Тройник SDR 11, 63-40-40 LX</t>
  </si>
  <si>
    <t>Тройник SDR 11, 63-40-50 LX</t>
  </si>
  <si>
    <t>Тройник SDR 11, 63-50-50 LX</t>
  </si>
  <si>
    <t>Тройник SDR 11, 75-32-63</t>
  </si>
  <si>
    <t>Тройник SDR 11, 75-50-63</t>
  </si>
  <si>
    <t>Тройник SDR 11, 75-63-63</t>
  </si>
  <si>
    <t>Тройник с уменьшенным бок. проходом SDR 11, 25-20-25 LX</t>
  </si>
  <si>
    <t>Тройник с уменьшенным бок. проходом SDR 11, 32-20-32 LX</t>
  </si>
  <si>
    <t>Тройник с уменьшенным бок. проходом SDR 11, 32-25-32 LX</t>
  </si>
  <si>
    <t>Тройник с уменьшенным бок. проходом SDR 11, 40-20-40 LX</t>
  </si>
  <si>
    <t>Тройник с уменьшенным бок. проходом SDR 11, 40-25-40 LX</t>
  </si>
  <si>
    <t>Тройник с уменьшенным бок. проходом SDR 11, 40-32-40 LX</t>
  </si>
  <si>
    <t>Тройник с уменьшенным бок. проходом SDR 11, 50-20-50 LX</t>
  </si>
  <si>
    <t>Тройник с уменьшенным бок. проходом SDR 11, 50-25-50 LX</t>
  </si>
  <si>
    <t>Тройник с уменьшенным бок. проходом SDR 11, 50-32-50 LX</t>
  </si>
  <si>
    <t>Тройник с уменьшенным бок. проходом SDR 11, 50-40-50 LX</t>
  </si>
  <si>
    <t>Тройник с уменьшенным бок. проходом SDR 11, 63-20-63 LX</t>
  </si>
  <si>
    <t>Тройник с уменьшенным бок. проходом SDR 11, 63-25-63 LX</t>
  </si>
  <si>
    <t>Тройник с уменьшенным бок. проходом SDR 11, 63-32-63 LX</t>
  </si>
  <si>
    <t>Тройник с уменьшенным бок. проходом SDR 11, 63-40-63 LX</t>
  </si>
  <si>
    <t>Тройник с уменьшенным бок. проходом SDR 11, 63-50-63 LX</t>
  </si>
  <si>
    <t>Тройник с уменьшенным бок. проходом SDR 11, 75-25-75</t>
  </si>
  <si>
    <t>Тройник с уменьшенным бок. проходом SDR 11, 75-32-75</t>
  </si>
  <si>
    <t>Тройник с уменьшенным бок. проходом SDR 11, 75-40-75</t>
  </si>
  <si>
    <t>Тройник с уменьшенным бок. проходом SDR 11, 75-50-75</t>
  </si>
  <si>
    <t>Тройник с уменьшенным бок. проходом SDR 11, 75-63-75</t>
  </si>
  <si>
    <t>Тройник с уменьшенным бок. проходом SDR 11, 90-32-90</t>
  </si>
  <si>
    <t>Тройник с уменьшенным бок. проходом SDR 11, 90-40-90</t>
  </si>
  <si>
    <t>Тройник с уменьшенным бок. проходом SDR 11, 90-63-90</t>
  </si>
  <si>
    <t>Тройник с уменьшенным бок. проходом SDR 11, 110-32-110</t>
  </si>
  <si>
    <t>Тройник с уменьшенным бок. проходом SDR 11, 110-50-110</t>
  </si>
  <si>
    <t>Тройник с уменьшенным бок. проходом SDR 11, 110-63-110</t>
  </si>
  <si>
    <t>Тройник SDR 11, 20-25-20 LX</t>
  </si>
  <si>
    <t>Тройник SDR 11, 63-75-63</t>
  </si>
  <si>
    <t>Тройник SDR 11, 25-25-20 LX</t>
  </si>
  <si>
    <t>Тройник SDR 11, 32-32-25 LX</t>
  </si>
  <si>
    <t xml:space="preserve">Тройник с конусом 60° SDR 7,4 32 - G ½ - 32 </t>
  </si>
  <si>
    <t>Тройник с внутренней резьбой SDR 11, 20-Rp 1/2-20 LX</t>
  </si>
  <si>
    <t>Тройник с внутренней резьбой SDR 11, 25-Rp 1/2-25 LX</t>
  </si>
  <si>
    <t>Тройник с внутренней резьбой SDR 11, 25-Rp 3/4-25 LX</t>
  </si>
  <si>
    <t>Тройник с внутренней резьбой SDR 11, 32-Rp 1/2-32 LX</t>
  </si>
  <si>
    <t>Тройник с внутренней резьбой SDR 11, 32-Rp 3/4-32 LX</t>
  </si>
  <si>
    <t>Тройник с внутренней резьбой SDR 11, 32-Rp 1-32 LX</t>
  </si>
  <si>
    <t>Тройник с внутренней резьбой SDR 11, 40-Rp 1/2-40 LX</t>
  </si>
  <si>
    <t>Тройник с внутренней резьбой SDR 11, 40-Rp 3/4-40 LX</t>
  </si>
  <si>
    <t>Тройник с внутренней резьбой SDR 11, 40-Rp 1-40 LX</t>
  </si>
  <si>
    <t>Тройник с внутренней резьбой SDR 11, 50-Rp 1/2-50 LX</t>
  </si>
  <si>
    <t>Тройник с внутренней резьбой SDR 11, 50-Rp 3/4-50 LX</t>
  </si>
  <si>
    <t>Тройник с внутренней резьбой SDR 11, 50-Rp 1-50 LX</t>
  </si>
  <si>
    <t>Тройник с внутренней резьбой SDR 11, 50-Rp 1 1/4-50 LX</t>
  </si>
  <si>
    <t>Тройник с внутренней резьбой SDR 11, 63-Rp 1/2-63 LX</t>
  </si>
  <si>
    <t>Тройник с внутренней резьбой SDR 11, 63-Rp 3/4-63 LX</t>
  </si>
  <si>
    <t>Тройник разнопроходной с внутренней резьбой SDR 11, 40-Rp1-32 LX</t>
  </si>
  <si>
    <t>Тройник разнопроходной с внутренней резьбой SDR 11, 50-Rp1 1/4-40 LX</t>
  </si>
  <si>
    <t>Тройник с отводом 90° SDR 11 32-32-32</t>
  </si>
  <si>
    <t xml:space="preserve">Тройник с двойным отводом 63 - Rp 1/2 - Rp 1/2 - 63 </t>
  </si>
  <si>
    <t>Угольник 45°, SDR 11, 25х2,3 LX</t>
  </si>
  <si>
    <t>Угольник 45°, SDR 11, 32х2,9 LX</t>
  </si>
  <si>
    <t>Угольник 45°, SDR 11, 40х3,7 LX</t>
  </si>
  <si>
    <t>Угольник 45°, SDR 11, 50х4,6 LX</t>
  </si>
  <si>
    <t>Угольник 45°, SDR 11, 63х5,8 LX</t>
  </si>
  <si>
    <t>Угольник 45°, SDR 11, 75х6,8</t>
  </si>
  <si>
    <t>Угольник 90°, SDR 11, 20х1,9 LX</t>
  </si>
  <si>
    <t>Угольник 90°, SDR 11, 25х2,3 LX</t>
  </si>
  <si>
    <t>Угольник 90°, SDR 11, 32х2,9 LX</t>
  </si>
  <si>
    <t>Угольник 90°, SDR 11, 40х3,7 LX</t>
  </si>
  <si>
    <t>Угольник 90°, SDR 11, 50х4,6 LX</t>
  </si>
  <si>
    <t>Угольник 90°, SDR 11, 63х5,7 LX</t>
  </si>
  <si>
    <t>Угольник 90°, SDR 11, 75х6,8</t>
  </si>
  <si>
    <t>Угольник 90°, SDR 11, 90х8,2</t>
  </si>
  <si>
    <t>Угольник 90°, SDR 11, 110x10,0</t>
  </si>
  <si>
    <t xml:space="preserve">Угольник-переходник с наружной резьбой SDR 11 20-R 1/2 </t>
  </si>
  <si>
    <t xml:space="preserve">Угольник-переходник с наружной резьбой SDR 11 20-R 3/4 </t>
  </si>
  <si>
    <t xml:space="preserve">Угольник-переходник с наружной резьбой SDR 11 25-R 3/4 </t>
  </si>
  <si>
    <t>Угольник-переходник с наружной резьбой SDR 11 32-R 1</t>
  </si>
  <si>
    <t>Настенный угольник с внутр.резьбой, SDR 11, 20x1,9-Rp 1/2 LX</t>
  </si>
  <si>
    <t>Настенный угольник с внутр.резьбой, SDR 11, 20x1,9-Rp 3/4 LX</t>
  </si>
  <si>
    <t>Настенный угольник с внутр.резьбой, SDR 11, 25x2,3-Rp 3/4 LX</t>
  </si>
  <si>
    <t>4.3 Шаровые краны со штуцерами под надвижную гильзу, SDR 11</t>
  </si>
  <si>
    <t>Шаровой кран со штуцерами под надвижную гильзу 20x1,9 - 20x1,9</t>
  </si>
  <si>
    <t>Шаровой кран со штуцерами под надвижную гильзу 25x2,3 - 25x2,3</t>
  </si>
  <si>
    <t>Шаровой кран со штуцерами под надвижную гильзу 32x2,9 - 32x2,9</t>
  </si>
  <si>
    <t>Шаровой кран со штуцерами под надвижную гильзу 40x3,7 - 40x3,7</t>
  </si>
  <si>
    <t>Шаровой кран со штуцерами под надвижную гильзу 50x4,6 - 50x4,6</t>
  </si>
  <si>
    <t>Шаровой кран со штуцерами под надвижную гильзу 63x5,8 - 63x5,8</t>
  </si>
  <si>
    <t>Шаровой кран со штуцером под гильзу и нар. резьбой, 220х1,9-R 3/4</t>
  </si>
  <si>
    <t>Шаровой кран со штуцером под гильзу и нар. резьбой, 25x2,3-R 1</t>
  </si>
  <si>
    <t>Шаровой кран со штуцером под гильзу и нар. резьбой, 32x2,9-R 1</t>
  </si>
  <si>
    <t>4.4 Техника соединения электросварная муфта FUSAPEX</t>
  </si>
  <si>
    <t>FUSAPEX Электросварная муфта 50</t>
  </si>
  <si>
    <t>FUSAPEX Электросварная муфта 63</t>
  </si>
  <si>
    <t>FUSAPEX Электросварная муфта 75</t>
  </si>
  <si>
    <t>FUSAPEX Электросварная муфта 90</t>
  </si>
  <si>
    <t>FUSAPEX Электросварная муфта 110</t>
  </si>
  <si>
    <t>FUSAPEX Электросварная муфта 125</t>
  </si>
  <si>
    <t>FUSAPEX Электросварная муфта 160</t>
  </si>
  <si>
    <t>FUSAPEX Электросварной переходник SDR 11 63-50</t>
  </si>
  <si>
    <t>FUSAPEX Электросварной переходник SDR 11 75-50</t>
  </si>
  <si>
    <t>FUSAPEX Электросварной переходник SDR 11 75-63</t>
  </si>
  <si>
    <t>FUSAPEX Электросварной переходник SDR 11 90-50</t>
  </si>
  <si>
    <t>FUSAPEX Электросварной переходник SDR 11 90-63</t>
  </si>
  <si>
    <t>FUSAPEX Электросварной переходник SDR 11 90-75</t>
  </si>
  <si>
    <t>FUSAPEX Электросварной переходник SDR 11 110-50</t>
  </si>
  <si>
    <t>FUSAPEX Электросварной переходник SDR 11 110-63</t>
  </si>
  <si>
    <t>FUSAPEX Электросварной переходник SDR 11 110-75</t>
  </si>
  <si>
    <t>FUSAPEX Электросварной переходник SDR 11 110-90</t>
  </si>
  <si>
    <t>FUSAPEX Электросварной переходник SDR 11 125-50</t>
  </si>
  <si>
    <t>FUSAPEX Электросварной переходник SDR 11 125-63</t>
  </si>
  <si>
    <t>FUSAPEX Электросварной переходник SDR 11 125-75</t>
  </si>
  <si>
    <t>FUSAPEX Электросварной переходник SDR 11 125-90</t>
  </si>
  <si>
    <t>FUSAPEX Электросварной переходник SDR 11 125-110</t>
  </si>
  <si>
    <t>FUSAPEX Электросварной переходник SDR 11 160-75</t>
  </si>
  <si>
    <t>FUSAPEX Электросварной переходник SDR 11 160-90</t>
  </si>
  <si>
    <t>FUSAPEX Электросварной переходник SDR 11 160-110</t>
  </si>
  <si>
    <t>FUSAPEX Электросварной переходник SDR 11 160-125</t>
  </si>
  <si>
    <t>FUSAPEX Эл.-сварная муфта с наружн.резьбой из латуни 50 - R 1 1/2"</t>
  </si>
  <si>
    <t>FUSAPEX Эл.-сварная муфта с наружн.резьбой из латуни 63 - R 2"</t>
  </si>
  <si>
    <t>FUSAPEX Эл.-сварная муфта с наружн.резьбой из латуни 75 - R 2 1/2"</t>
  </si>
  <si>
    <t>FUSAPEX Фланцевый переходник SDR 11 50/40</t>
  </si>
  <si>
    <t>FUSAPEX Фланцевый переходник SDR 11 63/50</t>
  </si>
  <si>
    <t>FUSAPEX Фланцевый переходник SDR 11 75/65</t>
  </si>
  <si>
    <t>FUSAPEX Фланцевый переходник SDR 11 90/80</t>
  </si>
  <si>
    <t>FUSAPEX Фланцевый переходник SDR 11 110/100</t>
  </si>
  <si>
    <t>FUSAPEX Фланцевый переходник SDR 11 125/100</t>
  </si>
  <si>
    <t>Профиль-уплотнение из EPDM 50/40</t>
  </si>
  <si>
    <t>Профиль-уплотнение из EPDM 63/50</t>
  </si>
  <si>
    <t>Профиль-уплотнение из EPDM 75/65</t>
  </si>
  <si>
    <t>Профиль-уплотнение из EPDM 90/80</t>
  </si>
  <si>
    <t>Профиль-уплотнение из EPDM 110/100 и 125/100</t>
  </si>
  <si>
    <t>FUSAPEX Электросварной угольник 90 град. 75</t>
  </si>
  <si>
    <t>FUSAPEX Электросварной угольник 90 град. 90</t>
  </si>
  <si>
    <t>FUSAPEX Электросварной угольник 90 град. 110</t>
  </si>
  <si>
    <t>FUSAPEX Электросварной угольник 90 град. 125</t>
  </si>
  <si>
    <t>FUSAPEX Электросварной тройник для труб SDR 11 50-50-50</t>
  </si>
  <si>
    <t>FUSAPEX Электросварной тройник для труб SDR 11 63-63-63</t>
  </si>
  <si>
    <t>FUSAPEX Электросварной тройник для труб SDR 11 75-75-75</t>
  </si>
  <si>
    <t>FUSAPEX Электросварной тройник для труб SDR 11 90-90-90</t>
  </si>
  <si>
    <t>FUSAPEX Электросварной тройник для труб SDR 11 110-110-110</t>
  </si>
  <si>
    <t>FUSAPEX Электросварной тройник для труб SDR 11 125-125-125</t>
  </si>
  <si>
    <t xml:space="preserve">FUSAPEX Электросварной тройник для труб SDR 11 поколение I 90-90-90 </t>
  </si>
  <si>
    <t>4.5 Техника соединения электросварная муфта PE 100</t>
  </si>
  <si>
    <t>Электросварная муфта равнопроходная PE, 20</t>
  </si>
  <si>
    <t>Электросварная муфта равнопроходная PE, 25</t>
  </si>
  <si>
    <t>Электросварная муфта равнопроходная PE, 32</t>
  </si>
  <si>
    <t>Электросварная муфта равнопроходная PE, 40</t>
  </si>
  <si>
    <t>Электросварная муфта равнопроходная PE, 50</t>
  </si>
  <si>
    <t>Электросварная муфта равнопроходная PE, 63</t>
  </si>
  <si>
    <t>Электросварная муфта равнопроходная PE, 75</t>
  </si>
  <si>
    <t>Электросварная муфта равнопроходная PE, 90</t>
  </si>
  <si>
    <t>Электросварная муфта равнопроходная PE, 110</t>
  </si>
  <si>
    <t>Электросварная муфта равнопроходная PE, 125</t>
  </si>
  <si>
    <t>Электросварная муфта равнопроходная PE, 160</t>
  </si>
  <si>
    <t>Электросварная муфта переходная PE, 25-20</t>
  </si>
  <si>
    <t>Электросварная муфта переходная PE, 32-20</t>
  </si>
  <si>
    <t>Электросварная муфта переходная PE, 32-25</t>
  </si>
  <si>
    <t>Электросварная муфта переходная PE, 40-25</t>
  </si>
  <si>
    <t>Электросварная муфта переходная PE, 40-32</t>
  </si>
  <si>
    <t>Электросварная муфта переходная PE, 50-25</t>
  </si>
  <si>
    <t>Электросварная муфта переходная PE, 50-32</t>
  </si>
  <si>
    <t>Электросварная муфта переходная PE, 50-40</t>
  </si>
  <si>
    <t>Электросварная муфта переходная PE, 63-32</t>
  </si>
  <si>
    <t>Электросварная муфта переходная PE, 63-40</t>
  </si>
  <si>
    <t>Электросварная муфта переходная PE, 63-50</t>
  </si>
  <si>
    <t>Электросварная муфта переходная PE, 75-63</t>
  </si>
  <si>
    <t>Электросварная муфта переходная PE, 90-50</t>
  </si>
  <si>
    <t>Электросварная муфта переходная PE, 90-63</t>
  </si>
  <si>
    <t>Электросварная муфта переходная PE, 90-75</t>
  </si>
  <si>
    <t>Электросварная муфта переходная PE, 110-63</t>
  </si>
  <si>
    <t>Электросварная муфта переходная PE, 110-90</t>
  </si>
  <si>
    <t>Электросварная муфта переходная PE, 125-90</t>
  </si>
  <si>
    <t>Электросварная муфта переходная PE, 125-110</t>
  </si>
  <si>
    <t>Электросварная муфта переходная PE, 160-90</t>
  </si>
  <si>
    <t>Электросварная муфта переходная PE, 160-110</t>
  </si>
  <si>
    <t>Электросварная муфта переходная PE, 160-125</t>
  </si>
  <si>
    <t>Переходник под эл.-сварное соединение, безмуфтовый, PE, 40-32</t>
  </si>
  <si>
    <t>Переходник под эл.-сварное соединение, безмуфтовый, PE, 50-32</t>
  </si>
  <si>
    <t>Переходник под эл.-сварное соединение, безмуфтовый, PE, 50-40</t>
  </si>
  <si>
    <t>Переходник под эл.-сварное соединение, безмуфтовый, PE, 63-32</t>
  </si>
  <si>
    <t>Переходник под эл.-сварное соединение, безмуфтовый, PE, 63-40</t>
  </si>
  <si>
    <t>Переходник под эл.-сварное соединение, безмуфтовый, PE, 63-50</t>
  </si>
  <si>
    <t>Переходник под эл.-сварное соединение, безмуфтовый, PE, 75-50</t>
  </si>
  <si>
    <t>Переходник под эл.-сварное соединение, безмуфтовый, PE, 75-63</t>
  </si>
  <si>
    <t>Переходник под эл.-сварное соединение, безмуфтовый, PE, 90-50</t>
  </si>
  <si>
    <t>Переходник под эл.-сварное соединение, безмуфтовый, PE, 90-63</t>
  </si>
  <si>
    <t>Переходник под эл.-сварное соединение, безмуфтовый, PE, 90-75</t>
  </si>
  <si>
    <t>Переходник под эл.-сварное соединение, безмуфтовый, PE, 110-63</t>
  </si>
  <si>
    <t>Переходник под эл.-сварное соединение, безмуфтовый, PE, 110-75</t>
  </si>
  <si>
    <t>Переходник под эл.-сварное соединение, безмуфтовый, PE, 110-90</t>
  </si>
  <si>
    <t>Переходник под эл.-сварное соединение, безмуфтовый, PE, 125-63</t>
  </si>
  <si>
    <t>Переходник под эл.-сварное соединение, безмуфтовый, PE, 125-90</t>
  </si>
  <si>
    <t>Переходник под эл.-сварное соединение, безмуфтовый, PE, 125-110</t>
  </si>
  <si>
    <t>Переходник под эл.-сварное соединение, безмуфтовый, PE, 160-90</t>
  </si>
  <si>
    <t>Переходник под эл.-сварное соединение, безмуфтовый, PE, 160-110</t>
  </si>
  <si>
    <t>Переходник под эл.-сварное соединение, безмуфтовый, PE, 160-125</t>
  </si>
  <si>
    <t>Эл.-сварная муфта с наруж. резьбой из латуни, 20-1/2"</t>
  </si>
  <si>
    <t>Эл.-сварная муфта с наруж. резьбой из латуни, 25-3/4"</t>
  </si>
  <si>
    <t>Эл.-сварная муфта с наруж. резьбой из латуни, 32-1/2"</t>
  </si>
  <si>
    <t>Эл.-сварная муфта с наруж. резьбой из латуни, 32-3/4"</t>
  </si>
  <si>
    <t>Эл.-сварная муфта с наруж. резьбой из латуни, 32-1"</t>
  </si>
  <si>
    <t>Эл.-сварная муфта с наруж. резьбой из латуни, 32-1 1/4"</t>
  </si>
  <si>
    <t>Эл.-сварная муфта с наруж. резьбой из латуни, 32-1 1/2"</t>
  </si>
  <si>
    <t>Эл.-сварная муфта с наруж. резьбой из латуни, 40-1"</t>
  </si>
  <si>
    <t>Эл.-сварная муфта с наруж. резьбой из латуни, 40-1 1/4"</t>
  </si>
  <si>
    <t>Эл.-сварная муфта с наруж. резьбой из латуни, 40-1 1/2"</t>
  </si>
  <si>
    <t>Эл.-сварная муфта с наруж. резьбой из латуни, 40-2"</t>
  </si>
  <si>
    <t>Эл.-сварная муфта с наруж. резьбой из латуни, 50-1"</t>
  </si>
  <si>
    <t>Эл.-сварная муфта с наруж. резьбой из латуни, 50-1 1/4"</t>
  </si>
  <si>
    <t>Эл.-сварная муфта с наруж. резьбой из латуни, 50-1 1/2"</t>
  </si>
  <si>
    <t>Эл.-сварная муфта с наруж. резьбой из латуни, 50-2"</t>
  </si>
  <si>
    <t>Эл.-сварная муфта с наруж. резьбой из латуни, 63-1 1/4"</t>
  </si>
  <si>
    <t>Эл.-сварная муфта с наруж. резьбой из латуни, 63-1 1/2"</t>
  </si>
  <si>
    <t>Эл.-сварная муфта с наруж. резьбой из латуни, 63-2"</t>
  </si>
  <si>
    <t>Эл.-сварная муфта с наруж. резьбой из латуни, 75-2"</t>
  </si>
  <si>
    <t>Эл.-сварная муфта с наруж. резьбой из латуни, 75-2 1/2"</t>
  </si>
  <si>
    <t>Эл.-сварная муфта с наруж. резьбой из PE 100, 25-3/4"</t>
  </si>
  <si>
    <t>Эл.-сварная муфта с наруж. резьбой из PE 100, 32-1"</t>
  </si>
  <si>
    <t>Эл.-сварная муфта с наруж. резьбой из PE 100, 40-1"</t>
  </si>
  <si>
    <t>Эл.-сварная муфта с наруж. резьбой из PE 100, 40-1 1/4"</t>
  </si>
  <si>
    <t>Эл.-сварная муфта с наруж. резьбой из PE 100, 40-1 1/2"</t>
  </si>
  <si>
    <t>Эл.-сварная муфта с наруж. резьбой из PE 100, 50-1 1/2"</t>
  </si>
  <si>
    <t>Эл.-сварная муфта с наруж. резьбой из PE 100, 63-1 1/2"</t>
  </si>
  <si>
    <t>Эл.-сварная муфта с наруж. резьбой из PE 100, 63-2"</t>
  </si>
  <si>
    <t>Эл.-сварная муфта с внутр. резьбой из латуни, 20-1/2"</t>
  </si>
  <si>
    <t>Эл.-сварная муфта с внутр. резьбой из латуни, 25-3/4"</t>
  </si>
  <si>
    <t>Эл.-сварная муфта с внутр. резьбой из латуни, 32-1"</t>
  </si>
  <si>
    <t>Эл.-сварная муфта с внутр. резьбой из латуни, 40-1"</t>
  </si>
  <si>
    <t>Эл.-сварная муфта с внутр. резьбой из латуни, 40-1 1/4"</t>
  </si>
  <si>
    <t>Эл.-сварная муфта с внутр. резьбой из латуни, 40-1 1/2"</t>
  </si>
  <si>
    <t>Эл.-сварная муфта с внутр. резьбой из латуни, 50-1 1/2"</t>
  </si>
  <si>
    <t>Эл.-сварная муфта с внутр. резьбой из латуни, 50-2"</t>
  </si>
  <si>
    <t>Эл.-сварная муфта с внутр. резьбой из латуни, 63-1 1/2"</t>
  </si>
  <si>
    <t>Эл.-сварная муфта с внутр. резьбой из латуни, 63-2"</t>
  </si>
  <si>
    <t>Электросварная концевая муфта (заглушка) PE, 20</t>
  </si>
  <si>
    <t>Электросварная концевая муфта (заглушка) PE, 25</t>
  </si>
  <si>
    <t>Электросварная концевая муфта (заглушка) PE, 32</t>
  </si>
  <si>
    <t>Электросварная концевая муфта (заглушка) PE, 40</t>
  </si>
  <si>
    <t>Электросварная концевая муфта (заглушка) PE, 50</t>
  </si>
  <si>
    <t>Электросварная концевая муфта (заглушка) PE, 63</t>
  </si>
  <si>
    <t>Электросварная концевая муфта (заглушка) PE, 75</t>
  </si>
  <si>
    <t xml:space="preserve">Электросварная концевая муфта (заглушка) PE, 90 </t>
  </si>
  <si>
    <t>Электросварная концевая муфта (заглушка) PE, 110</t>
  </si>
  <si>
    <t>Электросварная концевая муфта (заглушка) PE, 125</t>
  </si>
  <si>
    <t>Электросварная концевая муфта (заглушка) PE, 160</t>
  </si>
  <si>
    <t>Электросварной тройник 90° PE, 20-20-20</t>
  </si>
  <si>
    <t>Электросварной тройник 90° PE, 25-25-25</t>
  </si>
  <si>
    <t>Электросварной тройник 90° PE, 32-32-32</t>
  </si>
  <si>
    <t>Электросварной тройник 90° PE, 40-40-40</t>
  </si>
  <si>
    <t>Электросварной тройник 90° PE, 50-50-50</t>
  </si>
  <si>
    <t>Электросварной тройник 90° PE, 63-63-63</t>
  </si>
  <si>
    <t>Электросварной тройник 90° PE, 75-75-75</t>
  </si>
  <si>
    <t>Электросварной тройник 90° PE, 90-90-90</t>
  </si>
  <si>
    <t>Электросварной тройник 90° PE, 110-110-110</t>
  </si>
  <si>
    <t>Электросварной тройник 90° PE, 125-125-125</t>
  </si>
  <si>
    <t>Электросварной тройник 90° PE, 160-160-160</t>
  </si>
  <si>
    <t>Электросварной тройник 90° PE, 20-32-20</t>
  </si>
  <si>
    <t>Электросварной тройник 90° PE, 25-32-25</t>
  </si>
  <si>
    <t>Электросварной тройник 90° PE, 25-20-25</t>
  </si>
  <si>
    <t>Электросварной тройник 90° PE, 32-20-32</t>
  </si>
  <si>
    <t>Электросварной тройник 90° PE, 32-25-32</t>
  </si>
  <si>
    <t>Электросварной тройник 90° PE, 40-20-40</t>
  </si>
  <si>
    <t>Электросварной тройник 90° PE, 40-25-40</t>
  </si>
  <si>
    <t>Электросварной тройник 90° PE, 40-32-40</t>
  </si>
  <si>
    <t>Электросварной тройник 90° PE, 50-20-50</t>
  </si>
  <si>
    <t>Электросварной тройник 90° PE, 50-25-50</t>
  </si>
  <si>
    <t>Электросварной тройник 90° PE, 50-32-50</t>
  </si>
  <si>
    <t>Электросварной тройник 90° PE, 50-40-50</t>
  </si>
  <si>
    <t>Электросварной тройник 90° PE, 63-20-63</t>
  </si>
  <si>
    <t>Электросварной тройник 90° PE, 63-32-63</t>
  </si>
  <si>
    <t>Электросварной тройник 90° PE, 63-40-63</t>
  </si>
  <si>
    <t>Электросварной тройник 90° PE, 63-50-63</t>
  </si>
  <si>
    <t>Электросварной тройник 90° PE, 75-63-75</t>
  </si>
  <si>
    <t>Электросварной тройник 90° PE, 90-63-90</t>
  </si>
  <si>
    <t>Электросварной тройник 90° PE, 110-63-110</t>
  </si>
  <si>
    <t>Электросварной тройник 90° PE, 110-90-110</t>
  </si>
  <si>
    <t>Электросварной тройник 90° PE, 125-90-125</t>
  </si>
  <si>
    <t>Электросварной тройник 90° PE, 125-110-125</t>
  </si>
  <si>
    <t>Электросварной тройник 90° PE, 160-90-160</t>
  </si>
  <si>
    <t>Электросварной тройник 90° PE, 160-110-160</t>
  </si>
  <si>
    <t>Электросварной тройник 90° PE, 160-125-160</t>
  </si>
  <si>
    <t>Эл.-сварной тройник PE с фланцем на бок. отводе, 90-Ду80-90</t>
  </si>
  <si>
    <t>Эл.-сварной тройник PE с фланцем на бок. отводе, 110-Ду80-110</t>
  </si>
  <si>
    <t>Эл.-сварной тройник PE с фланцем на бок. отводе, 110-Ду100-110</t>
  </si>
  <si>
    <t>Эл.-сварной тройник PE с фланцем на бок. отводе, 125-Ду80-125</t>
  </si>
  <si>
    <t>Эл.-сварной тройник PE с фланцем на бок. отводе, 125-Ду100-125</t>
  </si>
  <si>
    <t>Эл.-сварной тройник PE с фланцем на бок. отводе, 160-Ду80-160</t>
  </si>
  <si>
    <t>Эл.-сварной тройник PE с фланцем на бок. отводе, 160-Ду100-160</t>
  </si>
  <si>
    <t>Электросварной угольник 0 до 24°, PE, 110</t>
  </si>
  <si>
    <t>Электросварной угольник 0 до 24°, PE, 125</t>
  </si>
  <si>
    <t>Электросварной угольник 0 до 24°, PE, 160</t>
  </si>
  <si>
    <t>Электросварной угольник 22,5°, PE, 90</t>
  </si>
  <si>
    <t>Электросварной угольник 22,5°, PE, 110</t>
  </si>
  <si>
    <t>Электросварной угольник 22,5°, PE, 125</t>
  </si>
  <si>
    <t>Электросварной угольник 22,5°, PE, 160</t>
  </si>
  <si>
    <t>Электросварной угольник 45°, PE, 32</t>
  </si>
  <si>
    <t>Электросварной угольник 45°, PE, 40</t>
  </si>
  <si>
    <t>Электросварной угольник 45°, PE, 50</t>
  </si>
  <si>
    <t>Электросварной угольник 45°, PE, 63</t>
  </si>
  <si>
    <t>Электросварной угольник 45°, PE, 75</t>
  </si>
  <si>
    <t>Электросварной угольник 45°, PE, 90</t>
  </si>
  <si>
    <t>Электросварной угольник 45°, PE, 110</t>
  </si>
  <si>
    <t>Электросварной угольник 45°, PE, 125</t>
  </si>
  <si>
    <t>Электросварной угольник 45°, PE, 160</t>
  </si>
  <si>
    <t>Электросварной угольник 90°, PE, 20</t>
  </si>
  <si>
    <t>Электросварной угольник 90°, PE, 25</t>
  </si>
  <si>
    <t>Электросварной угольник 90°, PE, 32</t>
  </si>
  <si>
    <t>Электросварной угольник 90°, PE, 40</t>
  </si>
  <si>
    <t>Электросварной угольник 90°, PE, 50</t>
  </si>
  <si>
    <t>Электросварной угольник 90°, PE, 63</t>
  </si>
  <si>
    <t>Электросварной угольник 90°, PE, 75</t>
  </si>
  <si>
    <t>Электросварной угольник 90°, PE, 90</t>
  </si>
  <si>
    <t>Электросварной угольник 90°, PE, 110</t>
  </si>
  <si>
    <t>Электросварной угольник 90°, PE, 125</t>
  </si>
  <si>
    <t>Электросварной угольник 90°, PE, 160</t>
  </si>
  <si>
    <t>Эл.-св. угольник 45° с наруж. резьбой из латуни, 32-1"</t>
  </si>
  <si>
    <t>Эл.-св. угольник 45° с наруж. резьбой из латуни, 32-1 1/4"</t>
  </si>
  <si>
    <t>Эл.-св. угольник 45° с наруж. резьбой из латуни, 32-1 1/2"</t>
  </si>
  <si>
    <t>Эл.-св. угольник 45° с наруж. резьбой из латуни, 40-1"</t>
  </si>
  <si>
    <t>Эл.-св. угольник 45° с наруж. резьбой из латуни, 40-1 1/4"</t>
  </si>
  <si>
    <t>Эл.-св. угольник 45° с наруж. резьбой из латуни, 40-1 1/2"</t>
  </si>
  <si>
    <t>Эл.-св. угольник 45° с наруж. резьбой из латуни, 50-1"</t>
  </si>
  <si>
    <t>Эл.-св. угольник 45° с наруж. резьбой из латуни, 50-1 1/4"</t>
  </si>
  <si>
    <t>Эл.-св. угольник 45° с наруж. резьбой из латуни, 50-1 1/2"</t>
  </si>
  <si>
    <t>Эл.-св. угольник 45° с наруж. резьбой из латуни, 63-1 1/4"</t>
  </si>
  <si>
    <t>Эл.-св. угольник 45° с наруж. резьбой из латуни, 63-1 1/2"</t>
  </si>
  <si>
    <t>Эл.-св. угольник 45° с наруж. резьбой из латуни, 63-2"</t>
  </si>
  <si>
    <t>Эл.-св. угольник 45° с наруж. резьбой из латуни, 75-2"</t>
  </si>
  <si>
    <t>Эл.-св. угольник 45° с наруж. резьбой из латуни, 75-2 1/2"</t>
  </si>
  <si>
    <t>Эл.-св. угольник 45° с наруж. резьбой из PE 100, 32-1"</t>
  </si>
  <si>
    <t>Эл.-св. угольник 45° с наруж. резьбой из PE 100, 40-1"</t>
  </si>
  <si>
    <t>Эл.-св. угольник 45° с наруж. резьбой из PE 100, 40-1 1/4"</t>
  </si>
  <si>
    <t>Эл.-св. угольник 45° с наруж. резьбой из PE 100, 40-1 1/2"</t>
  </si>
  <si>
    <t>Эл.-св. угольник 45° с наруж. резьбой из PE 100, 50-1 1/2"</t>
  </si>
  <si>
    <t>Эл.-св. угольник 45° с наруж. резьбой из PE 100, 63-1 1/2"</t>
  </si>
  <si>
    <t>Эл.-св. угольник 45° с наруж. резьбой из PE 100, 63-2"</t>
  </si>
  <si>
    <t>Эл.-св. угольник 45° с внутр. резьбой из латуни, 32-1"</t>
  </si>
  <si>
    <t>Эл.-св. угольник 45° с внутр. резьбой из латуни, 40-1"</t>
  </si>
  <si>
    <t>Эл.-св. угольник 45° с внутр. резьбой из латуни, 40-1 1/4"</t>
  </si>
  <si>
    <t>Эл.-св. угольник 45° с внутр. резьбой из латуни, 40-1 1/2"</t>
  </si>
  <si>
    <t>Эл.-св. угольник 45° с внутр. резьбой из латуни, 50-1 1/2"</t>
  </si>
  <si>
    <t>Эл.-св. угольник 45° с внутр. резьбой из латуни, 50-2"</t>
  </si>
  <si>
    <t>Эл.-св. угольник 45° с внутр. резьбой из латуни, 63-2"</t>
  </si>
  <si>
    <t>Эл.-св. угольник 90° с наруж. резьбой из латуни, 25-1/2"</t>
  </si>
  <si>
    <t>Эл.-св. угольник 90° с наруж. резьбой из латуни, 25-3/4"</t>
  </si>
  <si>
    <t>Эл.-св. угольник 90° с наруж. резьбой из латуни, 32-1"</t>
  </si>
  <si>
    <t>Эл.-св. угольник 90° с наруж. резьбой из латуни, 32-1 1/4"</t>
  </si>
  <si>
    <t>Эл.-св. угольник 90° с наруж. резьбой из латуни, 32-1 1/2"</t>
  </si>
  <si>
    <t>Эл.-св. угольник 90° с наруж. резьбой из латуни, 40-1"</t>
  </si>
  <si>
    <t>Эл.-св. угольник 90° с наруж. резьбой из латуни, 40-1 1/4"</t>
  </si>
  <si>
    <t>Эл.-св. угольник 90° с наруж. резьбой из латуни, 40-1 1/2"</t>
  </si>
  <si>
    <t>Эл.-св. угольник 90° с наруж. резьбой из латуни, 50-1"</t>
  </si>
  <si>
    <t>Эл.-св. угольник 90° с наруж. резьбой из латуни, 50-1 1/4"</t>
  </si>
  <si>
    <t>Эл.-св. угольник 90° с наруж. резьбой из латуни, 50-1 1/2"</t>
  </si>
  <si>
    <t>Эл.-св. угольник 90° с наруж. резьбой из латуни, 63-1 1/4"</t>
  </si>
  <si>
    <t>Эл.-св. угольник 90° с наруж. резьбой из латуни, 63-1 1/2"</t>
  </si>
  <si>
    <t>Эл.-св. угольник 90° с наруж. резьбой из латуни, 63-2"</t>
  </si>
  <si>
    <t>Эл.-св. угольник 90° с наруж. резьбой из латуни, 75-2"</t>
  </si>
  <si>
    <t>Эл.-св. угольник 90° с наруж. резьбой из латуни, 75-2 1/2"</t>
  </si>
  <si>
    <t>Эл.-св. угольник 90° с наруж. резьбой из PE 100, 25-3/4"</t>
  </si>
  <si>
    <t>Эл.-св. угольник 90° с наруж. резьбой из PE 100, 32-1"</t>
  </si>
  <si>
    <t>Эл.-св. угольник 90° с наруж. резьбой из PE 100, 40-1"</t>
  </si>
  <si>
    <t>Эл.-св. угольник 90° с наруж. резьбой из PE 100, 40-1 1/4"</t>
  </si>
  <si>
    <t>Эл.-св. угольник 90° с наруж. резьбой из PE 100, 40-1 1/2"</t>
  </si>
  <si>
    <t>Эл.-св. угольник 90° с наруж. резьбой из PE 100, 50-1 1/2"</t>
  </si>
  <si>
    <t>Эл.-св. угольник 90° с наруж. резьбой из PE 100, 63-1 1/2"</t>
  </si>
  <si>
    <t>Эл.-св. угольник 90° с наруж. резьбой из PE 100, 63-2"</t>
  </si>
  <si>
    <t>Эл.-св. угольник 90° с внутр. резьбой из латуни, 20-1/2"</t>
  </si>
  <si>
    <t>Эл.-св. угольник 90° с внутр. резьбой из латуни, 25-3/4"</t>
  </si>
  <si>
    <t>Эл.-св. угольник 90° с внутр. резьбой из латуни, 32-1"</t>
  </si>
  <si>
    <t>Эл.-св. угольник 90° с внутр. резьбой из латуни, 40-1"</t>
  </si>
  <si>
    <t>Эл.-св. угольник 90° с внутр. резьбой из латуни, 40-1 1/4"</t>
  </si>
  <si>
    <t>Эл.-св. угольник 90° с внутр. резьбой из латуни, 40-1 1/2"</t>
  </si>
  <si>
    <t>Эл.-св. угольник 90° с внутр. резьбой из латуни, 50-1 1/2"</t>
  </si>
  <si>
    <t>Эл.-св. угольник 90° с внутр. резьбой из латуни, 50-2"</t>
  </si>
  <si>
    <t>Эл.-св. угольник 90° с внутр. резьбой из латуни, 63-2"</t>
  </si>
  <si>
    <t>Эл.-св. тройник под верт. врезку в магистраль, 63-32</t>
  </si>
  <si>
    <t>Эл.-св. тройник под верт. врезку в магистраль, 63-40</t>
  </si>
  <si>
    <t>Эл.-св. тройник под верт. врезку в магистраль, 63-50</t>
  </si>
  <si>
    <t>Эл.-св. тройник под верт. врезку в магистраль, 63-63</t>
  </si>
  <si>
    <t>Эл.-св. тройник под верт. врезку в магистраль, 75-32</t>
  </si>
  <si>
    <t>Эл.-св. тройник под верт. врезку в магистраль, 75-40</t>
  </si>
  <si>
    <t>Эл.-св. тройник под верт. врезку в магистраль, 75-50</t>
  </si>
  <si>
    <t>Эл.-св. тройник под верт. врезку в магистраль, 75-63</t>
  </si>
  <si>
    <t>Эл.-св. тройник под верт. врезку в магистраль, 90-32</t>
  </si>
  <si>
    <t>Эл.-св. тройник под верт. врезку в магистраль, 90-40</t>
  </si>
  <si>
    <t>Эл.-св. тройник под верт. врезку в магистраль, 90-50</t>
  </si>
  <si>
    <t>Эл.-св. тройник под верт. врезку в магистраль, 90-63</t>
  </si>
  <si>
    <t>Эл.-св. тройник под верт. врезку в магистраль, 110-32</t>
  </si>
  <si>
    <t>Эл.-св. тройник под верт. врезку в магистраль, 110-40</t>
  </si>
  <si>
    <t>Эл.-св. тройник под верт. врезку в магистраль, 110-50</t>
  </si>
  <si>
    <t>Эл.-св. тройник под верт. врезку в магистраль, 110-63</t>
  </si>
  <si>
    <t>Эл.-св. тройник под верт. врезку в магистраль, 110-90</t>
  </si>
  <si>
    <t>Эл.-св. тройник под верт. врезку в магистраль, 125-32</t>
  </si>
  <si>
    <t>Эл.-св. тройник под верт. врезку в магистраль, 125-40</t>
  </si>
  <si>
    <t>Эл.-св. тройник под верт. врезку в магистраль, 125-50</t>
  </si>
  <si>
    <t>Эл.-св. тройник под верт. врезку в магистраль, 125-63</t>
  </si>
  <si>
    <t>Эл.-св. тройник под верт. врезку в магистраль, 125-90</t>
  </si>
  <si>
    <t>Эл.-св. тройник под верт. врезку в магистраль, 160-32</t>
  </si>
  <si>
    <t>Эл.-св. тройник под верт. врезку в магистраль, 160-40</t>
  </si>
  <si>
    <t>Эл.-св. тройник под верт. врезку в магистраль, 160-50</t>
  </si>
  <si>
    <t>Эл.-св. тройник под верт. врезку в магистраль, 160-63</t>
  </si>
  <si>
    <t>Эл.-св. тройник под верт. врезку в магистраль, 160-90</t>
  </si>
  <si>
    <t>Эл.-св. тройник под гор. врезку в магистраль под давлением, 40-20</t>
  </si>
  <si>
    <t>Эл.-св. тройник под гор. врезку в магистраль под давлением, 40-32</t>
  </si>
  <si>
    <t>Эл.-св. тройник под гор. врезку в магистраль под давлением, 50-20</t>
  </si>
  <si>
    <t>Эл.-св. тройник под гор. врезку в магистраль под давлением, 50-25</t>
  </si>
  <si>
    <t>Эл.-св. тройник под гор. врезку в магистраль под давлением, 50-32</t>
  </si>
  <si>
    <t>Эл.-св. тройник под гор. врезку в магистраль под давлением, 63-20</t>
  </si>
  <si>
    <t>Эл.-св. тройник под гор. врезку в магистраль под давлением, 63-25</t>
  </si>
  <si>
    <t>Эл.-св. тройник под гор. врезку в магистраль под давлением, 63-32</t>
  </si>
  <si>
    <t>Эл.-св. тройник под гор. врезку в магистраль под давлением, 63-40</t>
  </si>
  <si>
    <t>Эл.-св. тройник под гор. врезку в магистраль под давлением, 63-50</t>
  </si>
  <si>
    <t>Эл.-св. тройник под гор. врезку в магистраль под давлением, 63-63</t>
  </si>
  <si>
    <t>Эл.-св. тройник под гор. врезку в магистраль под давлением, 75-32</t>
  </si>
  <si>
    <t>Эл.-св. тройник под гор. врезку в магистраль под давлением, 75-40</t>
  </si>
  <si>
    <t>Эл.-св. тройник под гор. врезку в магистраль под давлением, 75-50</t>
  </si>
  <si>
    <t>Эл.-св. тройник под гор. врезку в магистраль под давлением, 75-63</t>
  </si>
  <si>
    <t>Эл.-св. тройник под гор. врезку в магистраль под давлением, 90-25</t>
  </si>
  <si>
    <t>Эл.-св. тройник под гор. врезку в магистраль под давлением, 90-32</t>
  </si>
  <si>
    <t>Эл.-св. тройник под гор. врезку в магистраль под давлением, 90-40</t>
  </si>
  <si>
    <t>Эл.-св. тройник под гор. врезку в магистраль под давлением, 90-50</t>
  </si>
  <si>
    <t>Эл.-св. тройник под гор. врезку в магистраль под давлением, 90-63</t>
  </si>
  <si>
    <t>Эл.-св. тройник под гор. врезку в магистраль под давлением, 110-32</t>
  </si>
  <si>
    <t>Эл.-св. тройник под гор. врезку в магистраль под давлением, 110-40</t>
  </si>
  <si>
    <t>Эл.-св. тройник под гор. врезку в магистраль под давлением, 110-50</t>
  </si>
  <si>
    <t>Эл.-св. тройник под гор. врезку в магистраль под давлением, 110-63</t>
  </si>
  <si>
    <t>Эл.-св. тройник под гор. врезку в магистраль под давлением, 125-32</t>
  </si>
  <si>
    <t>Эл.-св. тройник под гор. врезку в магистраль под давлением, 125-40</t>
  </si>
  <si>
    <t>Эл.-св. тройник под гор. врезку в магистраль под давлением, 125-50</t>
  </si>
  <si>
    <t>Эл.-св. тройник под гор. врезку в магистраль под давлением, 125-63</t>
  </si>
  <si>
    <t>Эл.-св. тройник под гор. врезку в магистраль под давлением, 160-32</t>
  </si>
  <si>
    <t>Эл.-св. тройник под гор. врезку в магистраль под давлением, 160-40</t>
  </si>
  <si>
    <t>Эл.-св. тройник под гор. врезку в магистраль под давлением, 160-50</t>
  </si>
  <si>
    <t>Эл.-св. тройник под гор. врезку в магистраль под давлением, 160-63</t>
  </si>
  <si>
    <t xml:space="preserve">Эл.-св. концевик PE под фланец, 32 </t>
  </si>
  <si>
    <t xml:space="preserve">Эл.-св. концевик PE под фланец, 40 </t>
  </si>
  <si>
    <t xml:space="preserve">Эл.-св. концевик PE под фланец, 50 </t>
  </si>
  <si>
    <t xml:space="preserve">Эл.-св. концевик PE под фланец, 63 </t>
  </si>
  <si>
    <t xml:space="preserve">Эл.-св. концевик PE под фланец, 75 </t>
  </si>
  <si>
    <t xml:space="preserve">Эл.-св. концевик PE под фланец, 90 </t>
  </si>
  <si>
    <t xml:space="preserve">Эл.-св. концевик PE под фланец, 110 </t>
  </si>
  <si>
    <t>Эл.-св. концевик PE под фланец, 125</t>
  </si>
  <si>
    <t xml:space="preserve">Эл.-св. концевик PE под фланец, 160 </t>
  </si>
  <si>
    <t>Фланец PP со стальным вкладышем, 32</t>
  </si>
  <si>
    <t>Фланец PP со стальным вкладышем, 40</t>
  </si>
  <si>
    <t>Фланец PP со стальным вкладышем, 50</t>
  </si>
  <si>
    <t>Фланец PP со стальным вкладышем, 63</t>
  </si>
  <si>
    <t>Фланец PP со стальным вкладышем, 75</t>
  </si>
  <si>
    <t>Фланец PP со стальным вкладышем, 90</t>
  </si>
  <si>
    <t>Фланец PP со стальным вкладышем, 110</t>
  </si>
  <si>
    <t>Фланец PP со стальным вкладышем, 125</t>
  </si>
  <si>
    <t>Фланец PP со стальным вкладышем, 160</t>
  </si>
  <si>
    <t>Профиль-уплотнение из NPR 32/25</t>
  </si>
  <si>
    <t>Профиль-уплотнение из NPR 40/32</t>
  </si>
  <si>
    <t>Профиль-уплотнение из NPR 50/40</t>
  </si>
  <si>
    <t>Профиль-уплотнение из NPR 63/50</t>
  </si>
  <si>
    <t>Профиль-уплотнение из NPR 75/65</t>
  </si>
  <si>
    <t>Профиль-уплотнение из NPR 90/80</t>
  </si>
  <si>
    <t>Профиль-уплотнение из NPR 110/100</t>
  </si>
  <si>
    <t>Профиль-уплотнение из NPR 125/100</t>
  </si>
  <si>
    <t>Профиль-уплотнение из NPR 160/150</t>
  </si>
  <si>
    <t>4.6 Трубы RAUPEX, SDR 7,4</t>
  </si>
  <si>
    <t>2 Серия, SDR 7,4 (толстостенная)</t>
  </si>
  <si>
    <t>RAUPEX-A-труба, SDR 7,4, серая, толстостенная</t>
  </si>
  <si>
    <t>Труба для промышленности RAUPEX A 20x2,8 прям.отрезки 5м</t>
  </si>
  <si>
    <t>Труба для промышленности RAUPEX A 25x3,5 прям.отрезки 5м</t>
  </si>
  <si>
    <t>Труба для промышленности RAUPEX A 25x3,5 бухта 100м</t>
  </si>
  <si>
    <t>Труба для промышленности RAUPEX A 32x4,4 прям.отрезки 5м</t>
  </si>
  <si>
    <t>Труба для промышленности RAUPEX A 40x5,5 прям.отрезки 5м</t>
  </si>
  <si>
    <t>Труба для промышленности RAUPEX A 50x6,9 прям.отрезки 5м</t>
  </si>
  <si>
    <t>Труба для промышленности RAUPEX A 63x8,7 прям.отрезки 5м</t>
  </si>
  <si>
    <t>RAUPEX-R-труба, SDR 7,4, зелёная, толстостенная</t>
  </si>
  <si>
    <t>Труба для промышленности RAUPEX K 20x2,8 прям.отрезки 5м</t>
  </si>
  <si>
    <t>Труба для промышленности RAUPEX K 25x3,5 прям.отрезки 5м</t>
  </si>
  <si>
    <t>Труба для промышленности RAUPEX K 32x4,4 прям.отрезки 5м</t>
  </si>
  <si>
    <t>Труба для промышленности RAUPEX K 40x5,5 прям.отрезки 5м</t>
  </si>
  <si>
    <t>Труба для промышленности RAUPEX K 50x6,9 прям.отрезки 5м</t>
  </si>
  <si>
    <t>Труба для промышленности RAUPEX K 63x8,7 прям.отрезки 5м</t>
  </si>
  <si>
    <t>Фиксирующий жёлоб 20, отрезки 4,895м</t>
  </si>
  <si>
    <t>Фиксирующий жёлоб 25, отрезки 4,895м</t>
  </si>
  <si>
    <t>Фиксирующий жёлоб 32, отрезки 4,885м</t>
  </si>
  <si>
    <t>Фиксирующий жёлоб 40, отрезки 4,875м</t>
  </si>
  <si>
    <t>Фиксирующий жёлоб 50, отрезки 4,865м</t>
  </si>
  <si>
    <t>Фиксирующий жёлоб 63, отрезки 4,850м</t>
  </si>
  <si>
    <t>4.7 Техника соединения монтажная гильза, SDR 7,4</t>
  </si>
  <si>
    <t>Монтажная гильза 20х2,8</t>
  </si>
  <si>
    <t>Монтажная гильза 25х3,5</t>
  </si>
  <si>
    <t>Монтажная гильза 32х4,4</t>
  </si>
  <si>
    <t>Монтажная гильза 40х5,5</t>
  </si>
  <si>
    <t>Монтажная гильза 50х6,9</t>
  </si>
  <si>
    <t>Монтажная гильза 63х8,6</t>
  </si>
  <si>
    <t>Муфта соединительная равнопроходная 20х2,8</t>
  </si>
  <si>
    <t>Муфта соединительная равнопроходная 25х3,5</t>
  </si>
  <si>
    <t>Муфта соединительная равнопроходная 32х4,4</t>
  </si>
  <si>
    <t>Муфта соединительная равнопроходная 40х5,5</t>
  </si>
  <si>
    <t>Муфта соединительная равнопроходная 50х6,9</t>
  </si>
  <si>
    <t>Муфта соединительная равнопроходная 63х8,6</t>
  </si>
  <si>
    <t>Муфта соединительная переходная 25х3,5 - 20х2,8</t>
  </si>
  <si>
    <t>Муфта соединительная переходная 32х4,4 - 25х3,5</t>
  </si>
  <si>
    <t>Муфта соединительная переходная 40х5,5 - 25х4,4</t>
  </si>
  <si>
    <t>Муфта соединительная переходная 40х5,5 - 32х4,4</t>
  </si>
  <si>
    <t>Муфта соединительная переходная 50х6,9 - 32х4,4</t>
  </si>
  <si>
    <t>Муфта соединительная переходная 50х6,9 - 40х5,5</t>
  </si>
  <si>
    <t>Муфта соединительная переходная 63х8,6 - 50х6,9</t>
  </si>
  <si>
    <t>Переходник с наружной резьбой 20x2,8- R 3/4 L15</t>
  </si>
  <si>
    <t>Переходник с наружной резьбой 20x2,8- R1 L18</t>
  </si>
  <si>
    <t xml:space="preserve">Переходник с наружной резьбой 25x3,5- R 1/2 </t>
  </si>
  <si>
    <t>Переходник с наружной резьбой 25x3,5- R 3/4 L18 (LX+G)</t>
  </si>
  <si>
    <t>Переходник с наружной резьбой 25x3,5- R1/ L22</t>
  </si>
  <si>
    <t xml:space="preserve">Переходник с наружной резьбой 32x4,4- R 3/4 </t>
  </si>
  <si>
    <t>Переходник с наружной резьбой 32x4,4- R1/L22 (LX+G)</t>
  </si>
  <si>
    <t>Переходник с наружной резьбой 40x5,5- R1 1/4 (LX+G)</t>
  </si>
  <si>
    <t xml:space="preserve">Переходник с наружной резьбой 50х6,9- R1 1/2 </t>
  </si>
  <si>
    <t xml:space="preserve">Переходник с наружной резьбой 63x8,6- R2 </t>
  </si>
  <si>
    <t>Переходник 32x4,4- G 1/2</t>
  </si>
  <si>
    <t>Переходник 32x4,4- G 3/4</t>
  </si>
  <si>
    <t>Переходник 32x4,4- G1</t>
  </si>
  <si>
    <t>Переходник с внутренней резьбой 20х2,8- Rp 1/2</t>
  </si>
  <si>
    <t>Переходник с внутренней резьбой 20х2,8- Rp 3/4</t>
  </si>
  <si>
    <t>Переходник с внутренней резьбой 25х3,5- Rp 3/4</t>
  </si>
  <si>
    <t>Переходник с внутренней резьбой 32x4,4- Rp 3/4</t>
  </si>
  <si>
    <t>Переходник с внутренней резьбой 32x4,4- Rp 1</t>
  </si>
  <si>
    <t>Переходник с внутренней резьбой 40-Rр 1 1/4</t>
  </si>
  <si>
    <t>Переходник с накидной гайкой 20x2,8-G 1/2</t>
  </si>
  <si>
    <t>Переходник с накидной гайкой 20x2,8-G 3/4</t>
  </si>
  <si>
    <t>Переходник с накидной гайкой 25x3,5-G 3/4</t>
  </si>
  <si>
    <t>Переходник с накидной гайкой 25x3,5-G 1</t>
  </si>
  <si>
    <t>Переходник с накидной гайкой 32x4,4-G 1</t>
  </si>
  <si>
    <t>Переход на сварное соеднинение 25 x 3,5 - 26,9 x 2,3</t>
  </si>
  <si>
    <t>Переход на сварное соеднинение 32 x 4,4 - 33,7 x 2,6</t>
  </si>
  <si>
    <t>Переход на сварное соеднинение 40 x 5,5 - 42,4 x 2,6</t>
  </si>
  <si>
    <t>Переход на сварное соеднинение 50 x 6,9 - 48,3 x 2,6</t>
  </si>
  <si>
    <t>Переход на сварное соеднинение 63 x 8,6 - 60,3 x 2,9</t>
  </si>
  <si>
    <t>Тройник равнопроходный 20х2,8</t>
  </si>
  <si>
    <t>Тройник равнопроходный 25х3,5</t>
  </si>
  <si>
    <t>Тройник равнопроходный 32х4,4</t>
  </si>
  <si>
    <t>Тройник равнопроходный 40х5,5</t>
  </si>
  <si>
    <t>Тройник равнопроходный 50х6,9</t>
  </si>
  <si>
    <t>Тройник равнопроходный 63х8,7</t>
  </si>
  <si>
    <t>Тройник с уменьшенным боковым проходом 25-20-25</t>
  </si>
  <si>
    <t>Тройник с уменьшенным боковым проходом 32-20-32</t>
  </si>
  <si>
    <t>Тройник с уменьшенным боковым проходом 32-25-32</t>
  </si>
  <si>
    <t>Тройник с уменьшенным боковым проходом 40-20-40</t>
  </si>
  <si>
    <t>Тройник с уменьшенным боковым проходом 40-25-40</t>
  </si>
  <si>
    <t>Тройник с уменьшенным боковым проходом 40-32-40</t>
  </si>
  <si>
    <t>Тройник с уменьшенным боковым проходом 50-25-50</t>
  </si>
  <si>
    <t>Тройник с уменьшенным боковым проходом 50-32-50</t>
  </si>
  <si>
    <t>Тройник с уменьшенным боковым проходом 50-40-50</t>
  </si>
  <si>
    <t>Тройник с уменьшенным боковым проходом 63-32-63</t>
  </si>
  <si>
    <t>Тройник с уменьшенным боковым проходом 63-50-63</t>
  </si>
  <si>
    <t>Тройник 25-25-20</t>
  </si>
  <si>
    <t>Тройник 32-32-25</t>
  </si>
  <si>
    <t>Тройник 25-20-20</t>
  </si>
  <si>
    <t>Тройник 32-20-25</t>
  </si>
  <si>
    <t>Тройник 32-25-25</t>
  </si>
  <si>
    <t>Тройник 40-32-32</t>
  </si>
  <si>
    <t>Тройник 50-32-40</t>
  </si>
  <si>
    <t>Тройник 20-25-20</t>
  </si>
  <si>
    <t>Тройник с гор. бок. отводом под 90°, 32-32-32</t>
  </si>
  <si>
    <t>Тройник с гор. бок. отводом под 45°, 32-32-32</t>
  </si>
  <si>
    <t>Тройник с гор. бок. отводом под 315°, 32-32-32</t>
  </si>
  <si>
    <t>Тройник с внутренней резьбой 25x3,5 -Rp 3/4-25</t>
  </si>
  <si>
    <t>Тройник с внутренней резьбой 32х4,4 -Rp 3/4-32</t>
  </si>
  <si>
    <t>Тройник с внутренней резьбой 32х4,4 -Rp1-32</t>
  </si>
  <si>
    <t>Тройник с внутренней резьбой 32х4,4 -Rp 3/4-25</t>
  </si>
  <si>
    <t>Тройник с резьб. подключ. под евро-конус на бок. отводе, 32-G 1/2-32</t>
  </si>
  <si>
    <t>Тройник с резьб. подключ. под евро-конус на бок. отводе, 32-G 3/4-32</t>
  </si>
  <si>
    <t>Угольник 45°, 32x4,4</t>
  </si>
  <si>
    <t>Угольник 45°, 50x6,9</t>
  </si>
  <si>
    <t>Угольник 45°, 63x8,7</t>
  </si>
  <si>
    <t>Угольник 90°, 20х2,8</t>
  </si>
  <si>
    <t>Угольник 90°, 25x3,5</t>
  </si>
  <si>
    <t>Угольник 90°, 32x4,4</t>
  </si>
  <si>
    <t>Угольник 90°, 40x5,5</t>
  </si>
  <si>
    <t>Угольник 90°, 50x6,9</t>
  </si>
  <si>
    <t>Угольник 90°, 63x8,7</t>
  </si>
  <si>
    <t>Уголок-переходник с наружной резьбой 20x2,8-R 1/2</t>
  </si>
  <si>
    <t>Уголок-переходник с наружной резьбой 20x2,8-R 3/4</t>
  </si>
  <si>
    <t>Уголок-переходник с наружной резьбой 25x3,5-R 3/4</t>
  </si>
  <si>
    <t>Уголок-переходник с наружной резьбой 32x4,4-R 1</t>
  </si>
  <si>
    <t>Переходник с внутренней резьбой 25х3,5- Rp1</t>
  </si>
  <si>
    <t>Угольник настенный с коротким нарезным патрубком 20x2,8-Rp 1/2</t>
  </si>
  <si>
    <t>Угольник настенный с коротким нарезным патрубком 20x2,8-Rp 3/4</t>
  </si>
  <si>
    <t>Угольник настенный с коротким нарезным патрубком 25x3,5-Rp 3/4</t>
  </si>
  <si>
    <t>Фиксатор поворота с кольцами 90°, 20</t>
  </si>
  <si>
    <t>Фиксатор поворота с кольцами 90°, 25</t>
  </si>
  <si>
    <t>Фиксатор поворота с кольцами 90°, 32</t>
  </si>
  <si>
    <t>Фиксатор поворота с кольцами 45°, 20</t>
  </si>
  <si>
    <t>Фиксатор поворота с кольцами 45°, 25</t>
  </si>
  <si>
    <t>Фиксатор поворота с кольцами 45°, 32</t>
  </si>
  <si>
    <t>Муфта соединительная равнопроходная 50-50 RX+</t>
  </si>
  <si>
    <t>Муфта соединительная равнопроходная 63-63 RX+</t>
  </si>
  <si>
    <t>Муфта соединительная переходная 40-25 RX+</t>
  </si>
  <si>
    <t>Муфта соединительная переходная 50-32 RX+</t>
  </si>
  <si>
    <t>Муфта соединительная переходная 50-40 RX+</t>
  </si>
  <si>
    <t>Муфта соединительная переходная 63-50 RX+</t>
  </si>
  <si>
    <t>Переходник с наружной резьбой 20-R 1/2 RX+</t>
  </si>
  <si>
    <t>Переходник с наружной резьбой 20-R 3/4 RX+</t>
  </si>
  <si>
    <t>Переходник с наружной резьбой 20-R 1 RX+</t>
  </si>
  <si>
    <t>Переходник с наружной резьбой 25-R 3/4 RX+</t>
  </si>
  <si>
    <t>Переходник с наружной резьбой 25-R 1 RX+</t>
  </si>
  <si>
    <t>Переходник с наружной резьбой 32-R 3/4 RX+</t>
  </si>
  <si>
    <t>Переходник с наружной резьбой 32-R 1 RX+</t>
  </si>
  <si>
    <t>Переходник с наружной резьбой 32-R 1 1/4 RX+</t>
  </si>
  <si>
    <t>Переходник с наружной резьбой 40-R 1 1/4 RX+</t>
  </si>
  <si>
    <t>Переходник с наружной резьбой 50-R 1 1/4 RX+</t>
  </si>
  <si>
    <t>Переходник с наружной резьбой 50-R 1 1/2 RX+</t>
  </si>
  <si>
    <t>Переходник с наружной резьбой 63-R 2 RX+</t>
  </si>
  <si>
    <t>Переходник с внутренней резьбой 20-Rp 1/2 RX+</t>
  </si>
  <si>
    <t>Переходник с внутренней резьбой 25-Rp 1/2 RX+</t>
  </si>
  <si>
    <t>Переходник с внутренней резьбой 25-Rp 1 RX+</t>
  </si>
  <si>
    <t>Переходник с внутренней резьбой 32-Rp 3/4 RX+</t>
  </si>
  <si>
    <t>Переходник с внутренней резьбой 32-Rp 1 RX+</t>
  </si>
  <si>
    <t>Переходник с внутренней резьбой 40-Rp 1 1/4 RX+</t>
  </si>
  <si>
    <t>Тройник равнопроходный 50-50-50 RX+</t>
  </si>
  <si>
    <t>Тройник равнопроходный 63-63-63 RX+</t>
  </si>
  <si>
    <t>Тройник с уменьшенным боковым проходом 50-20-50 RX+</t>
  </si>
  <si>
    <t>Тройник с уменьшенным боковым проходом 50-25-50 RX+</t>
  </si>
  <si>
    <t>Тройник с уменьшенным боковым проходом 50-40-50 RX+</t>
  </si>
  <si>
    <t>Тройник с уменьшенным боковым проходом 63-32-63 RX+</t>
  </si>
  <si>
    <t>Тройник с внутр. резьбой на боков. проходе 25-Rp 1/2-25 RX+</t>
  </si>
  <si>
    <t>Тройник с внутр. резьбой на боков. проходе 25-Rp 3/4-25 RX+</t>
  </si>
  <si>
    <t>Тройник с внутр. резьбой на боков. проходе 32-Rp 3/4-25 RX+</t>
  </si>
  <si>
    <t>Тройник с внутр. резьбой на боков. проходе 32-Rp 1-32 RX+</t>
  </si>
  <si>
    <t>Тройник с внутр. резьбой на боков. проходе 40-Rp 1-40 RX+</t>
  </si>
  <si>
    <t>Тройник с внутр. резьбой на боков. проходе 50-Rp 1-50 RX+</t>
  </si>
  <si>
    <t>Угольник-переходник с наружной резьбой 20-R1/2 RX+</t>
  </si>
  <si>
    <t>Угольник-переходник с наружной резьбой 20-R 3/4 RX+</t>
  </si>
  <si>
    <t>Угольник-переходник с наружной резьбой 25-R3/4 RX+</t>
  </si>
  <si>
    <t>Угольник-переходник с наружной резьбой 32-R3/4 RX+</t>
  </si>
  <si>
    <t>Угольник-переходник с наружной резьбойй 32-R1 RX+</t>
  </si>
  <si>
    <t>Угольник настенный с наружной резьбой 20x2,8-R 1/2 RX+</t>
  </si>
  <si>
    <t>Угольник настенный с наружной резьбой 20-R 3/4 RX+</t>
  </si>
  <si>
    <t>4.8 Техника крепления для труб RAUPEX</t>
  </si>
  <si>
    <t>Клипса для крепления трубы 20</t>
  </si>
  <si>
    <t>Клипса для крепления трубы 25</t>
  </si>
  <si>
    <t>Клипса для крепления трубы 32</t>
  </si>
  <si>
    <t>Клипса с защелкой для крепления трубы 40</t>
  </si>
  <si>
    <t>Клипса с защелкой для крепления трубы 50</t>
  </si>
  <si>
    <t>Клипса с защелкой для крепления трубы 63</t>
  </si>
  <si>
    <t>Клипса с защелкой для крепления трубы 75</t>
  </si>
  <si>
    <t>Клипса с защелкой для крепления трубы 90</t>
  </si>
  <si>
    <t>Клипса с защелкой для крепления трубы 110</t>
  </si>
  <si>
    <t>Клипса с защелкой для крепления трубы 125</t>
  </si>
  <si>
    <t>Клипса с защелкой для крепления трубы 160</t>
  </si>
  <si>
    <t>Распорка для соединения с клеммами для крепления труб</t>
  </si>
  <si>
    <t>4.9 Техника быстрого крепления и комплектующие пневмотических систем</t>
  </si>
  <si>
    <t>Быстрый разъем NP 7.2 пластмассовый с внутр. резьбой G1/2"</t>
  </si>
  <si>
    <t>Быстрый разъем NP 7.2 пластмассовый с наруж. резьбой G1/2"</t>
  </si>
  <si>
    <t>Быстрый разъем NP 7.2 пластмассовый для шланга Dу 9мм</t>
  </si>
  <si>
    <t>Быстрый разъем NP 7.2 пластмассовый для шланга Dу 13мм</t>
  </si>
  <si>
    <t>Распред. коллектор с 2 быстр. разъемами NP 7.2 и наруж. резьбой G1/2"</t>
  </si>
  <si>
    <t xml:space="preserve">Розетка с 3 отводами вн. рез. G1/2" для сжат. воздуха и штуцером 32x2,9 под надвижную гильзу </t>
  </si>
  <si>
    <t>Розетка с 3 отводами вн. рез. G1/2" для сжат. воздуха и вн. рез. G1"</t>
  </si>
  <si>
    <t>Кронштейн стальной для тройной розетки сжатого воздуха</t>
  </si>
  <si>
    <t>Заглушка с нар. рез. G1/2" для розетки сжатого воздуха</t>
  </si>
  <si>
    <t>Штуцер стальной NP 7.2 для подключения шланга Dу 9мм</t>
  </si>
  <si>
    <t>Штуцер стальной NP 7.2 для подключения шланга Dу 13мм</t>
  </si>
  <si>
    <t>Штуцер стальной NP 7.2 с нар. рез. G1/4"</t>
  </si>
  <si>
    <t>Штуцер стальной NP 7.2 с нар. рез. G3/8"</t>
  </si>
  <si>
    <t>Штуцер стальной NP 7.2 с нар. рез. G 1/2"</t>
  </si>
  <si>
    <t>Пружинное кольцо для закрепления шланга Dу 9мм на штуцере</t>
  </si>
  <si>
    <t>Пружинное кольцо для закрепления шланга Dу 13мм на штуцере</t>
  </si>
  <si>
    <t>Пневмопистолет с метал. форсункой с вн. рез. G1/4"</t>
  </si>
  <si>
    <t>Шланг ПВХ с арм. нитью RAUFILAM E, Dвн. 9x3мм, в рулоне 50 м</t>
  </si>
  <si>
    <t>Шланг ПВХ с арм. нитью RAUFILAM E, Dвн. 13.2x3.3мм, в рулоне 50 м</t>
  </si>
  <si>
    <t>Быстрый разъем NP 7.2 со штуцером под надвиж. гильзу 20x1,9мм, SDR 11</t>
  </si>
  <si>
    <t>ИТОГО :</t>
  </si>
  <si>
    <t xml:space="preserve">Rabattsatz intern für Nettopreiskalkulation zur Eingabe ALN </t>
  </si>
  <si>
    <t>Über Formel: "Bruttopreis*(1-Rabattsatz)"</t>
  </si>
  <si>
    <t>Effektiver Netto-Rabattsatz des Kunden</t>
  </si>
  <si>
    <t>Nur relevant bei Rückfrage des Kunden</t>
  </si>
  <si>
    <t>ПРОЕКТ</t>
  </si>
  <si>
    <t>СИСТЕМА</t>
  </si>
  <si>
    <t>Дата</t>
  </si>
  <si>
    <t>Расчет маржинальности/наценки дистрибьютера</t>
  </si>
  <si>
    <t>Скидка на объект</t>
  </si>
  <si>
    <t xml:space="preserve">Скидка </t>
  </si>
  <si>
    <t>Скидка за предоплату / Skonto</t>
  </si>
  <si>
    <t>Курс ЕВРО</t>
  </si>
  <si>
    <t>РУБ</t>
  </si>
  <si>
    <t>Скидка дистрибьютера</t>
  </si>
  <si>
    <t>Наценка</t>
  </si>
  <si>
    <t>Маржа,%</t>
  </si>
  <si>
    <t>Маржа, руб</t>
  </si>
  <si>
    <t>Цена нетто
руб
с НДС</t>
  </si>
  <si>
    <t>Сумма нетто
руб
с НДС</t>
  </si>
  <si>
    <t xml:space="preserve">3.2 Системы для обогрева/охлаждения поверхностей для случаев особого применения </t>
  </si>
  <si>
    <t xml:space="preserve"> Напольное отопление для промышленных зданий в армированном бетоне</t>
  </si>
  <si>
    <t xml:space="preserve"> Напольное отопление для промышленных зданий в сталефибробетоне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</si>
</sst>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###\-###"/>
    <numFmt numFmtId="165" formatCode="000\ 000"/>
    <numFmt numFmtId="166" formatCode="0.0"/>
    <numFmt numFmtId="167" formatCode="#\ ##0"/>
    <numFmt numFmtId="168" formatCode="#\ ##0.00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name val="Arial MT"/>
    </font>
    <font>
      <sz val="12"/>
      <name val="Arial"/>
      <family val="2"/>
      <charset val="204"/>
    </font>
    <font>
      <b/>
      <sz val="10"/>
      <name val="Arial"/>
      <family val="2"/>
      <charset val="204"/>
    </font>
    <font>
      <sz val="10"/>
      <color rgb="FFFFFFFF"/>
      <name val="Arial"/>
      <family val="2"/>
      <charset val="204"/>
    </font>
    <font>
      <sz val="10"/>
      <name val="Arial"/>
      <family val="2"/>
      <charset val="204"/>
    </font>
    <font>
      <sz val="10"/>
      <color indexed="18"/>
      <name val="Arial"/>
      <family val="2"/>
      <charset val="204"/>
    </font>
    <font>
      <b/>
      <sz val="28"/>
      <name val="Arial"/>
      <family val="2"/>
      <charset val="204"/>
    </font>
    <font>
      <b/>
      <sz val="14"/>
      <name val="Arial"/>
      <family val="2"/>
      <charset val="204"/>
    </font>
    <font>
      <b/>
      <sz val="12"/>
      <color indexed="12"/>
      <name val="Arial"/>
      <family val="2"/>
      <charset val="204"/>
    </font>
    <font>
      <sz val="10"/>
      <name val="Arial Cyr"/>
      <charset val="204"/>
    </font>
    <font>
      <b/>
      <sz val="12"/>
      <name val="Arial"/>
      <family val="2"/>
      <charset val="204"/>
    </font>
    <font>
      <b/>
      <sz val="10"/>
      <color rgb="FF0033CC"/>
      <name val="Arial"/>
      <family val="2"/>
      <charset val="204"/>
    </font>
    <font>
      <b/>
      <sz val="10"/>
      <color indexed="12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MS Sans Serif"/>
      <family val="2"/>
    </font>
    <font>
      <sz val="12"/>
      <color indexed="8"/>
      <name val="Arial MT"/>
    </font>
    <font>
      <b/>
      <sz val="10"/>
      <color indexed="10"/>
      <name val="Arial"/>
      <family val="2"/>
      <charset val="204"/>
    </font>
    <font>
      <b/>
      <sz val="9"/>
      <name val="Arial"/>
      <family val="2"/>
      <charset val="204"/>
    </font>
    <font>
      <sz val="9"/>
      <color rgb="FFFFFFFF"/>
      <name val="Arial"/>
      <family val="2"/>
      <charset val="204"/>
    </font>
    <font>
      <sz val="9"/>
      <name val="Arial"/>
      <family val="2"/>
      <charset val="204"/>
    </font>
    <font>
      <b/>
      <sz val="9"/>
      <color indexed="12"/>
      <name val="Arial"/>
      <family val="2"/>
      <charset val="204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26"/>
      <name val="Arial"/>
      <family val="2"/>
      <charset val="204"/>
    </font>
    <font>
      <b/>
      <u/>
      <sz val="9"/>
      <name val="Arial"/>
      <family val="2"/>
      <charset val="204"/>
    </font>
    <font>
      <sz val="9"/>
      <color indexed="18"/>
      <name val="Arial"/>
      <family val="2"/>
      <charset val="204"/>
    </font>
    <font>
      <b/>
      <sz val="9"/>
      <name val="Arial Cyr"/>
      <charset val="204"/>
    </font>
    <font>
      <sz val="9"/>
      <name val="Arial Cyr"/>
      <family val="2"/>
      <charset val="204"/>
    </font>
    <font>
      <sz val="10"/>
      <name val="Courier"/>
      <family val="3"/>
    </font>
    <font>
      <sz val="10"/>
      <name val="Arial Narrow"/>
      <family val="2"/>
      <charset val="204"/>
    </font>
    <font>
      <sz val="10"/>
      <color theme="0"/>
      <name val="Arial"/>
      <family val="2"/>
      <charset val="204"/>
    </font>
    <font>
      <sz val="10"/>
      <color rgb="FFFFFF99"/>
      <name val="Arial"/>
      <family val="2"/>
      <charset val="204"/>
    </font>
    <font>
      <b/>
      <sz val="10"/>
      <color rgb="FFFFFF99"/>
      <name val="Arial"/>
      <family val="2"/>
      <charset val="204"/>
    </font>
    <font>
      <sz val="10"/>
      <color rgb="FF0000FF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theme="1"/>
      <name val="Arial"/>
      <family val="2"/>
    </font>
    <font>
      <sz val="10"/>
      <color theme="1"/>
      <name val="Arial Narrow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56"/>
      <name val="Arial"/>
      <family val="2"/>
      <charset val="204"/>
    </font>
    <font>
      <b/>
      <i/>
      <sz val="10"/>
      <color rgb="FF0000FF"/>
      <name val="Arial"/>
      <family val="2"/>
      <charset val="204"/>
    </font>
    <font>
      <b/>
      <sz val="12"/>
      <color indexed="10"/>
      <name val="Arial"/>
      <family val="2"/>
      <charset val="204"/>
    </font>
    <font>
      <b/>
      <sz val="10"/>
      <name val="Arial Cyr"/>
      <family val="2"/>
      <charset val="204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  <charset val="204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1.5"/>
      <color rgb="FF000000"/>
      <name val="Arial"/>
      <family val="2"/>
      <charset val="204"/>
    </font>
    <font>
      <sz val="11.5"/>
      <color theme="1"/>
      <name val="Arial"/>
      <family val="2"/>
      <charset val="204"/>
    </font>
    <font>
      <sz val="11.5"/>
      <name val="Arial"/>
      <family val="2"/>
      <charset val="204"/>
    </font>
    <font>
      <b/>
      <sz val="10"/>
      <color rgb="FF333333"/>
      <name val="Arial"/>
      <family val="2"/>
      <charset val="204"/>
    </font>
    <font>
      <sz val="12"/>
      <color indexed="12"/>
      <name val="Arial"/>
      <family val="2"/>
      <charset val="204"/>
    </font>
    <font>
      <sz val="12"/>
      <color rgb="FFFF0000"/>
      <name val="Arial"/>
      <family val="2"/>
      <charset val="204"/>
    </font>
    <font>
      <sz val="8"/>
      <name val="Calibri"/>
      <family val="2"/>
      <scheme val="minor"/>
    </font>
    <font>
      <b/>
      <sz val="8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sz val="8"/>
      <color rgb="FFFF0000"/>
      <name val="Calibri"/>
      <family val="2"/>
      <scheme val="minor"/>
    </font>
    <font>
      <b/>
      <sz val="8.5"/>
      <color rgb="FFFF0066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9" fontId="3" fillId="0" borderId="0" applyFont="0" applyFill="0" applyBorder="0" applyAlignment="0" applyProtection="0"/>
    <xf numFmtId="0" fontId="4" fillId="0" borderId="0"/>
    <xf numFmtId="0" fontId="8" fillId="0" borderId="0"/>
    <xf numFmtId="0" fontId="13" fillId="0" borderId="0"/>
    <xf numFmtId="0" fontId="18" fillId="0" borderId="0"/>
    <xf numFmtId="0" fontId="19" fillId="0" borderId="0"/>
    <xf numFmtId="0" fontId="8" fillId="0" borderId="0"/>
    <xf numFmtId="0" fontId="4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33" fillId="0" borderId="0"/>
    <xf numFmtId="0" fontId="4" fillId="0" borderId="0"/>
    <xf numFmtId="0" fontId="2" fillId="0" borderId="0"/>
    <xf numFmtId="0" fontId="2" fillId="0" borderId="0"/>
    <xf numFmtId="9" fontId="8" fillId="0" borderId="0" applyFont="0" applyFill="0" applyBorder="0" applyAlignment="0" applyProtection="0"/>
    <xf numFmtId="0" fontId="18" fillId="0" borderId="0"/>
    <xf numFmtId="0" fontId="32" fillId="0" borderId="0"/>
    <xf numFmtId="0" fontId="32" fillId="0" borderId="0"/>
    <xf numFmtId="9" fontId="8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</cellStyleXfs>
  <cellXfs count="598">
    <xf numFmtId="0" fontId="0" fillId="0" borderId="0" xfId="0"/>
    <xf numFmtId="0" fontId="5" fillId="0" borderId="0" xfId="2" applyFont="1" applyAlignment="1" applyProtection="1">
      <alignment vertical="center"/>
      <protection locked="0"/>
    </xf>
    <xf numFmtId="14" fontId="5" fillId="0" borderId="0" xfId="2" applyNumberFormat="1" applyFont="1" applyAlignment="1" applyProtection="1">
      <alignment vertical="center"/>
      <protection locked="0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4" fontId="5" fillId="0" borderId="0" xfId="2" applyNumberFormat="1" applyFont="1" applyAlignment="1" applyProtection="1">
      <alignment vertical="center"/>
      <protection locked="0"/>
    </xf>
    <xf numFmtId="4" fontId="6" fillId="0" borderId="0" xfId="3" applyNumberFormat="1" applyFont="1" applyAlignment="1" applyProtection="1">
      <alignment vertical="center"/>
      <protection locked="0"/>
    </xf>
    <xf numFmtId="49" fontId="10" fillId="0" borderId="0" xfId="2" applyNumberFormat="1" applyFont="1" applyAlignment="1" applyProtection="1">
      <alignment horizontal="left" vertical="center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49" fontId="11" fillId="0" borderId="0" xfId="2" applyNumberFormat="1" applyFont="1" applyAlignment="1" applyProtection="1">
      <alignment horizontal="left" vertical="top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2" fontId="7" fillId="0" borderId="0" xfId="2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4" fontId="14" fillId="0" borderId="0" xfId="2" applyNumberFormat="1" applyFont="1" applyAlignment="1" applyProtection="1">
      <alignment vertical="center"/>
      <protection locked="0"/>
    </xf>
    <xf numFmtId="4" fontId="14" fillId="0" borderId="0" xfId="2" applyNumberFormat="1" applyFont="1" applyAlignment="1" applyProtection="1">
      <alignment horizontal="center" vertical="center"/>
      <protection locked="0"/>
    </xf>
    <xf numFmtId="0" fontId="7" fillId="0" borderId="0" xfId="2" applyFont="1" applyAlignment="1" applyProtection="1">
      <alignment horizontal="center" vertical="center"/>
      <protection locked="0"/>
    </xf>
    <xf numFmtId="49" fontId="12" fillId="0" borderId="0" xfId="1" applyNumberFormat="1" applyFont="1" applyAlignment="1" applyProtection="1">
      <alignment horizontal="center" vertical="center"/>
      <protection locked="0"/>
    </xf>
    <xf numFmtId="0" fontId="12" fillId="0" borderId="0" xfId="4" applyFont="1" applyAlignment="1" applyProtection="1">
      <alignment horizontal="right" vertical="center"/>
      <protection locked="0"/>
    </xf>
    <xf numFmtId="49" fontId="14" fillId="0" borderId="0" xfId="1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0" xfId="3" applyFont="1" applyAlignment="1">
      <alignment vertical="center"/>
    </xf>
    <xf numFmtId="0" fontId="8" fillId="0" borderId="0" xfId="2" applyFont="1" applyAlignment="1" applyProtection="1">
      <alignment horizontal="center" vertical="center"/>
      <protection locked="0"/>
    </xf>
    <xf numFmtId="4" fontId="6" fillId="0" borderId="0" xfId="2" applyNumberFormat="1" applyFont="1" applyAlignment="1" applyProtection="1">
      <alignment horizontal="center" vertical="center"/>
      <protection locked="0"/>
    </xf>
    <xf numFmtId="0" fontId="9" fillId="0" borderId="0" xfId="3" applyFont="1" applyAlignment="1" applyProtection="1">
      <alignment horizontal="left" vertical="center"/>
      <protection locked="0"/>
    </xf>
    <xf numFmtId="4" fontId="8" fillId="0" borderId="0" xfId="2" applyNumberFormat="1" applyFont="1" applyAlignment="1" applyProtection="1">
      <alignment horizontal="center" vertical="center"/>
      <protection locked="0"/>
    </xf>
    <xf numFmtId="4" fontId="6" fillId="0" borderId="0" xfId="2" applyNumberFormat="1" applyFont="1" applyAlignment="1" applyProtection="1">
      <alignment vertical="center"/>
      <protection locked="0"/>
    </xf>
    <xf numFmtId="0" fontId="6" fillId="0" borderId="1" xfId="3" applyFont="1" applyBorder="1" applyAlignment="1">
      <alignment horizontal="center" vertical="center"/>
    </xf>
    <xf numFmtId="2" fontId="9" fillId="0" borderId="1" xfId="3" applyNumberFormat="1" applyFont="1" applyBorder="1" applyAlignment="1" applyProtection="1">
      <alignment horizontal="left" vertical="center"/>
      <protection locked="0"/>
    </xf>
    <xf numFmtId="0" fontId="6" fillId="0" borderId="0" xfId="3" applyFont="1" applyAlignment="1" applyProtection="1">
      <alignment horizontal="center" vertical="center"/>
      <protection locked="0"/>
    </xf>
    <xf numFmtId="2" fontId="7" fillId="0" borderId="0" xfId="3" applyNumberFormat="1" applyFont="1" applyAlignment="1" applyProtection="1">
      <alignment horizontal="left" vertical="center"/>
      <protection locked="0"/>
    </xf>
    <xf numFmtId="0" fontId="8" fillId="0" borderId="0" xfId="3" applyAlignment="1" applyProtection="1">
      <alignment vertical="center"/>
      <protection locked="0"/>
    </xf>
    <xf numFmtId="0" fontId="6" fillId="0" borderId="0" xfId="3" applyFont="1" applyAlignment="1" applyProtection="1">
      <alignment vertical="center"/>
      <protection locked="0"/>
    </xf>
    <xf numFmtId="0" fontId="22" fillId="0" borderId="0" xfId="2" applyFont="1" applyAlignment="1" applyProtection="1">
      <alignment horizontal="center" vertical="center"/>
      <protection locked="0"/>
    </xf>
    <xf numFmtId="4" fontId="23" fillId="0" borderId="0" xfId="2" applyNumberFormat="1" applyFont="1" applyAlignment="1" applyProtection="1">
      <alignment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5" fillId="0" borderId="0" xfId="0" applyFont="1"/>
    <xf numFmtId="0" fontId="5" fillId="0" borderId="0" xfId="2" applyFont="1" applyAlignment="1" applyProtection="1">
      <alignment vertical="center" wrapText="1"/>
      <protection locked="0"/>
    </xf>
    <xf numFmtId="0" fontId="8" fillId="0" borderId="0" xfId="2" applyFont="1" applyAlignment="1">
      <alignment vertical="center" wrapText="1"/>
    </xf>
    <xf numFmtId="0" fontId="8" fillId="0" borderId="0" xfId="2" applyFont="1" applyAlignment="1" applyProtection="1">
      <alignment vertical="center" wrapText="1"/>
      <protection locked="0"/>
    </xf>
    <xf numFmtId="0" fontId="6" fillId="0" borderId="0" xfId="3" applyFont="1" applyAlignment="1" applyProtection="1">
      <alignment vertical="center" wrapText="1"/>
      <protection locked="0"/>
    </xf>
    <xf numFmtId="0" fontId="25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4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" fontId="8" fillId="0" borderId="0" xfId="2" applyNumberFormat="1" applyFont="1" applyAlignment="1" applyProtection="1">
      <alignment vertical="center"/>
      <protection locked="0"/>
    </xf>
    <xf numFmtId="0" fontId="26" fillId="0" borderId="0" xfId="0" applyFont="1"/>
    <xf numFmtId="0" fontId="16" fillId="0" borderId="0" xfId="4" applyFont="1" applyAlignment="1" applyProtection="1">
      <alignment horizontal="right" vertical="center"/>
      <protection locked="0"/>
    </xf>
    <xf numFmtId="0" fontId="20" fillId="0" borderId="0" xfId="4" applyFont="1" applyAlignment="1" applyProtection="1">
      <alignment horizontal="right" vertical="center"/>
      <protection locked="0"/>
    </xf>
    <xf numFmtId="49" fontId="27" fillId="0" borderId="0" xfId="2" applyNumberFormat="1" applyFont="1" applyAlignment="1">
      <alignment horizontal="left" vertical="center"/>
    </xf>
    <xf numFmtId="49" fontId="28" fillId="0" borderId="0" xfId="2" applyNumberFormat="1" applyFont="1" applyAlignment="1" applyProtection="1">
      <alignment horizontal="left" vertical="center"/>
      <protection locked="0"/>
    </xf>
    <xf numFmtId="2" fontId="29" fillId="0" borderId="1" xfId="3" applyNumberFormat="1" applyFont="1" applyBorder="1" applyAlignment="1" applyProtection="1">
      <alignment horizontal="left" vertical="center" wrapText="1"/>
      <protection locked="0"/>
    </xf>
    <xf numFmtId="49" fontId="21" fillId="0" borderId="0" xfId="2" applyNumberFormat="1" applyFont="1" applyAlignment="1" applyProtection="1">
      <alignment horizontal="left" vertical="center"/>
      <protection locked="0"/>
    </xf>
    <xf numFmtId="4" fontId="30" fillId="0" borderId="2" xfId="2" applyNumberFormat="1" applyFont="1" applyBorder="1" applyAlignment="1" applyProtection="1">
      <alignment horizontal="center" vertical="center"/>
      <protection locked="0"/>
    </xf>
    <xf numFmtId="14" fontId="30" fillId="0" borderId="3" xfId="3" applyNumberFormat="1" applyFont="1" applyBorder="1" applyAlignment="1" applyProtection="1">
      <alignment horizontal="center" vertical="center" wrapText="1"/>
      <protection locked="0"/>
    </xf>
    <xf numFmtId="2" fontId="22" fillId="0" borderId="0" xfId="3" applyNumberFormat="1" applyFont="1" applyAlignment="1" applyProtection="1">
      <alignment horizontal="left" vertical="center" wrapText="1"/>
      <protection locked="0"/>
    </xf>
    <xf numFmtId="9" fontId="24" fillId="2" borderId="0" xfId="1" applyFont="1" applyFill="1" applyAlignment="1" applyProtection="1">
      <alignment horizontal="center" vertical="center"/>
      <protection locked="0"/>
    </xf>
    <xf numFmtId="0" fontId="24" fillId="0" borderId="0" xfId="4" applyFont="1" applyAlignment="1" applyProtection="1">
      <alignment horizontal="left" vertical="center"/>
      <protection locked="0"/>
    </xf>
    <xf numFmtId="4" fontId="24" fillId="9" borderId="0" xfId="1" applyNumberFormat="1" applyFont="1" applyFill="1" applyAlignment="1" applyProtection="1">
      <alignment horizontal="center" vertical="center"/>
      <protection locked="0"/>
    </xf>
    <xf numFmtId="4" fontId="24" fillId="8" borderId="0" xfId="1" applyNumberFormat="1" applyFont="1" applyFill="1" applyAlignment="1" applyProtection="1">
      <alignment horizontal="center" vertical="center"/>
      <protection locked="0"/>
    </xf>
    <xf numFmtId="0" fontId="21" fillId="0" borderId="0" xfId="3" applyFont="1" applyAlignment="1" applyProtection="1">
      <alignment horizontal="left" vertical="center" wrapText="1"/>
      <protection locked="0"/>
    </xf>
    <xf numFmtId="0" fontId="21" fillId="0" borderId="0" xfId="3" applyFont="1" applyAlignment="1" applyProtection="1">
      <alignment vertical="center" wrapText="1"/>
      <protection locked="0"/>
    </xf>
    <xf numFmtId="4" fontId="14" fillId="0" borderId="0" xfId="2" applyNumberFormat="1" applyFont="1" applyAlignment="1">
      <alignment horizontal="center" vertical="center"/>
    </xf>
    <xf numFmtId="3" fontId="6" fillId="0" borderId="0" xfId="2" applyNumberFormat="1" applyFont="1" applyAlignment="1" applyProtection="1">
      <alignment horizontal="center" vertical="center"/>
      <protection locked="0"/>
    </xf>
    <xf numFmtId="4" fontId="40" fillId="0" borderId="0" xfId="2" applyNumberFormat="1" applyFont="1" applyAlignment="1" applyProtection="1">
      <alignment horizontal="center" vertical="center"/>
      <protection locked="0"/>
    </xf>
    <xf numFmtId="4" fontId="41" fillId="0" borderId="0" xfId="2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vertical="center"/>
      <protection locked="0"/>
    </xf>
    <xf numFmtId="9" fontId="12" fillId="2" borderId="0" xfId="1" applyFont="1" applyFill="1" applyAlignment="1" applyProtection="1">
      <alignment horizontal="center" vertical="center"/>
      <protection locked="0"/>
    </xf>
    <xf numFmtId="9" fontId="12" fillId="3" borderId="0" xfId="1" applyFont="1" applyFill="1" applyAlignment="1" applyProtection="1">
      <alignment horizontal="center" vertical="center"/>
      <protection locked="0"/>
    </xf>
    <xf numFmtId="9" fontId="48" fillId="2" borderId="0" xfId="1" applyFont="1" applyFill="1" applyAlignment="1" applyProtection="1">
      <alignment horizontal="center" vertical="center"/>
      <protection locked="0"/>
    </xf>
    <xf numFmtId="4" fontId="6" fillId="0" borderId="0" xfId="2" applyNumberFormat="1" applyFont="1" applyAlignment="1">
      <alignment vertical="center"/>
    </xf>
    <xf numFmtId="0" fontId="50" fillId="0" borderId="0" xfId="0" applyFont="1"/>
    <xf numFmtId="0" fontId="51" fillId="0" borderId="0" xfId="0" applyFont="1"/>
    <xf numFmtId="3" fontId="21" fillId="9" borderId="4" xfId="1" applyNumberFormat="1" applyFont="1" applyFill="1" applyBorder="1" applyAlignment="1" applyProtection="1">
      <alignment horizontal="center" vertical="center"/>
      <protection locked="0"/>
    </xf>
    <xf numFmtId="9" fontId="24" fillId="2" borderId="3" xfId="1" applyFont="1" applyFill="1" applyBorder="1" applyAlignment="1" applyProtection="1">
      <alignment horizontal="center" vertical="center"/>
      <protection locked="0"/>
    </xf>
    <xf numFmtId="10" fontId="21" fillId="9" borderId="3" xfId="1" applyNumberFormat="1" applyFont="1" applyFill="1" applyBorder="1" applyAlignment="1" applyProtection="1">
      <alignment horizontal="center" vertical="center"/>
      <protection locked="0"/>
    </xf>
    <xf numFmtId="2" fontId="23" fillId="0" borderId="0" xfId="3" applyNumberFormat="1" applyFont="1" applyAlignment="1" applyProtection="1">
      <alignment horizontal="left" vertical="center" wrapText="1"/>
      <protection locked="0"/>
    </xf>
    <xf numFmtId="0" fontId="21" fillId="0" borderId="0" xfId="4" applyFont="1" applyAlignment="1" applyProtection="1">
      <alignment horizontal="left" vertical="center"/>
      <protection locked="0"/>
    </xf>
    <xf numFmtId="4" fontId="25" fillId="0" borderId="0" xfId="0" applyNumberFormat="1" applyFont="1"/>
    <xf numFmtId="0" fontId="51" fillId="8" borderId="0" xfId="0" applyFont="1" applyFill="1"/>
    <xf numFmtId="4" fontId="29" fillId="0" borderId="0" xfId="3" applyNumberFormat="1" applyFont="1" applyAlignment="1" applyProtection="1">
      <alignment horizontal="left" vertical="center" wrapText="1"/>
      <protection locked="0"/>
    </xf>
    <xf numFmtId="4" fontId="23" fillId="0" borderId="0" xfId="3" applyNumberFormat="1" applyFont="1" applyAlignment="1" applyProtection="1">
      <alignment vertical="center"/>
      <protection locked="0"/>
    </xf>
    <xf numFmtId="4" fontId="21" fillId="0" borderId="0" xfId="2" applyNumberFormat="1" applyFont="1" applyAlignment="1" applyProtection="1">
      <alignment vertical="center" wrapText="1"/>
      <protection locked="0"/>
    </xf>
    <xf numFmtId="4" fontId="21" fillId="0" borderId="0" xfId="2" applyNumberFormat="1" applyFont="1" applyAlignment="1" applyProtection="1">
      <alignment horizontal="center" vertical="center" wrapText="1"/>
      <protection locked="0"/>
    </xf>
    <xf numFmtId="4" fontId="23" fillId="0" borderId="0" xfId="0" applyNumberFormat="1" applyFont="1" applyAlignment="1" applyProtection="1">
      <alignment horizontal="center" vertical="center"/>
      <protection locked="0"/>
    </xf>
    <xf numFmtId="4" fontId="21" fillId="0" borderId="0" xfId="2" applyNumberFormat="1" applyFont="1" applyAlignment="1" applyProtection="1">
      <alignment horizontal="center" vertical="center"/>
      <protection locked="0"/>
    </xf>
    <xf numFmtId="4" fontId="21" fillId="0" borderId="0" xfId="2" applyNumberFormat="1" applyFont="1" applyAlignment="1" applyProtection="1">
      <alignment vertical="center"/>
      <protection locked="0"/>
    </xf>
    <xf numFmtId="4" fontId="0" fillId="0" borderId="0" xfId="0" applyNumberFormat="1"/>
    <xf numFmtId="4" fontId="5" fillId="0" borderId="0" xfId="2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0" fillId="8" borderId="0" xfId="0" applyFill="1"/>
    <xf numFmtId="0" fontId="6" fillId="8" borderId="0" xfId="2" applyFont="1" applyFill="1" applyAlignment="1">
      <alignment horizontal="center" vertical="center"/>
    </xf>
    <xf numFmtId="0" fontId="17" fillId="8" borderId="0" xfId="2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49" fontId="6" fillId="8" borderId="0" xfId="8" applyNumberFormat="1" applyFont="1" applyFill="1" applyAlignment="1">
      <alignment horizontal="center" vertical="center"/>
    </xf>
    <xf numFmtId="49" fontId="17" fillId="8" borderId="0" xfId="8" applyNumberFormat="1" applyFont="1" applyFill="1" applyAlignment="1">
      <alignment horizontal="center" vertical="center"/>
    </xf>
    <xf numFmtId="3" fontId="6" fillId="8" borderId="0" xfId="8" applyNumberFormat="1" applyFont="1" applyFill="1" applyAlignment="1">
      <alignment horizontal="center" vertical="center"/>
    </xf>
    <xf numFmtId="0" fontId="6" fillId="8" borderId="0" xfId="8" applyFont="1" applyFill="1" applyAlignment="1">
      <alignment horizontal="center" vertical="center"/>
    </xf>
    <xf numFmtId="0" fontId="17" fillId="8" borderId="0" xfId="8" applyFont="1" applyFill="1" applyAlignment="1">
      <alignment horizontal="center" vertical="center"/>
    </xf>
    <xf numFmtId="49" fontId="45" fillId="8" borderId="0" xfId="8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14" fontId="30" fillId="0" borderId="3" xfId="3" applyNumberFormat="1" applyFont="1" applyBorder="1" applyAlignment="1" applyProtection="1">
      <alignment horizontal="left" vertical="center" wrapText="1"/>
      <protection locked="0"/>
    </xf>
    <xf numFmtId="0" fontId="39" fillId="0" borderId="0" xfId="2" applyFont="1" applyAlignment="1">
      <alignment horizontal="left" vertical="center"/>
    </xf>
    <xf numFmtId="0" fontId="22" fillId="0" borderId="0" xfId="2" applyFont="1" applyAlignment="1" applyProtection="1">
      <alignment horizontal="left" vertical="center" wrapText="1"/>
      <protection locked="0"/>
    </xf>
    <xf numFmtId="2" fontId="22" fillId="0" borderId="0" xfId="2" applyNumberFormat="1" applyFont="1" applyAlignment="1" applyProtection="1">
      <alignment horizontal="left" vertical="center" wrapText="1"/>
      <protection locked="0"/>
    </xf>
    <xf numFmtId="0" fontId="0" fillId="0" borderId="0" xfId="0" applyAlignment="1">
      <alignment horizontal="left" wrapText="1"/>
    </xf>
    <xf numFmtId="2" fontId="23" fillId="0" borderId="0" xfId="2" applyNumberFormat="1" applyFont="1" applyAlignment="1" applyProtection="1">
      <alignment horizontal="center" vertical="center"/>
      <protection locked="0"/>
    </xf>
    <xf numFmtId="0" fontId="23" fillId="0" borderId="0" xfId="2" applyFont="1" applyAlignment="1" applyProtection="1">
      <alignment horizontal="center" vertical="center"/>
      <protection locked="0"/>
    </xf>
    <xf numFmtId="0" fontId="23" fillId="0" borderId="0" xfId="2" applyFont="1" applyAlignment="1" applyProtection="1">
      <alignment horizontal="left" vertical="center" wrapText="1"/>
      <protection locked="0"/>
    </xf>
    <xf numFmtId="0" fontId="14" fillId="0" borderId="0" xfId="2" applyFont="1" applyAlignment="1" applyProtection="1">
      <alignment vertical="center"/>
      <protection locked="0"/>
    </xf>
    <xf numFmtId="0" fontId="6" fillId="0" borderId="0" xfId="2" applyFont="1" applyAlignment="1">
      <alignment vertical="center"/>
    </xf>
    <xf numFmtId="0" fontId="55" fillId="0" borderId="0" xfId="0" applyFont="1"/>
    <xf numFmtId="0" fontId="56" fillId="0" borderId="0" xfId="0" applyFont="1" applyAlignment="1">
      <alignment horizontal="center"/>
    </xf>
    <xf numFmtId="0" fontId="40" fillId="0" borderId="0" xfId="2" applyFont="1" applyAlignment="1" applyProtection="1">
      <alignment horizontal="center" vertical="center"/>
      <protection locked="0"/>
    </xf>
    <xf numFmtId="0" fontId="41" fillId="0" borderId="0" xfId="2" applyFont="1" applyAlignment="1" applyProtection="1">
      <alignment horizontal="center" vertical="center"/>
      <protection locked="0"/>
    </xf>
    <xf numFmtId="4" fontId="40" fillId="0" borderId="0" xfId="2" applyNumberFormat="1" applyFont="1" applyAlignment="1">
      <alignment horizontal="center" vertical="center"/>
    </xf>
    <xf numFmtId="4" fontId="41" fillId="0" borderId="0" xfId="2" applyNumberFormat="1" applyFont="1" applyAlignment="1" applyProtection="1">
      <alignment vertical="center"/>
      <protection locked="0"/>
    </xf>
    <xf numFmtId="4" fontId="41" fillId="0" borderId="0" xfId="2" applyNumberFormat="1" applyFont="1" applyAlignment="1">
      <alignment horizontal="center" vertical="center"/>
    </xf>
    <xf numFmtId="0" fontId="8" fillId="0" borderId="0" xfId="12" applyAlignment="1" applyProtection="1">
      <alignment vertical="center" wrapText="1"/>
      <protection locked="0"/>
    </xf>
    <xf numFmtId="0" fontId="41" fillId="0" borderId="0" xfId="2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3" fontId="17" fillId="8" borderId="0" xfId="8" applyNumberFormat="1" applyFont="1" applyFill="1" applyAlignment="1">
      <alignment horizontal="center" vertical="center"/>
    </xf>
    <xf numFmtId="3" fontId="40" fillId="8" borderId="0" xfId="2" applyNumberFormat="1" applyFont="1" applyFill="1" applyAlignment="1">
      <alignment horizontal="center" vertical="center"/>
    </xf>
    <xf numFmtId="0" fontId="50" fillId="8" borderId="0" xfId="0" applyFont="1" applyFill="1"/>
    <xf numFmtId="0" fontId="38" fillId="0" borderId="6" xfId="2" applyFont="1" applyBorder="1" applyAlignment="1">
      <alignment horizontal="center" vertical="center"/>
    </xf>
    <xf numFmtId="0" fontId="37" fillId="0" borderId="6" xfId="2" applyFont="1" applyBorder="1" applyAlignment="1">
      <alignment vertical="center" wrapText="1"/>
    </xf>
    <xf numFmtId="0" fontId="37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0" fillId="0" borderId="0" xfId="2" applyFont="1" applyAlignment="1">
      <alignment horizontal="center" vertical="center"/>
    </xf>
    <xf numFmtId="0" fontId="29" fillId="0" borderId="0" xfId="3" applyFont="1" applyAlignment="1" applyProtection="1">
      <alignment horizontal="center" vertical="center" wrapText="1"/>
      <protection locked="0"/>
    </xf>
    <xf numFmtId="0" fontId="63" fillId="0" borderId="0" xfId="4" applyFont="1" applyAlignment="1" applyProtection="1">
      <alignment horizontal="left" vertical="center"/>
      <protection locked="0"/>
    </xf>
    <xf numFmtId="0" fontId="64" fillId="0" borderId="0" xfId="4" applyFont="1" applyAlignment="1" applyProtection="1">
      <alignment horizontal="left" vertical="center"/>
      <protection locked="0"/>
    </xf>
    <xf numFmtId="0" fontId="6" fillId="0" borderId="6" xfId="2" applyFont="1" applyBorder="1" applyAlignment="1">
      <alignment horizontal="center" vertical="center"/>
    </xf>
    <xf numFmtId="0" fontId="34" fillId="0" borderId="0" xfId="2" applyFont="1" applyAlignment="1">
      <alignment horizontal="center" vertical="center" wrapText="1"/>
    </xf>
    <xf numFmtId="0" fontId="3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9" fontId="0" fillId="0" borderId="0" xfId="0" applyNumberFormat="1"/>
    <xf numFmtId="166" fontId="0" fillId="0" borderId="0" xfId="0" applyNumberFormat="1"/>
    <xf numFmtId="166" fontId="50" fillId="0" borderId="0" xfId="0" applyNumberFormat="1" applyFont="1"/>
    <xf numFmtId="166" fontId="51" fillId="0" borderId="0" xfId="0" applyNumberFormat="1" applyFont="1"/>
    <xf numFmtId="0" fontId="58" fillId="0" borderId="0" xfId="0" applyFont="1"/>
    <xf numFmtId="0" fontId="25" fillId="0" borderId="0" xfId="0" applyFont="1" applyAlignment="1">
      <alignment horizontal="left"/>
    </xf>
    <xf numFmtId="0" fontId="66" fillId="0" borderId="0" xfId="2" applyFont="1" applyAlignment="1">
      <alignment horizontal="left" vertical="center" wrapText="1"/>
    </xf>
    <xf numFmtId="0" fontId="67" fillId="0" borderId="0" xfId="0" applyFont="1" applyAlignment="1">
      <alignment horizontal="center" vertical="center" wrapText="1"/>
    </xf>
    <xf numFmtId="0" fontId="68" fillId="0" borderId="0" xfId="0" applyFont="1" applyAlignment="1">
      <alignment horizontal="left" vertical="center" wrapText="1"/>
    </xf>
    <xf numFmtId="0" fontId="70" fillId="0" borderId="0" xfId="0" applyFont="1" applyAlignment="1">
      <alignment horizontal="center" vertical="center" wrapText="1"/>
    </xf>
    <xf numFmtId="0" fontId="68" fillId="0" borderId="0" xfId="0" applyFont="1" applyAlignment="1">
      <alignment horizontal="center" vertical="center" wrapText="1"/>
    </xf>
    <xf numFmtId="0" fontId="67" fillId="8" borderId="0" xfId="0" applyFont="1" applyFill="1" applyAlignment="1">
      <alignment horizontal="center" vertical="center" wrapText="1"/>
    </xf>
    <xf numFmtId="0" fontId="65" fillId="0" borderId="0" xfId="0" applyFont="1"/>
    <xf numFmtId="0" fontId="68" fillId="8" borderId="0" xfId="0" applyFont="1" applyFill="1" applyAlignment="1">
      <alignment horizontal="center" vertical="center" wrapText="1"/>
    </xf>
    <xf numFmtId="17" fontId="67" fillId="0" borderId="0" xfId="0" applyNumberFormat="1" applyFont="1" applyAlignment="1">
      <alignment horizontal="center" vertical="center" wrapText="1"/>
    </xf>
    <xf numFmtId="0" fontId="25" fillId="8" borderId="0" xfId="0" applyFont="1" applyFill="1"/>
    <xf numFmtId="0" fontId="71" fillId="0" borderId="0" xfId="0" applyFont="1"/>
    <xf numFmtId="0" fontId="71" fillId="8" borderId="0" xfId="0" applyFont="1" applyFill="1"/>
    <xf numFmtId="0" fontId="23" fillId="0" borderId="0" xfId="4" applyFont="1" applyAlignment="1" applyProtection="1">
      <alignment horizontal="left" vertical="center"/>
      <protection locked="0"/>
    </xf>
    <xf numFmtId="0" fontId="23" fillId="0" borderId="0" xfId="3" applyFont="1" applyAlignment="1" applyProtection="1">
      <alignment vertical="center" wrapText="1"/>
      <protection locked="0"/>
    </xf>
    <xf numFmtId="49" fontId="40" fillId="0" borderId="0" xfId="7" applyNumberFormat="1" applyFont="1" applyAlignment="1">
      <alignment horizontal="center" vertical="center"/>
    </xf>
    <xf numFmtId="49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vertical="center" wrapText="1"/>
    </xf>
    <xf numFmtId="0" fontId="17" fillId="6" borderId="0" xfId="0" applyFont="1" applyFill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/>
    </xf>
    <xf numFmtId="4" fontId="41" fillId="8" borderId="0" xfId="2" applyNumberFormat="1" applyFont="1" applyFill="1" applyAlignment="1">
      <alignment horizontal="center" vertical="center"/>
    </xf>
    <xf numFmtId="4" fontId="39" fillId="0" borderId="0" xfId="2" applyNumberFormat="1" applyFont="1" applyAlignment="1">
      <alignment horizontal="center" vertical="center"/>
    </xf>
    <xf numFmtId="4" fontId="40" fillId="7" borderId="0" xfId="0" applyNumberFormat="1" applyFont="1" applyFill="1" applyAlignment="1">
      <alignment horizontal="center" vertical="center"/>
    </xf>
    <xf numFmtId="4" fontId="40" fillId="7" borderId="0" xfId="2" applyNumberFormat="1" applyFont="1" applyFill="1" applyAlignment="1">
      <alignment horizontal="center" vertical="center"/>
    </xf>
    <xf numFmtId="3" fontId="40" fillId="7" borderId="0" xfId="2" applyNumberFormat="1" applyFont="1" applyFill="1" applyAlignment="1">
      <alignment horizontal="center" vertical="center"/>
    </xf>
    <xf numFmtId="0" fontId="6" fillId="0" borderId="0" xfId="3" applyFont="1" applyAlignment="1">
      <alignment horizontal="center" vertical="center"/>
    </xf>
    <xf numFmtId="2" fontId="9" fillId="0" borderId="0" xfId="3" applyNumberFormat="1" applyFont="1" applyAlignment="1" applyProtection="1">
      <alignment horizontal="left" vertical="center"/>
      <protection locked="0"/>
    </xf>
    <xf numFmtId="0" fontId="61" fillId="0" borderId="6" xfId="0" applyFont="1" applyBorder="1" applyAlignment="1">
      <alignment vertical="center" wrapText="1"/>
    </xf>
    <xf numFmtId="9" fontId="26" fillId="0" borderId="0" xfId="0" applyNumberFormat="1" applyFont="1"/>
    <xf numFmtId="2" fontId="0" fillId="0" borderId="0" xfId="0" applyNumberFormat="1"/>
    <xf numFmtId="3" fontId="0" fillId="0" borderId="0" xfId="0" applyNumberFormat="1"/>
    <xf numFmtId="0" fontId="8" fillId="0" borderId="6" xfId="2" applyFont="1" applyBorder="1" applyAlignment="1">
      <alignment horizontal="left" vertical="center" wrapText="1"/>
    </xf>
    <xf numFmtId="4" fontId="31" fillId="0" borderId="2" xfId="2" applyNumberFormat="1" applyFont="1" applyBorder="1" applyAlignment="1" applyProtection="1">
      <alignment horizontal="center" vertical="center"/>
      <protection locked="0"/>
    </xf>
    <xf numFmtId="4" fontId="31" fillId="0" borderId="5" xfId="2" applyNumberFormat="1" applyFont="1" applyBorder="1" applyAlignment="1" applyProtection="1">
      <alignment horizontal="center" vertical="center"/>
      <protection locked="0"/>
    </xf>
    <xf numFmtId="0" fontId="53" fillId="0" borderId="7" xfId="2" applyFont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left" vertical="center" wrapText="1"/>
    </xf>
    <xf numFmtId="4" fontId="6" fillId="3" borderId="7" xfId="2" applyNumberFormat="1" applyFont="1" applyFill="1" applyBorder="1" applyAlignment="1" applyProtection="1">
      <alignment horizontal="center" vertical="center" wrapText="1"/>
      <protection locked="0"/>
    </xf>
    <xf numFmtId="4" fontId="6" fillId="4" borderId="7" xfId="3" applyNumberFormat="1" applyFont="1" applyFill="1" applyBorder="1" applyAlignment="1">
      <alignment horizontal="center" vertical="center" wrapText="1"/>
    </xf>
    <xf numFmtId="4" fontId="6" fillId="3" borderId="7" xfId="3" applyNumberFormat="1" applyFont="1" applyFill="1" applyBorder="1" applyAlignment="1">
      <alignment horizontal="center" vertical="center" wrapText="1"/>
    </xf>
    <xf numFmtId="4" fontId="6" fillId="5" borderId="7" xfId="3" applyNumberFormat="1" applyFont="1" applyFill="1" applyBorder="1" applyAlignment="1">
      <alignment horizontal="center" vertical="center" wrapText="1"/>
    </xf>
    <xf numFmtId="166" fontId="49" fillId="5" borderId="8" xfId="3" applyNumberFormat="1" applyFont="1" applyFill="1" applyBorder="1" applyAlignment="1">
      <alignment horizontal="center" vertical="center" wrapText="1"/>
    </xf>
    <xf numFmtId="166" fontId="49" fillId="0" borderId="8" xfId="3" applyNumberFormat="1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6" fillId="0" borderId="9" xfId="2" applyFont="1" applyBorder="1" applyAlignment="1">
      <alignment vertical="center" wrapText="1"/>
    </xf>
    <xf numFmtId="4" fontId="6" fillId="0" borderId="9" xfId="2" applyNumberFormat="1" applyFont="1" applyBorder="1" applyAlignment="1" applyProtection="1">
      <alignment horizontal="center" vertical="center"/>
      <protection locked="0"/>
    </xf>
    <xf numFmtId="4" fontId="6" fillId="0" borderId="9" xfId="3" applyNumberFormat="1" applyFont="1" applyBorder="1" applyAlignment="1">
      <alignment vertical="center"/>
    </xf>
    <xf numFmtId="4" fontId="6" fillId="0" borderId="9" xfId="2" applyNumberFormat="1" applyFont="1" applyBorder="1" applyAlignment="1">
      <alignment vertical="center"/>
    </xf>
    <xf numFmtId="4" fontId="8" fillId="0" borderId="9" xfId="2" applyNumberFormat="1" applyFont="1" applyBorder="1" applyAlignment="1">
      <alignment vertical="center"/>
    </xf>
    <xf numFmtId="4" fontId="6" fillId="0" borderId="9" xfId="2" applyNumberFormat="1" applyFont="1" applyBorder="1" applyAlignment="1">
      <alignment horizontal="center" vertical="center"/>
    </xf>
    <xf numFmtId="3" fontId="40" fillId="8" borderId="9" xfId="2" applyNumberFormat="1" applyFont="1" applyFill="1" applyBorder="1" applyAlignment="1">
      <alignment horizontal="center" vertical="center"/>
    </xf>
    <xf numFmtId="0" fontId="53" fillId="0" borderId="9" xfId="2" applyFont="1" applyBorder="1" applyAlignment="1">
      <alignment horizontal="center" vertical="center"/>
    </xf>
    <xf numFmtId="0" fontId="35" fillId="4" borderId="9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vertical="center" wrapText="1"/>
    </xf>
    <xf numFmtId="4" fontId="36" fillId="4" borderId="9" xfId="2" applyNumberFormat="1" applyFont="1" applyFill="1" applyBorder="1" applyAlignment="1" applyProtection="1">
      <alignment horizontal="center" vertical="center"/>
      <protection locked="0"/>
    </xf>
    <xf numFmtId="0" fontId="8" fillId="3" borderId="9" xfId="2" applyFont="1" applyFill="1" applyBorder="1" applyAlignment="1">
      <alignment horizontal="center" vertical="center"/>
    </xf>
    <xf numFmtId="4" fontId="6" fillId="3" borderId="9" xfId="3" applyNumberFormat="1" applyFont="1" applyFill="1" applyBorder="1" applyAlignment="1">
      <alignment vertical="center"/>
    </xf>
    <xf numFmtId="4" fontId="8" fillId="3" borderId="9" xfId="3" applyNumberFormat="1" applyFill="1" applyBorder="1" applyAlignment="1">
      <alignment vertical="center"/>
    </xf>
    <xf numFmtId="4" fontId="6" fillId="3" borderId="9" xfId="3" applyNumberFormat="1" applyFont="1" applyFill="1" applyBorder="1" applyAlignment="1">
      <alignment horizontal="center" vertical="center"/>
    </xf>
    <xf numFmtId="3" fontId="40" fillId="4" borderId="9" xfId="2" applyNumberFormat="1" applyFont="1" applyFill="1" applyBorder="1" applyAlignment="1">
      <alignment horizontal="center" vertical="center"/>
    </xf>
    <xf numFmtId="0" fontId="72" fillId="0" borderId="9" xfId="2" applyFont="1" applyBorder="1" applyAlignment="1">
      <alignment horizontal="center" vertical="center" wrapText="1"/>
    </xf>
    <xf numFmtId="0" fontId="8" fillId="0" borderId="9" xfId="2" applyFont="1" applyBorder="1" applyAlignment="1">
      <alignment vertical="center"/>
    </xf>
    <xf numFmtId="0" fontId="8" fillId="0" borderId="9" xfId="2" applyFont="1" applyBorder="1" applyAlignment="1">
      <alignment vertical="center" wrapText="1"/>
    </xf>
    <xf numFmtId="0" fontId="6" fillId="6" borderId="9" xfId="0" applyFont="1" applyFill="1" applyBorder="1" applyAlignment="1" applyProtection="1">
      <alignment horizontal="center" vertical="center"/>
      <protection locked="0"/>
    </xf>
    <xf numFmtId="4" fontId="8" fillId="0" borderId="9" xfId="2" applyNumberFormat="1" applyFont="1" applyBorder="1" applyAlignment="1">
      <alignment horizontal="center" vertical="center"/>
    </xf>
    <xf numFmtId="4" fontId="6" fillId="7" borderId="9" xfId="2" applyNumberFormat="1" applyFont="1" applyFill="1" applyBorder="1" applyAlignment="1">
      <alignment horizontal="center" vertical="center"/>
    </xf>
    <xf numFmtId="3" fontId="6" fillId="7" borderId="9" xfId="2" applyNumberFormat="1" applyFont="1" applyFill="1" applyBorder="1" applyAlignment="1">
      <alignment horizontal="center" vertical="center"/>
    </xf>
    <xf numFmtId="0" fontId="37" fillId="0" borderId="9" xfId="2" applyFont="1" applyBorder="1" applyAlignment="1">
      <alignment horizontal="center" vertical="center"/>
    </xf>
    <xf numFmtId="0" fontId="37" fillId="0" borderId="9" xfId="2" applyFont="1" applyBorder="1" applyAlignment="1">
      <alignment vertical="center"/>
    </xf>
    <xf numFmtId="0" fontId="38" fillId="0" borderId="9" xfId="2" applyFont="1" applyBorder="1" applyAlignment="1">
      <alignment horizontal="center" vertical="center"/>
    </xf>
    <xf numFmtId="0" fontId="37" fillId="0" borderId="9" xfId="2" applyFont="1" applyBorder="1" applyAlignment="1">
      <alignment vertical="center" wrapText="1"/>
    </xf>
    <xf numFmtId="0" fontId="38" fillId="6" borderId="9" xfId="0" applyFont="1" applyFill="1" applyBorder="1" applyAlignment="1" applyProtection="1">
      <alignment horizontal="center" vertical="center"/>
      <protection locked="0"/>
    </xf>
    <xf numFmtId="4" fontId="37" fillId="0" borderId="9" xfId="2" applyNumberFormat="1" applyFont="1" applyBorder="1" applyAlignment="1">
      <alignment horizontal="center" vertical="center"/>
    </xf>
    <xf numFmtId="4" fontId="38" fillId="7" borderId="9" xfId="2" applyNumberFormat="1" applyFont="1" applyFill="1" applyBorder="1" applyAlignment="1">
      <alignment horizontal="center" vertical="center"/>
    </xf>
    <xf numFmtId="3" fontId="40" fillId="7" borderId="9" xfId="2" applyNumberFormat="1" applyFont="1" applyFill="1" applyBorder="1" applyAlignment="1">
      <alignment horizontal="center" vertical="center"/>
    </xf>
    <xf numFmtId="0" fontId="8" fillId="0" borderId="9" xfId="2" applyFont="1" applyBorder="1" applyAlignment="1">
      <alignment horizontal="left" vertical="center" indent="1"/>
    </xf>
    <xf numFmtId="0" fontId="42" fillId="0" borderId="9" xfId="2" applyFont="1" applyBorder="1" applyAlignment="1">
      <alignment horizontal="center" vertical="center"/>
    </xf>
    <xf numFmtId="0" fontId="17" fillId="0" borderId="9" xfId="2" applyFont="1" applyBorder="1" applyAlignment="1">
      <alignment horizontal="center" vertical="center"/>
    </xf>
    <xf numFmtId="0" fontId="39" fillId="0" borderId="9" xfId="2" applyFont="1" applyBorder="1" applyAlignment="1">
      <alignment horizontal="center" vertical="center"/>
    </xf>
    <xf numFmtId="0" fontId="39" fillId="0" borderId="9" xfId="2" applyFont="1" applyBorder="1" applyAlignment="1">
      <alignment vertical="center" wrapText="1"/>
    </xf>
    <xf numFmtId="0" fontId="17" fillId="6" borderId="9" xfId="0" applyFont="1" applyFill="1" applyBorder="1" applyAlignment="1" applyProtection="1">
      <alignment horizontal="center" vertical="center"/>
      <protection locked="0"/>
    </xf>
    <xf numFmtId="4" fontId="39" fillId="0" borderId="9" xfId="2" applyNumberFormat="1" applyFont="1" applyBorder="1" applyAlignment="1">
      <alignment horizontal="center" vertical="center"/>
    </xf>
    <xf numFmtId="4" fontId="17" fillId="7" borderId="9" xfId="2" applyNumberFormat="1" applyFont="1" applyFill="1" applyBorder="1" applyAlignment="1">
      <alignment horizontal="center" vertical="center"/>
    </xf>
    <xf numFmtId="3" fontId="17" fillId="7" borderId="9" xfId="2" applyNumberFormat="1" applyFont="1" applyFill="1" applyBorder="1" applyAlignment="1">
      <alignment horizontal="center" vertical="center"/>
    </xf>
    <xf numFmtId="0" fontId="8" fillId="4" borderId="9" xfId="2" applyFont="1" applyFill="1" applyBorder="1" applyAlignment="1">
      <alignment horizontal="center" vertical="center"/>
    </xf>
    <xf numFmtId="49" fontId="6" fillId="3" borderId="9" xfId="2" applyNumberFormat="1" applyFont="1" applyFill="1" applyBorder="1" applyAlignment="1">
      <alignment horizontal="center" vertical="center"/>
    </xf>
    <xf numFmtId="4" fontId="6" fillId="4" borderId="9" xfId="2" applyNumberFormat="1" applyFont="1" applyFill="1" applyBorder="1" applyAlignment="1" applyProtection="1">
      <alignment vertical="center"/>
      <protection locked="0"/>
    </xf>
    <xf numFmtId="4" fontId="6" fillId="3" borderId="9" xfId="2" applyNumberFormat="1" applyFont="1" applyFill="1" applyBorder="1" applyAlignment="1">
      <alignment horizontal="center" vertical="center"/>
    </xf>
    <xf numFmtId="4" fontId="6" fillId="4" borderId="9" xfId="2" applyNumberFormat="1" applyFont="1" applyFill="1" applyBorder="1" applyAlignment="1">
      <alignment horizontal="center" vertical="center"/>
    </xf>
    <xf numFmtId="4" fontId="40" fillId="4" borderId="9" xfId="2" applyNumberFormat="1" applyFont="1" applyFill="1" applyBorder="1" applyAlignment="1">
      <alignment horizontal="center" vertical="center"/>
    </xf>
    <xf numFmtId="0" fontId="8" fillId="8" borderId="9" xfId="2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6" fillId="8" borderId="9" xfId="2" applyFont="1" applyFill="1" applyBorder="1" applyAlignment="1">
      <alignment horizontal="center" vertical="center"/>
    </xf>
    <xf numFmtId="0" fontId="37" fillId="0" borderId="9" xfId="0" applyFont="1" applyBorder="1" applyAlignment="1">
      <alignment horizontal="left" vertical="center" wrapText="1"/>
    </xf>
    <xf numFmtId="0" fontId="6" fillId="0" borderId="9" xfId="2" applyFont="1" applyBorder="1" applyAlignment="1">
      <alignment horizontal="center" vertical="center" wrapText="1"/>
    </xf>
    <xf numFmtId="0" fontId="41" fillId="0" borderId="9" xfId="0" applyFont="1" applyBorder="1" applyAlignment="1">
      <alignment horizontal="left" vertical="center" wrapText="1"/>
    </xf>
    <xf numFmtId="0" fontId="41" fillId="0" borderId="9" xfId="0" applyFont="1" applyBorder="1" applyAlignment="1">
      <alignment horizontal="center" vertical="center"/>
    </xf>
    <xf numFmtId="4" fontId="41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42" fillId="8" borderId="9" xfId="2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wrapText="1"/>
    </xf>
    <xf numFmtId="0" fontId="8" fillId="8" borderId="9" xfId="2" applyFont="1" applyFill="1" applyBorder="1" applyAlignment="1">
      <alignment horizontal="center" vertical="center" wrapText="1"/>
    </xf>
    <xf numFmtId="0" fontId="41" fillId="8" borderId="9" xfId="0" applyFont="1" applyFill="1" applyBorder="1" applyAlignment="1">
      <alignment horizontal="left" vertical="center" wrapText="1"/>
    </xf>
    <xf numFmtId="0" fontId="52" fillId="0" borderId="9" xfId="0" applyFont="1" applyBorder="1" applyAlignment="1">
      <alignment vertical="center" wrapText="1"/>
    </xf>
    <xf numFmtId="0" fontId="43" fillId="0" borderId="9" xfId="0" applyFont="1" applyBorder="1" applyAlignment="1">
      <alignment vertical="center" wrapText="1"/>
    </xf>
    <xf numFmtId="0" fontId="44" fillId="0" borderId="9" xfId="0" applyFont="1" applyBorder="1" applyAlignment="1">
      <alignment horizontal="left" vertical="center" wrapText="1"/>
    </xf>
    <xf numFmtId="0" fontId="62" fillId="0" borderId="9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wrapText="1"/>
    </xf>
    <xf numFmtId="0" fontId="8" fillId="0" borderId="9" xfId="0" applyFont="1" applyBorder="1" applyAlignment="1">
      <alignment vertical="center" wrapText="1"/>
    </xf>
    <xf numFmtId="0" fontId="41" fillId="0" borderId="9" xfId="0" applyFont="1" applyBorder="1" applyAlignment="1">
      <alignment horizontal="center" vertical="center" wrapText="1"/>
    </xf>
    <xf numFmtId="0" fontId="45" fillId="0" borderId="9" xfId="2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/>
    </xf>
    <xf numFmtId="2" fontId="41" fillId="0" borderId="9" xfId="0" applyNumberFormat="1" applyFont="1" applyBorder="1" applyAlignment="1">
      <alignment horizontal="center" vertical="center" wrapText="1"/>
    </xf>
    <xf numFmtId="49" fontId="6" fillId="0" borderId="9" xfId="2" applyNumberFormat="1" applyFont="1" applyBorder="1" applyAlignment="1">
      <alignment horizontal="center" vertical="center"/>
    </xf>
    <xf numFmtId="49" fontId="38" fillId="0" borderId="9" xfId="2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5" fillId="8" borderId="9" xfId="2" applyFont="1" applyFill="1" applyBorder="1" applyAlignment="1">
      <alignment horizontal="center" vertical="center"/>
    </xf>
    <xf numFmtId="0" fontId="55" fillId="0" borderId="9" xfId="0" applyFont="1" applyBorder="1"/>
    <xf numFmtId="0" fontId="25" fillId="0" borderId="9" xfId="0" applyFont="1" applyBorder="1"/>
    <xf numFmtId="0" fontId="25" fillId="0" borderId="9" xfId="0" applyFont="1" applyBorder="1" applyAlignment="1">
      <alignment wrapText="1"/>
    </xf>
    <xf numFmtId="4" fontId="25" fillId="0" borderId="9" xfId="0" applyNumberFormat="1" applyFont="1" applyBorder="1"/>
    <xf numFmtId="0" fontId="38" fillId="0" borderId="10" xfId="2" applyFont="1" applyBorder="1" applyAlignment="1">
      <alignment horizontal="center" vertical="center"/>
    </xf>
    <xf numFmtId="0" fontId="37" fillId="0" borderId="10" xfId="2" applyFont="1" applyBorder="1" applyAlignment="1">
      <alignment vertical="center" wrapText="1"/>
    </xf>
    <xf numFmtId="0" fontId="8" fillId="0" borderId="11" xfId="2" applyFont="1" applyBorder="1" applyAlignment="1">
      <alignment horizontal="center" vertical="center"/>
    </xf>
    <xf numFmtId="0" fontId="61" fillId="0" borderId="9" xfId="0" applyFont="1" applyBorder="1" applyAlignment="1">
      <alignment vertical="center" wrapText="1"/>
    </xf>
    <xf numFmtId="0" fontId="37" fillId="0" borderId="11" xfId="2" applyFont="1" applyBorder="1" applyAlignment="1">
      <alignment horizontal="center" vertical="center"/>
    </xf>
    <xf numFmtId="0" fontId="41" fillId="0" borderId="9" xfId="2" applyFont="1" applyBorder="1" applyAlignment="1">
      <alignment horizontal="center" vertical="center"/>
    </xf>
    <xf numFmtId="0" fontId="59" fillId="0" borderId="9" xfId="0" applyFont="1" applyBorder="1" applyAlignment="1">
      <alignment vertical="center" wrapText="1"/>
    </xf>
    <xf numFmtId="4" fontId="41" fillId="0" borderId="9" xfId="2" applyNumberFormat="1" applyFont="1" applyBorder="1" applyAlignment="1">
      <alignment horizontal="center" vertical="center"/>
    </xf>
    <xf numFmtId="0" fontId="8" fillId="8" borderId="9" xfId="2" applyFont="1" applyFill="1" applyBorder="1" applyAlignment="1">
      <alignment vertical="center" wrapText="1"/>
    </xf>
    <xf numFmtId="0" fontId="38" fillId="8" borderId="9" xfId="2" applyFont="1" applyFill="1" applyBorder="1" applyAlignment="1">
      <alignment horizontal="center" vertical="center"/>
    </xf>
    <xf numFmtId="0" fontId="37" fillId="8" borderId="9" xfId="2" applyFont="1" applyFill="1" applyBorder="1" applyAlignment="1">
      <alignment horizontal="center" vertical="center"/>
    </xf>
    <xf numFmtId="0" fontId="46" fillId="8" borderId="9" xfId="2" applyFont="1" applyFill="1" applyBorder="1" applyAlignment="1">
      <alignment horizontal="center" vertical="center"/>
    </xf>
    <xf numFmtId="49" fontId="8" fillId="8" borderId="9" xfId="2" applyNumberFormat="1" applyFont="1" applyFill="1" applyBorder="1" applyAlignment="1">
      <alignment horizontal="center" vertical="center"/>
    </xf>
    <xf numFmtId="0" fontId="8" fillId="0" borderId="9" xfId="2" applyFont="1" applyBorder="1" applyAlignment="1">
      <alignment horizontal="center"/>
    </xf>
    <xf numFmtId="0" fontId="6" fillId="0" borderId="9" xfId="2" applyFont="1" applyBorder="1" applyAlignment="1">
      <alignment horizontal="center"/>
    </xf>
    <xf numFmtId="0" fontId="8" fillId="0" borderId="9" xfId="2" applyFont="1" applyBorder="1" applyAlignment="1">
      <alignment wrapText="1"/>
    </xf>
    <xf numFmtId="0" fontId="17" fillId="0" borderId="9" xfId="2" applyFont="1" applyBorder="1" applyAlignment="1">
      <alignment horizontal="center"/>
    </xf>
    <xf numFmtId="0" fontId="39" fillId="0" borderId="9" xfId="2" applyFont="1" applyBorder="1" applyAlignment="1">
      <alignment wrapText="1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46" fillId="0" borderId="9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 wrapText="1"/>
    </xf>
    <xf numFmtId="49" fontId="38" fillId="0" borderId="9" xfId="0" applyNumberFormat="1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vertical="center" wrapText="1"/>
    </xf>
    <xf numFmtId="49" fontId="6" fillId="0" borderId="9" xfId="0" applyNumberFormat="1" applyFont="1" applyBorder="1" applyAlignment="1">
      <alignment horizontal="center" vertical="center"/>
    </xf>
    <xf numFmtId="4" fontId="6" fillId="7" borderId="9" xfId="0" applyNumberFormat="1" applyFont="1" applyFill="1" applyBorder="1" applyAlignment="1">
      <alignment horizontal="center" vertical="center"/>
    </xf>
    <xf numFmtId="0" fontId="6" fillId="6" borderId="12" xfId="0" applyFont="1" applyFill="1" applyBorder="1" applyAlignment="1" applyProtection="1">
      <alignment horizontal="center" vertical="center"/>
      <protection locked="0"/>
    </xf>
    <xf numFmtId="167" fontId="6" fillId="0" borderId="9" xfId="0" applyNumberFormat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vertical="center" wrapText="1"/>
    </xf>
    <xf numFmtId="167" fontId="6" fillId="4" borderId="9" xfId="0" applyNumberFormat="1" applyFont="1" applyFill="1" applyBorder="1" applyAlignment="1" applyProtection="1">
      <alignment horizontal="center" vertical="center"/>
      <protection locked="0"/>
    </xf>
    <xf numFmtId="167" fontId="8" fillId="3" borderId="9" xfId="0" applyNumberFormat="1" applyFont="1" applyFill="1" applyBorder="1" applyAlignment="1">
      <alignment horizontal="center" vertical="center"/>
    </xf>
    <xf numFmtId="168" fontId="40" fillId="3" borderId="9" xfId="2" applyNumberFormat="1" applyFont="1" applyFill="1" applyBorder="1" applyAlignment="1">
      <alignment horizontal="center" vertical="center"/>
    </xf>
    <xf numFmtId="168" fontId="6" fillId="4" borderId="9" xfId="0" applyNumberFormat="1" applyFont="1" applyFill="1" applyBorder="1" applyAlignment="1">
      <alignment horizontal="center" vertical="center"/>
    </xf>
    <xf numFmtId="168" fontId="40" fillId="4" borderId="9" xfId="2" applyNumberFormat="1" applyFont="1" applyFill="1" applyBorder="1" applyAlignment="1">
      <alignment horizontal="center" vertical="center"/>
    </xf>
    <xf numFmtId="167" fontId="40" fillId="4" borderId="9" xfId="2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0" fontId="40" fillId="0" borderId="9" xfId="2" applyFont="1" applyBorder="1" applyAlignment="1">
      <alignment horizontal="center" vertical="center"/>
    </xf>
    <xf numFmtId="0" fontId="39" fillId="8" borderId="9" xfId="2" applyFont="1" applyFill="1" applyBorder="1" applyAlignment="1">
      <alignment horizontal="center" vertical="center"/>
    </xf>
    <xf numFmtId="0" fontId="40" fillId="8" borderId="9" xfId="2" applyFont="1" applyFill="1" applyBorder="1" applyAlignment="1">
      <alignment horizontal="center" vertical="center"/>
    </xf>
    <xf numFmtId="0" fontId="41" fillId="8" borderId="9" xfId="2" applyFont="1" applyFill="1" applyBorder="1" applyAlignment="1">
      <alignment vertical="center" wrapText="1"/>
    </xf>
    <xf numFmtId="168" fontId="41" fillId="0" borderId="9" xfId="2" applyNumberFormat="1" applyFont="1" applyBorder="1" applyAlignment="1">
      <alignment horizontal="center" vertical="center"/>
    </xf>
    <xf numFmtId="168" fontId="40" fillId="7" borderId="9" xfId="2" applyNumberFormat="1" applyFont="1" applyFill="1" applyBorder="1" applyAlignment="1">
      <alignment horizontal="center" vertical="center"/>
    </xf>
    <xf numFmtId="167" fontId="40" fillId="7" borderId="9" xfId="2" applyNumberFormat="1" applyFont="1" applyFill="1" applyBorder="1" applyAlignment="1">
      <alignment horizontal="center" vertical="center"/>
    </xf>
    <xf numFmtId="168" fontId="40" fillId="4" borderId="9" xfId="0" applyNumberFormat="1" applyFont="1" applyFill="1" applyBorder="1" applyAlignment="1">
      <alignment horizontal="center" vertical="center"/>
    </xf>
    <xf numFmtId="0" fontId="17" fillId="8" borderId="9" xfId="2" applyFont="1" applyFill="1" applyBorder="1" applyAlignment="1">
      <alignment horizontal="center" vertical="center"/>
    </xf>
    <xf numFmtId="0" fontId="39" fillId="8" borderId="9" xfId="2" applyFont="1" applyFill="1" applyBorder="1" applyAlignment="1">
      <alignment vertical="center" wrapText="1"/>
    </xf>
    <xf numFmtId="3" fontId="6" fillId="0" borderId="9" xfId="0" applyNumberFormat="1" applyFont="1" applyBorder="1" applyAlignment="1">
      <alignment horizontal="center" vertical="center"/>
    </xf>
    <xf numFmtId="49" fontId="35" fillId="4" borderId="9" xfId="0" applyNumberFormat="1" applyFont="1" applyFill="1" applyBorder="1" applyAlignment="1">
      <alignment horizontal="center" vertical="center"/>
    </xf>
    <xf numFmtId="3" fontId="6" fillId="4" borderId="9" xfId="0" applyNumberFormat="1" applyFont="1" applyFill="1" applyBorder="1" applyAlignment="1" applyProtection="1">
      <alignment horizontal="center" vertical="center"/>
      <protection locked="0"/>
    </xf>
    <xf numFmtId="3" fontId="8" fillId="3" borderId="9" xfId="0" applyNumberFormat="1" applyFont="1" applyFill="1" applyBorder="1" applyAlignment="1">
      <alignment horizontal="center" vertical="center"/>
    </xf>
    <xf numFmtId="4" fontId="40" fillId="3" borderId="9" xfId="2" applyNumberFormat="1" applyFont="1" applyFill="1" applyBorder="1" applyAlignment="1">
      <alignment horizontal="center" vertical="center"/>
    </xf>
    <xf numFmtId="4" fontId="6" fillId="4" borderId="9" xfId="0" applyNumberFormat="1" applyFont="1" applyFill="1" applyBorder="1" applyAlignment="1">
      <alignment horizontal="center" vertical="center"/>
    </xf>
    <xf numFmtId="49" fontId="41" fillId="0" borderId="9" xfId="0" applyNumberFormat="1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1" fillId="0" borderId="9" xfId="0" applyFont="1" applyBorder="1" applyAlignment="1">
      <alignment vertical="center" wrapText="1"/>
    </xf>
    <xf numFmtId="0" fontId="57" fillId="6" borderId="9" xfId="0" applyFont="1" applyFill="1" applyBorder="1" applyAlignment="1" applyProtection="1">
      <alignment horizontal="center" vertical="center"/>
      <protection locked="0"/>
    </xf>
    <xf numFmtId="3" fontId="41" fillId="0" borderId="9" xfId="0" applyNumberFormat="1" applyFont="1" applyBorder="1" applyAlignment="1">
      <alignment horizontal="center" vertical="center"/>
    </xf>
    <xf numFmtId="4" fontId="40" fillId="7" borderId="9" xfId="0" applyNumberFormat="1" applyFont="1" applyFill="1" applyBorder="1" applyAlignment="1">
      <alignment horizontal="center" vertical="center"/>
    </xf>
    <xf numFmtId="4" fontId="40" fillId="7" borderId="9" xfId="2" applyNumberFormat="1" applyFont="1" applyFill="1" applyBorder="1" applyAlignment="1">
      <alignment horizontal="center" vertical="center"/>
    </xf>
    <xf numFmtId="3" fontId="6" fillId="8" borderId="9" xfId="0" applyNumberFormat="1" applyFont="1" applyFill="1" applyBorder="1" applyAlignment="1">
      <alignment horizontal="center" vertical="center"/>
    </xf>
    <xf numFmtId="49" fontId="35" fillId="8" borderId="9" xfId="0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49" fontId="6" fillId="8" borderId="9" xfId="0" applyNumberFormat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vertical="center" wrapText="1"/>
    </xf>
    <xf numFmtId="0" fontId="47" fillId="6" borderId="9" xfId="0" applyFont="1" applyFill="1" applyBorder="1" applyAlignment="1" applyProtection="1">
      <alignment horizontal="center" vertical="center"/>
      <protection locked="0"/>
    </xf>
    <xf numFmtId="3" fontId="8" fillId="8" borderId="9" xfId="0" applyNumberFormat="1" applyFont="1" applyFill="1" applyBorder="1" applyAlignment="1">
      <alignment horizontal="center" vertical="center"/>
    </xf>
    <xf numFmtId="4" fontId="40" fillId="8" borderId="9" xfId="2" applyNumberFormat="1" applyFont="1" applyFill="1" applyBorder="1" applyAlignment="1">
      <alignment horizontal="center" vertical="center"/>
    </xf>
    <xf numFmtId="4" fontId="38" fillId="7" borderId="9" xfId="0" applyNumberFormat="1" applyFont="1" applyFill="1" applyBorder="1" applyAlignment="1">
      <alignment horizontal="center" vertical="center"/>
    </xf>
    <xf numFmtId="3" fontId="40" fillId="0" borderId="9" xfId="0" applyNumberFormat="1" applyFont="1" applyBorder="1" applyAlignment="1">
      <alignment horizontal="center" vertical="center"/>
    </xf>
    <xf numFmtId="49" fontId="41" fillId="4" borderId="9" xfId="0" applyNumberFormat="1" applyFont="1" applyFill="1" applyBorder="1" applyAlignment="1">
      <alignment horizontal="center" vertical="center"/>
    </xf>
    <xf numFmtId="14" fontId="41" fillId="4" borderId="9" xfId="0" applyNumberFormat="1" applyFont="1" applyFill="1" applyBorder="1" applyAlignment="1">
      <alignment horizontal="center" vertical="center"/>
    </xf>
    <xf numFmtId="49" fontId="40" fillId="3" borderId="9" xfId="0" applyNumberFormat="1" applyFont="1" applyFill="1" applyBorder="1" applyAlignment="1">
      <alignment horizontal="center" vertical="center"/>
    </xf>
    <xf numFmtId="0" fontId="40" fillId="3" borderId="9" xfId="0" applyFont="1" applyFill="1" applyBorder="1" applyAlignment="1">
      <alignment vertical="center" wrapText="1"/>
    </xf>
    <xf numFmtId="3" fontId="41" fillId="3" borderId="9" xfId="0" applyNumberFormat="1" applyFont="1" applyFill="1" applyBorder="1" applyAlignment="1">
      <alignment horizontal="center" vertical="center"/>
    </xf>
    <xf numFmtId="4" fontId="40" fillId="4" borderId="9" xfId="0" applyNumberFormat="1" applyFont="1" applyFill="1" applyBorder="1" applyAlignment="1">
      <alignment horizontal="center" vertical="center"/>
    </xf>
    <xf numFmtId="0" fontId="41" fillId="4" borderId="9" xfId="0" applyFont="1" applyFill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40" fillId="0" borderId="9" xfId="7" applyNumberFormat="1" applyFont="1" applyBorder="1" applyAlignment="1">
      <alignment horizontal="center" vertical="center"/>
    </xf>
    <xf numFmtId="4" fontId="41" fillId="8" borderId="9" xfId="2" applyNumberFormat="1" applyFont="1" applyFill="1" applyBorder="1" applyAlignment="1">
      <alignment horizontal="center" vertical="center"/>
    </xf>
    <xf numFmtId="0" fontId="41" fillId="0" borderId="9" xfId="7" applyFont="1" applyBorder="1" applyAlignment="1">
      <alignment vertical="center" wrapText="1"/>
    </xf>
    <xf numFmtId="49" fontId="42" fillId="0" borderId="9" xfId="0" applyNumberFormat="1" applyFont="1" applyBorder="1" applyAlignment="1">
      <alignment horizontal="center" vertical="center"/>
    </xf>
    <xf numFmtId="49" fontId="17" fillId="0" borderId="9" xfId="0" applyNumberFormat="1" applyFont="1" applyBorder="1" applyAlignment="1">
      <alignment horizontal="center" vertical="center"/>
    </xf>
    <xf numFmtId="49" fontId="39" fillId="0" borderId="9" xfId="0" applyNumberFormat="1" applyFont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4" fontId="17" fillId="7" borderId="9" xfId="0" applyNumberFormat="1" applyFont="1" applyFill="1" applyBorder="1" applyAlignment="1">
      <alignment horizontal="center" vertical="center"/>
    </xf>
    <xf numFmtId="49" fontId="40" fillId="0" borderId="9" xfId="0" applyNumberFormat="1" applyFont="1" applyBorder="1" applyAlignment="1">
      <alignment horizontal="center" vertical="center"/>
    </xf>
    <xf numFmtId="0" fontId="40" fillId="6" borderId="9" xfId="0" applyFont="1" applyFill="1" applyBorder="1" applyAlignment="1" applyProtection="1">
      <alignment horizontal="center" vertical="center"/>
      <protection locked="0"/>
    </xf>
    <xf numFmtId="0" fontId="8" fillId="8" borderId="9" xfId="0" applyFont="1" applyFill="1" applyBorder="1" applyAlignment="1">
      <alignment horizontal="left" vertical="center"/>
    </xf>
    <xf numFmtId="49" fontId="40" fillId="4" borderId="9" xfId="0" applyNumberFormat="1" applyFont="1" applyFill="1" applyBorder="1" applyAlignment="1">
      <alignment horizontal="center" vertical="center"/>
    </xf>
    <xf numFmtId="0" fontId="40" fillId="4" borderId="9" xfId="0" applyFont="1" applyFill="1" applyBorder="1" applyAlignment="1">
      <alignment vertical="center" wrapText="1"/>
    </xf>
    <xf numFmtId="14" fontId="40" fillId="4" borderId="9" xfId="0" applyNumberFormat="1" applyFont="1" applyFill="1" applyBorder="1" applyAlignment="1">
      <alignment vertical="center" wrapText="1"/>
    </xf>
    <xf numFmtId="3" fontId="41" fillId="4" borderId="9" xfId="0" applyNumberFormat="1" applyFont="1" applyFill="1" applyBorder="1" applyAlignment="1">
      <alignment horizontal="center" vertical="center"/>
    </xf>
    <xf numFmtId="49" fontId="37" fillId="0" borderId="9" xfId="0" applyNumberFormat="1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0" fontId="41" fillId="0" borderId="9" xfId="7" applyFont="1" applyBorder="1" applyAlignment="1">
      <alignment horizontal="center" vertical="center"/>
    </xf>
    <xf numFmtId="4" fontId="40" fillId="7" borderId="9" xfId="7" applyNumberFormat="1" applyFont="1" applyFill="1" applyBorder="1" applyAlignment="1">
      <alignment horizontal="center" vertical="center"/>
    </xf>
    <xf numFmtId="49" fontId="38" fillId="0" borderId="9" xfId="7" applyNumberFormat="1" applyFont="1" applyBorder="1" applyAlignment="1">
      <alignment horizontal="center" vertical="center"/>
    </xf>
    <xf numFmtId="0" fontId="37" fillId="0" borderId="9" xfId="7" applyFont="1" applyBorder="1" applyAlignment="1">
      <alignment horizontal="center" vertical="center"/>
    </xf>
    <xf numFmtId="0" fontId="37" fillId="0" borderId="9" xfId="7" applyFont="1" applyBorder="1" applyAlignment="1">
      <alignment vertical="center" wrapText="1"/>
    </xf>
    <xf numFmtId="4" fontId="38" fillId="7" borderId="9" xfId="7" applyNumberFormat="1" applyFont="1" applyFill="1" applyBorder="1" applyAlignment="1">
      <alignment horizontal="center" vertical="center"/>
    </xf>
    <xf numFmtId="0" fontId="8" fillId="0" borderId="9" xfId="7" applyBorder="1" applyAlignment="1">
      <alignment horizontal="center" vertical="center"/>
    </xf>
    <xf numFmtId="0" fontId="8" fillId="0" borderId="9" xfId="7" applyBorder="1" applyAlignment="1">
      <alignment vertical="center" wrapText="1"/>
    </xf>
    <xf numFmtId="4" fontId="6" fillId="7" borderId="9" xfId="7" applyNumberFormat="1" applyFont="1" applyFill="1" applyBorder="1" applyAlignment="1">
      <alignment horizontal="center" vertical="center"/>
    </xf>
    <xf numFmtId="0" fontId="39" fillId="0" borderId="9" xfId="0" applyFont="1" applyBorder="1" applyAlignment="1">
      <alignment vertical="center" wrapText="1"/>
    </xf>
    <xf numFmtId="0" fontId="41" fillId="0" borderId="11" xfId="2" applyFont="1" applyBorder="1" applyAlignment="1">
      <alignment horizontal="center" vertical="center"/>
    </xf>
    <xf numFmtId="0" fontId="60" fillId="0" borderId="9" xfId="0" applyFont="1" applyBorder="1" applyAlignment="1">
      <alignment vertical="center" wrapText="1"/>
    </xf>
    <xf numFmtId="0" fontId="38" fillId="6" borderId="12" xfId="0" applyFont="1" applyFill="1" applyBorder="1" applyAlignment="1" applyProtection="1">
      <alignment horizontal="center" vertical="center"/>
      <protection locked="0"/>
    </xf>
    <xf numFmtId="49" fontId="8" fillId="0" borderId="9" xfId="2" applyNumberFormat="1" applyFont="1" applyBorder="1" applyAlignment="1">
      <alignment horizontal="center" vertical="center"/>
    </xf>
    <xf numFmtId="4" fontId="8" fillId="0" borderId="9" xfId="2" applyNumberFormat="1" applyFont="1" applyBorder="1" applyAlignment="1">
      <alignment horizontal="left" vertical="center" wrapText="1"/>
    </xf>
    <xf numFmtId="14" fontId="40" fillId="3" borderId="9" xfId="0" applyNumberFormat="1" applyFont="1" applyFill="1" applyBorder="1" applyAlignment="1">
      <alignment vertical="center" wrapText="1"/>
    </xf>
    <xf numFmtId="49" fontId="6" fillId="0" borderId="9" xfId="7" applyNumberFormat="1" applyFont="1" applyBorder="1" applyAlignment="1">
      <alignment horizontal="center" vertical="center"/>
    </xf>
    <xf numFmtId="49" fontId="41" fillId="0" borderId="9" xfId="0" applyNumberFormat="1" applyFont="1" applyBorder="1" applyAlignment="1">
      <alignment horizontal="left" vertical="center" wrapText="1"/>
    </xf>
    <xf numFmtId="0" fontId="8" fillId="0" borderId="9" xfId="8" applyFont="1" applyBorder="1" applyAlignment="1">
      <alignment horizontal="center" vertical="center"/>
    </xf>
    <xf numFmtId="0" fontId="8" fillId="0" borderId="9" xfId="8" applyFont="1" applyBorder="1" applyAlignment="1">
      <alignment vertical="center" wrapText="1"/>
    </xf>
    <xf numFmtId="4" fontId="6" fillId="7" borderId="9" xfId="8" applyNumberFormat="1" applyFont="1" applyFill="1" applyBorder="1" applyAlignment="1">
      <alignment horizontal="center" vertical="center"/>
    </xf>
    <xf numFmtId="1" fontId="41" fillId="0" borderId="9" xfId="0" applyNumberFormat="1" applyFont="1" applyBorder="1" applyAlignment="1">
      <alignment horizontal="center" vertical="center"/>
    </xf>
    <xf numFmtId="4" fontId="41" fillId="8" borderId="9" xfId="0" applyNumberFormat="1" applyFont="1" applyFill="1" applyBorder="1" applyAlignment="1">
      <alignment horizontal="center" vertical="center"/>
    </xf>
    <xf numFmtId="4" fontId="40" fillId="0" borderId="9" xfId="2" applyNumberFormat="1" applyFont="1" applyBorder="1" applyAlignment="1">
      <alignment horizontal="center" vertical="center"/>
    </xf>
    <xf numFmtId="0" fontId="54" fillId="8" borderId="9" xfId="0" applyFont="1" applyFill="1" applyBorder="1"/>
    <xf numFmtId="0" fontId="51" fillId="8" borderId="9" xfId="0" applyFont="1" applyFill="1" applyBorder="1"/>
    <xf numFmtId="1" fontId="51" fillId="8" borderId="9" xfId="0" applyNumberFormat="1" applyFont="1" applyFill="1" applyBorder="1"/>
    <xf numFmtId="14" fontId="8" fillId="8" borderId="9" xfId="0" applyNumberFormat="1" applyFont="1" applyFill="1" applyBorder="1" applyAlignment="1">
      <alignment horizontal="center" vertical="center"/>
    </xf>
    <xf numFmtId="0" fontId="15" fillId="6" borderId="9" xfId="0" applyFont="1" applyFill="1" applyBorder="1" applyAlignment="1" applyProtection="1">
      <alignment horizontal="center" vertical="center"/>
      <protection locked="0"/>
    </xf>
    <xf numFmtId="3" fontId="17" fillId="0" borderId="9" xfId="0" applyNumberFormat="1" applyFont="1" applyBorder="1" applyAlignment="1">
      <alignment horizontal="center" vertical="center"/>
    </xf>
    <xf numFmtId="0" fontId="0" fillId="0" borderId="9" xfId="0" applyBorder="1"/>
    <xf numFmtId="0" fontId="41" fillId="0" borderId="9" xfId="2" applyFont="1" applyBorder="1" applyAlignment="1">
      <alignment horizontal="center" vertical="center" wrapText="1"/>
    </xf>
    <xf numFmtId="0" fontId="6" fillId="6" borderId="9" xfId="10" applyFont="1" applyFill="1" applyBorder="1" applyAlignment="1" applyProtection="1">
      <alignment horizontal="center" vertical="center"/>
      <protection locked="0"/>
    </xf>
    <xf numFmtId="3" fontId="38" fillId="0" borderId="9" xfId="0" applyNumberFormat="1" applyFont="1" applyBorder="1" applyAlignment="1">
      <alignment horizontal="center" vertical="center"/>
    </xf>
    <xf numFmtId="4" fontId="37" fillId="0" borderId="9" xfId="0" applyNumberFormat="1" applyFont="1" applyBorder="1" applyAlignment="1">
      <alignment horizontal="center" vertical="center"/>
    </xf>
    <xf numFmtId="4" fontId="41" fillId="0" borderId="9" xfId="2" applyNumberFormat="1" applyFont="1" applyBorder="1" applyAlignment="1">
      <alignment horizontal="left" vertical="center" wrapText="1"/>
    </xf>
    <xf numFmtId="3" fontId="41" fillId="0" borderId="9" xfId="2" applyNumberFormat="1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4" fontId="37" fillId="0" borderId="9" xfId="2" applyNumberFormat="1" applyFont="1" applyBorder="1" applyAlignment="1">
      <alignment horizontal="left" vertical="center" wrapText="1"/>
    </xf>
    <xf numFmtId="3" fontId="37" fillId="0" borderId="9" xfId="2" applyNumberFormat="1" applyFont="1" applyBorder="1" applyAlignment="1">
      <alignment horizontal="center" vertical="center"/>
    </xf>
    <xf numFmtId="3" fontId="40" fillId="4" borderId="9" xfId="0" applyNumberFormat="1" applyFont="1" applyFill="1" applyBorder="1" applyAlignment="1" applyProtection="1">
      <alignment horizontal="center" vertical="center"/>
      <protection locked="0"/>
    </xf>
    <xf numFmtId="4" fontId="41" fillId="3" borderId="9" xfId="9" applyNumberFormat="1" applyFont="1" applyFill="1" applyBorder="1" applyAlignment="1">
      <alignment horizontal="center" vertical="center"/>
    </xf>
    <xf numFmtId="4" fontId="40" fillId="4" borderId="9" xfId="9" applyNumberFormat="1" applyFont="1" applyFill="1" applyBorder="1" applyAlignment="1">
      <alignment horizontal="center" vertical="center"/>
    </xf>
    <xf numFmtId="0" fontId="6" fillId="0" borderId="9" xfId="9" applyFont="1" applyBorder="1" applyAlignment="1">
      <alignment horizontal="center" vertical="center"/>
    </xf>
    <xf numFmtId="0" fontId="8" fillId="4" borderId="9" xfId="9" applyFont="1" applyFill="1" applyBorder="1" applyAlignment="1">
      <alignment horizontal="center" vertical="center"/>
    </xf>
    <xf numFmtId="49" fontId="6" fillId="3" borderId="9" xfId="9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/>
    </xf>
    <xf numFmtId="49" fontId="6" fillId="4" borderId="9" xfId="9" applyNumberFormat="1" applyFont="1" applyFill="1" applyBorder="1" applyAlignment="1" applyProtection="1">
      <alignment horizontal="center" vertical="center"/>
      <protection locked="0"/>
    </xf>
    <xf numFmtId="49" fontId="8" fillId="3" borderId="9" xfId="9" applyNumberFormat="1" applyFont="1" applyFill="1" applyBorder="1" applyAlignment="1">
      <alignment horizontal="center" vertical="center"/>
    </xf>
    <xf numFmtId="4" fontId="8" fillId="3" borderId="9" xfId="9" applyNumberFormat="1" applyFont="1" applyFill="1" applyBorder="1" applyAlignment="1">
      <alignment horizontal="center" vertical="center"/>
    </xf>
    <xf numFmtId="4" fontId="6" fillId="4" borderId="9" xfId="9" applyNumberFormat="1" applyFont="1" applyFill="1" applyBorder="1" applyAlignment="1">
      <alignment horizontal="center" vertical="center"/>
    </xf>
    <xf numFmtId="0" fontId="40" fillId="6" borderId="9" xfId="10" applyFont="1" applyFill="1" applyBorder="1" applyAlignment="1" applyProtection="1">
      <alignment horizontal="center" vertical="center"/>
      <protection locked="0"/>
    </xf>
    <xf numFmtId="0" fontId="17" fillId="6" borderId="9" xfId="10" applyFont="1" applyFill="1" applyBorder="1" applyAlignment="1" applyProtection="1">
      <alignment horizontal="center" vertical="center"/>
      <protection locked="0"/>
    </xf>
    <xf numFmtId="0" fontId="40" fillId="0" borderId="9" xfId="9" applyFont="1" applyBorder="1" applyAlignment="1">
      <alignment horizontal="center" vertical="center"/>
    </xf>
    <xf numFmtId="0" fontId="40" fillId="4" borderId="9" xfId="2" applyFont="1" applyFill="1" applyBorder="1" applyAlignment="1">
      <alignment horizontal="center" vertical="center"/>
    </xf>
    <xf numFmtId="49" fontId="40" fillId="3" borderId="9" xfId="9" applyNumberFormat="1" applyFont="1" applyFill="1" applyBorder="1" applyAlignment="1">
      <alignment horizontal="center" vertical="center"/>
    </xf>
    <xf numFmtId="0" fontId="40" fillId="3" borderId="9" xfId="0" applyFont="1" applyFill="1" applyBorder="1" applyAlignment="1">
      <alignment horizontal="left" vertical="center" wrapText="1"/>
    </xf>
    <xf numFmtId="49" fontId="40" fillId="4" borderId="9" xfId="9" applyNumberFormat="1" applyFont="1" applyFill="1" applyBorder="1" applyAlignment="1" applyProtection="1">
      <alignment horizontal="center" vertical="center"/>
      <protection locked="0"/>
    </xf>
    <xf numFmtId="49" fontId="41" fillId="3" borderId="9" xfId="9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 applyProtection="1">
      <alignment horizontal="center" vertical="center"/>
      <protection locked="0"/>
    </xf>
    <xf numFmtId="164" fontId="6" fillId="0" borderId="9" xfId="2" applyNumberFormat="1" applyFont="1" applyBorder="1" applyAlignment="1">
      <alignment horizontal="center" vertical="center"/>
    </xf>
    <xf numFmtId="49" fontId="8" fillId="4" borderId="9" xfId="10" applyNumberFormat="1" applyFill="1" applyBorder="1" applyAlignment="1">
      <alignment horizontal="center" vertical="center"/>
    </xf>
    <xf numFmtId="4" fontId="6" fillId="4" borderId="9" xfId="2" applyNumberFormat="1" applyFont="1" applyFill="1" applyBorder="1" applyAlignment="1" applyProtection="1">
      <alignment horizontal="center" vertical="center"/>
      <protection locked="0"/>
    </xf>
    <xf numFmtId="4" fontId="8" fillId="3" borderId="9" xfId="2" applyNumberFormat="1" applyFont="1" applyFill="1" applyBorder="1" applyAlignment="1">
      <alignment horizontal="center" vertical="center"/>
    </xf>
    <xf numFmtId="49" fontId="35" fillId="4" borderId="9" xfId="10" applyNumberFormat="1" applyFont="1" applyFill="1" applyBorder="1" applyAlignment="1">
      <alignment horizontal="center" vertical="center"/>
    </xf>
    <xf numFmtId="49" fontId="6" fillId="0" borderId="9" xfId="10" applyNumberFormat="1" applyFont="1" applyBorder="1" applyAlignment="1">
      <alignment horizontal="center" vertical="center"/>
    </xf>
    <xf numFmtId="49" fontId="8" fillId="0" borderId="9" xfId="10" applyNumberFormat="1" applyBorder="1" applyAlignment="1">
      <alignment horizontal="center" vertical="center"/>
    </xf>
    <xf numFmtId="0" fontId="39" fillId="0" borderId="9" xfId="10" applyFont="1" applyBorder="1" applyAlignment="1">
      <alignment horizontal="center" vertical="center"/>
    </xf>
    <xf numFmtId="0" fontId="8" fillId="0" borderId="9" xfId="10" applyBorder="1" applyAlignment="1">
      <alignment vertical="center" wrapText="1"/>
    </xf>
    <xf numFmtId="0" fontId="8" fillId="0" borderId="9" xfId="10" applyBorder="1" applyAlignment="1">
      <alignment horizontal="center" vertical="center"/>
    </xf>
    <xf numFmtId="4" fontId="6" fillId="7" borderId="9" xfId="10" applyNumberFormat="1" applyFont="1" applyFill="1" applyBorder="1" applyAlignment="1">
      <alignment horizontal="center" vertical="center"/>
    </xf>
    <xf numFmtId="49" fontId="41" fillId="0" borderId="9" xfId="10" applyNumberFormat="1" applyFont="1" applyBorder="1" applyAlignment="1">
      <alignment horizontal="center" vertical="center"/>
    </xf>
    <xf numFmtId="49" fontId="38" fillId="0" borderId="9" xfId="10" applyNumberFormat="1" applyFont="1" applyBorder="1" applyAlignment="1">
      <alignment horizontal="center" vertical="center"/>
    </xf>
    <xf numFmtId="49" fontId="37" fillId="0" borderId="9" xfId="10" applyNumberFormat="1" applyFont="1" applyBorder="1" applyAlignment="1">
      <alignment horizontal="center" vertical="center"/>
    </xf>
    <xf numFmtId="0" fontId="37" fillId="0" borderId="9" xfId="10" applyFont="1" applyBorder="1" applyAlignment="1">
      <alignment horizontal="center" vertical="center"/>
    </xf>
    <xf numFmtId="0" fontId="37" fillId="0" borderId="9" xfId="10" applyFont="1" applyBorder="1" applyAlignment="1">
      <alignment vertical="center" wrapText="1"/>
    </xf>
    <xf numFmtId="4" fontId="38" fillId="7" borderId="9" xfId="10" applyNumberFormat="1" applyFont="1" applyFill="1" applyBorder="1" applyAlignment="1">
      <alignment horizontal="center" vertical="center"/>
    </xf>
    <xf numFmtId="49" fontId="8" fillId="8" borderId="9" xfId="10" applyNumberFormat="1" applyFill="1" applyBorder="1" applyAlignment="1">
      <alignment horizontal="center" vertical="center"/>
    </xf>
    <xf numFmtId="0" fontId="8" fillId="0" borderId="9" xfId="10" applyFont="1" applyBorder="1" applyAlignment="1">
      <alignment vertical="center" wrapText="1"/>
    </xf>
    <xf numFmtId="49" fontId="37" fillId="8" borderId="9" xfId="10" applyNumberFormat="1" applyFont="1" applyFill="1" applyBorder="1" applyAlignment="1">
      <alignment horizontal="center" vertical="center"/>
    </xf>
    <xf numFmtId="49" fontId="17" fillId="0" borderId="9" xfId="10" applyNumberFormat="1" applyFont="1" applyBorder="1" applyAlignment="1">
      <alignment horizontal="center" vertical="center"/>
    </xf>
    <xf numFmtId="49" fontId="39" fillId="8" borderId="9" xfId="10" applyNumberFormat="1" applyFont="1" applyFill="1" applyBorder="1" applyAlignment="1">
      <alignment horizontal="center" vertical="center"/>
    </xf>
    <xf numFmtId="0" fontId="39" fillId="0" borderId="9" xfId="10" applyFont="1" applyBorder="1" applyAlignment="1">
      <alignment vertical="center" wrapText="1"/>
    </xf>
    <xf numFmtId="4" fontId="17" fillId="7" borderId="9" xfId="10" applyNumberFormat="1" applyFont="1" applyFill="1" applyBorder="1" applyAlignment="1">
      <alignment horizontal="center" vertical="center"/>
    </xf>
    <xf numFmtId="49" fontId="41" fillId="8" borderId="9" xfId="10" applyNumberFormat="1" applyFont="1" applyFill="1" applyBorder="1" applyAlignment="1">
      <alignment horizontal="center" vertical="center"/>
    </xf>
    <xf numFmtId="2" fontId="8" fillId="0" borderId="9" xfId="2" applyNumberFormat="1" applyFont="1" applyBorder="1" applyAlignment="1">
      <alignment horizontal="center" vertical="center"/>
    </xf>
    <xf numFmtId="0" fontId="6" fillId="6" borderId="9" xfId="8" applyFont="1" applyFill="1" applyBorder="1" applyAlignment="1" applyProtection="1">
      <alignment horizontal="center" vertical="center"/>
      <protection locked="0"/>
    </xf>
    <xf numFmtId="49" fontId="6" fillId="0" borderId="9" xfId="8" applyNumberFormat="1" applyFont="1" applyBorder="1" applyAlignment="1">
      <alignment horizontal="center" vertical="center"/>
    </xf>
    <xf numFmtId="3" fontId="6" fillId="0" borderId="9" xfId="11" applyNumberFormat="1" applyFont="1" applyBorder="1" applyAlignment="1">
      <alignment horizontal="center" vertical="center"/>
    </xf>
    <xf numFmtId="49" fontId="8" fillId="4" borderId="9" xfId="11" applyNumberFormat="1" applyFill="1" applyBorder="1" applyAlignment="1">
      <alignment horizontal="center" vertical="center"/>
    </xf>
    <xf numFmtId="0" fontId="8" fillId="4" borderId="9" xfId="11" applyFill="1" applyBorder="1" applyAlignment="1">
      <alignment horizontal="center" vertical="center"/>
    </xf>
    <xf numFmtId="49" fontId="6" fillId="3" borderId="9" xfId="11" applyNumberFormat="1" applyFont="1" applyFill="1" applyBorder="1" applyAlignment="1">
      <alignment horizontal="center" vertical="center"/>
    </xf>
    <xf numFmtId="0" fontId="6" fillId="3" borderId="9" xfId="11" applyFont="1" applyFill="1" applyBorder="1" applyAlignment="1">
      <alignment vertical="center" wrapText="1"/>
    </xf>
    <xf numFmtId="165" fontId="6" fillId="4" borderId="9" xfId="11" applyNumberFormat="1" applyFont="1" applyFill="1" applyBorder="1" applyAlignment="1" applyProtection="1">
      <alignment horizontal="center" vertical="center"/>
      <protection locked="0"/>
    </xf>
    <xf numFmtId="49" fontId="8" fillId="3" borderId="9" xfId="11" applyNumberFormat="1" applyFill="1" applyBorder="1" applyAlignment="1">
      <alignment horizontal="center" vertical="center"/>
    </xf>
    <xf numFmtId="4" fontId="6" fillId="4" borderId="9" xfId="11" applyNumberFormat="1" applyFont="1" applyFill="1" applyBorder="1" applyAlignment="1">
      <alignment horizontal="center" vertical="center"/>
    </xf>
    <xf numFmtId="49" fontId="8" fillId="0" borderId="9" xfId="11" applyNumberFormat="1" applyBorder="1" applyAlignment="1">
      <alignment horizontal="center" vertical="center"/>
    </xf>
    <xf numFmtId="0" fontId="8" fillId="0" borderId="9" xfId="11" applyBorder="1" applyAlignment="1">
      <alignment vertical="center" wrapText="1"/>
    </xf>
    <xf numFmtId="4" fontId="6" fillId="7" borderId="9" xfId="11" applyNumberFormat="1" applyFont="1" applyFill="1" applyBorder="1" applyAlignment="1">
      <alignment horizontal="center" vertical="center"/>
    </xf>
    <xf numFmtId="49" fontId="46" fillId="0" borderId="9" xfId="11" applyNumberFormat="1" applyFont="1" applyBorder="1" applyAlignment="1">
      <alignment horizontal="center" vertical="center"/>
    </xf>
    <xf numFmtId="0" fontId="8" fillId="0" borderId="9" xfId="11" applyBorder="1" applyAlignment="1">
      <alignment horizontal="center" vertical="center"/>
    </xf>
    <xf numFmtId="49" fontId="41" fillId="0" borderId="9" xfId="11" applyNumberFormat="1" applyFont="1" applyBorder="1" applyAlignment="1">
      <alignment horizontal="center" vertical="center"/>
    </xf>
    <xf numFmtId="0" fontId="41" fillId="0" borderId="9" xfId="11" applyFont="1" applyBorder="1" applyAlignment="1">
      <alignment vertical="center" wrapText="1"/>
    </xf>
    <xf numFmtId="0" fontId="41" fillId="0" borderId="9" xfId="8" applyFont="1" applyBorder="1" applyAlignment="1">
      <alignment horizontal="center" vertical="center"/>
    </xf>
    <xf numFmtId="0" fontId="41" fillId="0" borderId="9" xfId="11" applyFont="1" applyBorder="1" applyAlignment="1">
      <alignment horizontal="center" vertical="center"/>
    </xf>
    <xf numFmtId="4" fontId="40" fillId="7" borderId="9" xfId="11" applyNumberFormat="1" applyFont="1" applyFill="1" applyBorder="1" applyAlignment="1">
      <alignment horizontal="center" vertical="center"/>
    </xf>
    <xf numFmtId="49" fontId="6" fillId="0" borderId="9" xfId="11" applyNumberFormat="1" applyFont="1" applyBorder="1" applyAlignment="1">
      <alignment horizontal="center" vertical="center"/>
    </xf>
    <xf numFmtId="49" fontId="45" fillId="0" borderId="9" xfId="11" applyNumberFormat="1" applyFont="1" applyBorder="1" applyAlignment="1">
      <alignment horizontal="center" vertical="center"/>
    </xf>
    <xf numFmtId="49" fontId="37" fillId="0" borderId="9" xfId="11" applyNumberFormat="1" applyFont="1" applyBorder="1" applyAlignment="1">
      <alignment horizontal="center" vertical="center"/>
    </xf>
    <xf numFmtId="0" fontId="37" fillId="0" borderId="9" xfId="11" applyFont="1" applyBorder="1" applyAlignment="1">
      <alignment horizontal="center" vertical="center"/>
    </xf>
    <xf numFmtId="0" fontId="37" fillId="0" borderId="9" xfId="11" applyFont="1" applyBorder="1" applyAlignment="1">
      <alignment vertical="center" wrapText="1"/>
    </xf>
    <xf numFmtId="0" fontId="37" fillId="0" borderId="9" xfId="8" applyFont="1" applyBorder="1" applyAlignment="1">
      <alignment horizontal="center" vertical="center"/>
    </xf>
    <xf numFmtId="4" fontId="38" fillId="7" borderId="9" xfId="11" applyNumberFormat="1" applyFont="1" applyFill="1" applyBorder="1" applyAlignment="1">
      <alignment horizontal="center" vertical="center"/>
    </xf>
    <xf numFmtId="49" fontId="8" fillId="8" borderId="9" xfId="11" applyNumberFormat="1" applyFill="1" applyBorder="1" applyAlignment="1">
      <alignment horizontal="center" vertical="center"/>
    </xf>
    <xf numFmtId="0" fontId="8" fillId="8" borderId="9" xfId="11" applyFill="1" applyBorder="1" applyAlignment="1">
      <alignment vertical="center" wrapText="1"/>
    </xf>
    <xf numFmtId="3" fontId="45" fillId="0" borderId="9" xfId="11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vertical="center" wrapText="1"/>
    </xf>
    <xf numFmtId="3" fontId="6" fillId="0" borderId="9" xfId="8" applyNumberFormat="1" applyFont="1" applyBorder="1" applyAlignment="1">
      <alignment horizontal="center" vertical="center"/>
    </xf>
    <xf numFmtId="49" fontId="8" fillId="4" borderId="9" xfId="8" applyNumberFormat="1" applyFont="1" applyFill="1" applyBorder="1" applyAlignment="1">
      <alignment horizontal="center" vertical="center"/>
    </xf>
    <xf numFmtId="0" fontId="8" fillId="4" borderId="9" xfId="8" applyFont="1" applyFill="1" applyBorder="1" applyAlignment="1">
      <alignment horizontal="center" vertical="center"/>
    </xf>
    <xf numFmtId="49" fontId="6" fillId="3" borderId="9" xfId="8" applyNumberFormat="1" applyFont="1" applyFill="1" applyBorder="1" applyAlignment="1">
      <alignment vertical="center"/>
    </xf>
    <xf numFmtId="0" fontId="6" fillId="3" borderId="9" xfId="8" applyFont="1" applyFill="1" applyBorder="1" applyAlignment="1">
      <alignment vertical="center" wrapText="1"/>
    </xf>
    <xf numFmtId="0" fontId="6" fillId="4" borderId="9" xfId="8" applyFont="1" applyFill="1" applyBorder="1" applyAlignment="1" applyProtection="1">
      <alignment horizontal="center" vertical="center"/>
      <protection locked="0"/>
    </xf>
    <xf numFmtId="0" fontId="8" fillId="3" borderId="9" xfId="8" applyFont="1" applyFill="1" applyBorder="1" applyAlignment="1">
      <alignment horizontal="center" vertical="center"/>
    </xf>
    <xf numFmtId="4" fontId="6" fillId="3" borderId="9" xfId="8" applyNumberFormat="1" applyFont="1" applyFill="1" applyBorder="1" applyAlignment="1">
      <alignment vertical="center"/>
    </xf>
    <xf numFmtId="4" fontId="8" fillId="3" borderId="9" xfId="8" applyNumberFormat="1" applyFont="1" applyFill="1" applyBorder="1" applyAlignment="1">
      <alignment vertical="center"/>
    </xf>
    <xf numFmtId="4" fontId="40" fillId="3" borderId="9" xfId="8" applyNumberFormat="1" applyFont="1" applyFill="1" applyBorder="1" applyAlignment="1">
      <alignment horizontal="center" vertical="center"/>
    </xf>
    <xf numFmtId="4" fontId="40" fillId="3" borderId="9" xfId="8" applyNumberFormat="1" applyFont="1" applyFill="1" applyBorder="1" applyAlignment="1">
      <alignment vertical="center"/>
    </xf>
    <xf numFmtId="49" fontId="35" fillId="4" borderId="9" xfId="8" applyNumberFormat="1" applyFont="1" applyFill="1" applyBorder="1" applyAlignment="1">
      <alignment horizontal="center" vertical="center"/>
    </xf>
    <xf numFmtId="4" fontId="41" fillId="3" borderId="9" xfId="8" applyNumberFormat="1" applyFont="1" applyFill="1" applyBorder="1" applyAlignment="1">
      <alignment vertical="center"/>
    </xf>
    <xf numFmtId="3" fontId="6" fillId="8" borderId="9" xfId="8" applyNumberFormat="1" applyFont="1" applyFill="1" applyBorder="1" applyAlignment="1">
      <alignment horizontal="center" vertical="center"/>
    </xf>
    <xf numFmtId="49" fontId="8" fillId="0" borderId="9" xfId="8" applyNumberFormat="1" applyFont="1" applyBorder="1" applyAlignment="1">
      <alignment horizontal="center" vertical="center"/>
    </xf>
    <xf numFmtId="0" fontId="8" fillId="8" borderId="9" xfId="8" applyFont="1" applyFill="1" applyBorder="1" applyAlignment="1">
      <alignment horizontal="center" vertical="center"/>
    </xf>
    <xf numFmtId="0" fontId="17" fillId="6" borderId="9" xfId="8" applyFont="1" applyFill="1" applyBorder="1" applyAlignment="1" applyProtection="1">
      <alignment horizontal="center" vertical="center"/>
      <protection locked="0"/>
    </xf>
    <xf numFmtId="0" fontId="6" fillId="8" borderId="11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vertical="center" wrapText="1"/>
    </xf>
    <xf numFmtId="49" fontId="6" fillId="8" borderId="9" xfId="8" applyNumberFormat="1" applyFont="1" applyFill="1" applyBorder="1" applyAlignment="1">
      <alignment vertical="center"/>
    </xf>
    <xf numFmtId="0" fontId="6" fillId="8" borderId="9" xfId="8" applyFont="1" applyFill="1" applyBorder="1" applyAlignment="1">
      <alignment vertical="center" wrapText="1"/>
    </xf>
    <xf numFmtId="4" fontId="8" fillId="8" borderId="9" xfId="9" applyNumberFormat="1" applyFont="1" applyFill="1" applyBorder="1" applyAlignment="1">
      <alignment horizontal="center" vertical="center"/>
    </xf>
    <xf numFmtId="4" fontId="6" fillId="8" borderId="9" xfId="8" applyNumberFormat="1" applyFont="1" applyFill="1" applyBorder="1" applyAlignment="1">
      <alignment vertical="center"/>
    </xf>
    <xf numFmtId="4" fontId="8" fillId="8" borderId="9" xfId="8" applyNumberFormat="1" applyFont="1" applyFill="1" applyBorder="1" applyAlignment="1">
      <alignment vertical="center"/>
    </xf>
    <xf numFmtId="0" fontId="6" fillId="0" borderId="9" xfId="8" applyFont="1" applyBorder="1" applyAlignment="1">
      <alignment horizontal="center" vertical="center"/>
    </xf>
    <xf numFmtId="49" fontId="6" fillId="3" borderId="9" xfId="8" applyNumberFormat="1" applyFont="1" applyFill="1" applyBorder="1" applyAlignment="1">
      <alignment horizontal="center" vertical="center"/>
    </xf>
    <xf numFmtId="0" fontId="8" fillId="4" borderId="9" xfId="8" applyFont="1" applyFill="1" applyBorder="1" applyAlignment="1" applyProtection="1">
      <alignment vertical="center"/>
      <protection locked="0"/>
    </xf>
    <xf numFmtId="0" fontId="8" fillId="3" borderId="9" xfId="8" applyFont="1" applyFill="1" applyBorder="1" applyAlignment="1">
      <alignment vertical="center"/>
    </xf>
    <xf numFmtId="49" fontId="39" fillId="0" borderId="9" xfId="8" applyNumberFormat="1" applyFont="1" applyBorder="1" applyAlignment="1">
      <alignment horizontal="center" vertical="center"/>
    </xf>
    <xf numFmtId="0" fontId="39" fillId="0" borderId="9" xfId="8" applyFont="1" applyBorder="1" applyAlignment="1">
      <alignment horizontal="center" vertical="center"/>
    </xf>
    <xf numFmtId="0" fontId="39" fillId="0" borderId="9" xfId="8" applyFont="1" applyBorder="1" applyAlignment="1">
      <alignment vertical="center" wrapText="1"/>
    </xf>
    <xf numFmtId="4" fontId="17" fillId="0" borderId="9" xfId="2" applyNumberFormat="1" applyFont="1" applyBorder="1" applyAlignment="1">
      <alignment horizontal="center" vertical="center"/>
    </xf>
    <xf numFmtId="0" fontId="8" fillId="4" borderId="9" xfId="8" applyFont="1" applyFill="1" applyBorder="1" applyAlignment="1" applyProtection="1">
      <alignment horizontal="center" vertical="center"/>
      <protection locked="0"/>
    </xf>
    <xf numFmtId="1" fontId="17" fillId="0" borderId="9" xfId="2" applyNumberFormat="1" applyFont="1" applyBorder="1" applyAlignment="1">
      <alignment horizontal="center" vertical="center"/>
    </xf>
    <xf numFmtId="49" fontId="17" fillId="0" borderId="9" xfId="8" applyNumberFormat="1" applyFont="1" applyBorder="1" applyAlignment="1">
      <alignment horizontal="center" vertical="center"/>
    </xf>
    <xf numFmtId="49" fontId="40" fillId="0" borderId="9" xfId="8" applyNumberFormat="1" applyFont="1" applyBorder="1" applyAlignment="1">
      <alignment horizontal="center" vertical="center"/>
    </xf>
    <xf numFmtId="0" fontId="39" fillId="6" borderId="9" xfId="0" applyFont="1" applyFill="1" applyBorder="1" applyAlignment="1" applyProtection="1">
      <alignment horizontal="center" vertical="center"/>
      <protection locked="0"/>
    </xf>
    <xf numFmtId="0" fontId="39" fillId="6" borderId="9" xfId="8" applyFont="1" applyFill="1" applyBorder="1" applyAlignment="1" applyProtection="1">
      <alignment horizontal="center" vertical="center"/>
      <protection locked="0"/>
    </xf>
    <xf numFmtId="3" fontId="6" fillId="3" borderId="9" xfId="8" applyNumberFormat="1" applyFont="1" applyFill="1" applyBorder="1" applyAlignment="1">
      <alignment horizontal="left" vertical="center" wrapText="1"/>
    </xf>
    <xf numFmtId="4" fontId="6" fillId="3" borderId="9" xfId="8" applyNumberFormat="1" applyFont="1" applyFill="1" applyBorder="1" applyAlignment="1">
      <alignment horizontal="center" vertical="center"/>
    </xf>
    <xf numFmtId="4" fontId="8" fillId="3" borderId="9" xfId="8" applyNumberFormat="1" applyFont="1" applyFill="1" applyBorder="1" applyAlignment="1">
      <alignment horizontal="center" vertical="center"/>
    </xf>
    <xf numFmtId="3" fontId="45" fillId="0" borderId="9" xfId="8" applyNumberFormat="1" applyFont="1" applyBorder="1" applyAlignment="1">
      <alignment horizontal="center" vertical="center"/>
    </xf>
    <xf numFmtId="49" fontId="41" fillId="0" borderId="9" xfId="8" applyNumberFormat="1" applyFont="1" applyBorder="1" applyAlignment="1">
      <alignment horizontal="center" vertical="center"/>
    </xf>
    <xf numFmtId="0" fontId="41" fillId="0" borderId="9" xfId="8" applyFont="1" applyBorder="1" applyAlignment="1">
      <alignment vertical="center" wrapText="1"/>
    </xf>
    <xf numFmtId="0" fontId="40" fillId="6" borderId="9" xfId="8" applyFont="1" applyFill="1" applyBorder="1" applyAlignment="1" applyProtection="1">
      <alignment horizontal="center" vertical="center"/>
      <protection locked="0"/>
    </xf>
    <xf numFmtId="0" fontId="40" fillId="0" borderId="9" xfId="8" applyFont="1" applyBorder="1" applyAlignment="1">
      <alignment horizontal="center" vertical="center"/>
    </xf>
    <xf numFmtId="0" fontId="17" fillId="0" borderId="9" xfId="8" applyFont="1" applyBorder="1" applyAlignment="1">
      <alignment horizontal="center" vertical="center"/>
    </xf>
    <xf numFmtId="49" fontId="45" fillId="0" borderId="9" xfId="8" applyNumberFormat="1" applyFont="1" applyBorder="1" applyAlignment="1">
      <alignment horizontal="center" vertical="center"/>
    </xf>
    <xf numFmtId="1" fontId="17" fillId="0" borderId="9" xfId="6" applyNumberFormat="1" applyFont="1" applyBorder="1" applyAlignment="1">
      <alignment horizontal="center" vertical="center"/>
    </xf>
    <xf numFmtId="0" fontId="39" fillId="8" borderId="9" xfId="8" applyFont="1" applyFill="1" applyBorder="1" applyAlignment="1">
      <alignment horizontal="center" vertical="center"/>
    </xf>
    <xf numFmtId="49" fontId="8" fillId="0" borderId="9" xfId="2" applyNumberFormat="1" applyFont="1" applyBorder="1" applyAlignment="1">
      <alignment horizontal="left" vertical="center" wrapText="1"/>
    </xf>
    <xf numFmtId="1" fontId="8" fillId="0" borderId="9" xfId="2" applyNumberFormat="1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1" fontId="39" fillId="0" borderId="9" xfId="6" applyNumberFormat="1" applyFont="1" applyBorder="1" applyAlignment="1">
      <alignment horizontal="center" vertical="center"/>
    </xf>
    <xf numFmtId="1" fontId="8" fillId="0" borderId="9" xfId="6" applyNumberFormat="1" applyFont="1" applyBorder="1" applyAlignment="1">
      <alignment horizontal="center" vertical="center"/>
    </xf>
    <xf numFmtId="1" fontId="6" fillId="0" borderId="9" xfId="6" applyNumberFormat="1" applyFont="1" applyBorder="1" applyAlignment="1">
      <alignment horizontal="center" vertical="center"/>
    </xf>
    <xf numFmtId="0" fontId="56" fillId="0" borderId="9" xfId="0" applyFont="1" applyBorder="1" applyAlignment="1">
      <alignment horizontal="center"/>
    </xf>
    <xf numFmtId="0" fontId="6" fillId="3" borderId="9" xfId="2" applyFont="1" applyFill="1" applyBorder="1" applyAlignment="1">
      <alignment horizontal="center" vertical="center" wrapText="1"/>
    </xf>
    <xf numFmtId="0" fontId="6" fillId="3" borderId="9" xfId="2" applyFont="1" applyFill="1" applyBorder="1" applyAlignment="1">
      <alignment horizontal="left" vertical="center" wrapText="1"/>
    </xf>
    <xf numFmtId="4" fontId="8" fillId="3" borderId="9" xfId="2" applyNumberFormat="1" applyFont="1" applyFill="1" applyBorder="1" applyAlignment="1" applyProtection="1">
      <alignment horizontal="center" vertical="center"/>
      <protection locked="0"/>
    </xf>
    <xf numFmtId="4" fontId="6" fillId="3" borderId="9" xfId="2" applyNumberFormat="1" applyFont="1" applyFill="1" applyBorder="1" applyAlignment="1">
      <alignment horizontal="center" vertical="center" wrapText="1"/>
    </xf>
    <xf numFmtId="4" fontId="6" fillId="3" borderId="9" xfId="3" applyNumberFormat="1" applyFont="1" applyFill="1" applyBorder="1" applyAlignment="1">
      <alignment horizontal="center" vertical="center" wrapText="1"/>
    </xf>
    <xf numFmtId="4" fontId="6" fillId="5" borderId="9" xfId="3" applyNumberFormat="1" applyFont="1" applyFill="1" applyBorder="1" applyAlignment="1">
      <alignment horizontal="center" vertical="center" wrapText="1"/>
    </xf>
    <xf numFmtId="4" fontId="49" fillId="5" borderId="8" xfId="3" applyNumberFormat="1" applyFont="1" applyFill="1" applyBorder="1" applyAlignment="1">
      <alignment horizontal="center" vertical="center" wrapText="1"/>
    </xf>
    <xf numFmtId="0" fontId="7" fillId="0" borderId="9" xfId="2" applyFont="1" applyBorder="1" applyAlignment="1">
      <alignment horizontal="left" vertical="center" wrapText="1"/>
    </xf>
    <xf numFmtId="4" fontId="8" fillId="0" borderId="9" xfId="2" applyNumberFormat="1" applyFont="1" applyBorder="1" applyAlignment="1" applyProtection="1">
      <alignment horizontal="center" vertical="center"/>
      <protection locked="0"/>
    </xf>
    <xf numFmtId="4" fontId="8" fillId="4" borderId="9" xfId="2" applyNumberFormat="1" applyFont="1" applyFill="1" applyBorder="1" applyAlignment="1" applyProtection="1">
      <alignment horizontal="center" vertical="center"/>
      <protection locked="0"/>
    </xf>
    <xf numFmtId="0" fontId="8" fillId="0" borderId="9" xfId="2" applyFont="1" applyBorder="1" applyAlignment="1">
      <alignment horizontal="left" vertical="center" wrapText="1"/>
    </xf>
    <xf numFmtId="4" fontId="8" fillId="0" borderId="9" xfId="0" applyNumberFormat="1" applyFont="1" applyBorder="1" applyAlignment="1">
      <alignment horizontal="center" vertical="center"/>
    </xf>
    <xf numFmtId="0" fontId="8" fillId="4" borderId="9" xfId="2" applyFont="1" applyFill="1" applyBorder="1" applyAlignment="1">
      <alignment horizontal="center" vertical="center" wrapText="1"/>
    </xf>
    <xf numFmtId="0" fontId="8" fillId="4" borderId="9" xfId="0" applyFont="1" applyFill="1" applyBorder="1" applyAlignment="1" applyProtection="1">
      <alignment horizontal="center" vertical="center"/>
      <protection locked="0"/>
    </xf>
    <xf numFmtId="4" fontId="8" fillId="4" borderId="9" xfId="0" applyNumberFormat="1" applyFont="1" applyFill="1" applyBorder="1" applyAlignment="1">
      <alignment horizontal="center" vertical="center"/>
    </xf>
    <xf numFmtId="0" fontId="39" fillId="0" borderId="9" xfId="2" applyFont="1" applyBorder="1" applyAlignment="1">
      <alignment horizontal="center" vertical="center" wrapText="1"/>
    </xf>
    <xf numFmtId="4" fontId="39" fillId="0" borderId="9" xfId="0" applyNumberFormat="1" applyFont="1" applyBorder="1" applyAlignment="1">
      <alignment horizontal="center" vertical="center"/>
    </xf>
    <xf numFmtId="168" fontId="8" fillId="4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39" fillId="4" borderId="9" xfId="2" applyFont="1" applyFill="1" applyBorder="1" applyAlignment="1">
      <alignment horizontal="center" vertical="center" wrapText="1"/>
    </xf>
    <xf numFmtId="4" fontId="39" fillId="4" borderId="9" xfId="0" applyNumberFormat="1" applyFont="1" applyFill="1" applyBorder="1" applyAlignment="1">
      <alignment horizontal="center" vertical="center"/>
    </xf>
    <xf numFmtId="4" fontId="8" fillId="3" borderId="9" xfId="0" applyNumberFormat="1" applyFont="1" applyFill="1" applyBorder="1" applyAlignment="1">
      <alignment horizontal="center" vertical="center"/>
    </xf>
    <xf numFmtId="3" fontId="8" fillId="4" borderId="9" xfId="0" applyNumberFormat="1" applyFont="1" applyFill="1" applyBorder="1" applyAlignment="1">
      <alignment horizontal="center" vertical="center"/>
    </xf>
    <xf numFmtId="49" fontId="8" fillId="0" borderId="9" xfId="0" applyNumberFormat="1" applyFont="1" applyBorder="1" applyAlignment="1">
      <alignment horizontal="left" vertical="center" wrapText="1"/>
    </xf>
    <xf numFmtId="4" fontId="41" fillId="4" borderId="9" xfId="0" applyNumberFormat="1" applyFont="1" applyFill="1" applyBorder="1" applyAlignment="1">
      <alignment horizontal="center" vertical="center"/>
    </xf>
    <xf numFmtId="0" fontId="39" fillId="0" borderId="9" xfId="7" applyFont="1" applyBorder="1" applyAlignment="1">
      <alignment horizontal="center" vertical="center"/>
    </xf>
    <xf numFmtId="4" fontId="39" fillId="0" borderId="9" xfId="7" applyNumberFormat="1" applyFont="1" applyBorder="1" applyAlignment="1">
      <alignment horizontal="center" vertical="center"/>
    </xf>
    <xf numFmtId="4" fontId="37" fillId="0" borderId="9" xfId="7" applyNumberFormat="1" applyFont="1" applyBorder="1" applyAlignment="1">
      <alignment horizontal="center" vertical="center"/>
    </xf>
    <xf numFmtId="0" fontId="39" fillId="4" borderId="9" xfId="0" applyFont="1" applyFill="1" applyBorder="1" applyAlignment="1">
      <alignment horizontal="center" vertical="center"/>
    </xf>
    <xf numFmtId="0" fontId="51" fillId="0" borderId="9" xfId="0" applyFont="1" applyBorder="1"/>
    <xf numFmtId="0" fontId="37" fillId="4" borderId="9" xfId="0" applyFont="1" applyFill="1" applyBorder="1" applyAlignment="1">
      <alignment horizontal="center" vertical="center"/>
    </xf>
    <xf numFmtId="4" fontId="37" fillId="4" borderId="9" xfId="0" applyNumberFormat="1" applyFont="1" applyFill="1" applyBorder="1" applyAlignment="1">
      <alignment horizontal="center" vertical="center"/>
    </xf>
    <xf numFmtId="0" fontId="8" fillId="4" borderId="9" xfId="7" applyFill="1" applyBorder="1" applyAlignment="1">
      <alignment horizontal="center" vertical="center"/>
    </xf>
    <xf numFmtId="4" fontId="8" fillId="4" borderId="9" xfId="7" applyNumberFormat="1" applyFill="1" applyBorder="1" applyAlignment="1">
      <alignment horizontal="center" vertical="center"/>
    </xf>
    <xf numFmtId="0" fontId="39" fillId="4" borderId="9" xfId="2" applyFont="1" applyFill="1" applyBorder="1" applyAlignment="1">
      <alignment horizontal="center" vertical="center"/>
    </xf>
    <xf numFmtId="4" fontId="39" fillId="4" borderId="9" xfId="2" applyNumberFormat="1" applyFont="1" applyFill="1" applyBorder="1" applyAlignment="1">
      <alignment horizontal="center" vertical="center"/>
    </xf>
    <xf numFmtId="0" fontId="39" fillId="4" borderId="9" xfId="7" applyFont="1" applyFill="1" applyBorder="1" applyAlignment="1">
      <alignment horizontal="center" vertical="center"/>
    </xf>
    <xf numFmtId="4" fontId="39" fillId="4" borderId="9" xfId="7" applyNumberFormat="1" applyFont="1" applyFill="1" applyBorder="1" applyAlignment="1">
      <alignment horizontal="center" vertical="center"/>
    </xf>
    <xf numFmtId="4" fontId="8" fillId="0" borderId="9" xfId="7" applyNumberFormat="1" applyBorder="1" applyAlignment="1">
      <alignment horizontal="center" vertical="center"/>
    </xf>
    <xf numFmtId="3" fontId="41" fillId="0" borderId="9" xfId="7" applyNumberFormat="1" applyFont="1" applyBorder="1" applyAlignment="1">
      <alignment horizontal="center" vertical="center"/>
    </xf>
    <xf numFmtId="4" fontId="41" fillId="0" borderId="9" xfId="7" applyNumberFormat="1" applyFont="1" applyBorder="1" applyAlignment="1">
      <alignment horizontal="center" vertical="center"/>
    </xf>
    <xf numFmtId="3" fontId="41" fillId="4" borderId="9" xfId="7" applyNumberFormat="1" applyFont="1" applyFill="1" applyBorder="1" applyAlignment="1">
      <alignment horizontal="center" vertical="center"/>
    </xf>
    <xf numFmtId="4" fontId="41" fillId="4" borderId="9" xfId="7" applyNumberFormat="1" applyFont="1" applyFill="1" applyBorder="1" applyAlignment="1">
      <alignment horizontal="center" vertical="center"/>
    </xf>
    <xf numFmtId="4" fontId="41" fillId="0" borderId="9" xfId="7" applyNumberFormat="1" applyFont="1" applyBorder="1" applyAlignment="1">
      <alignment vertical="center"/>
    </xf>
    <xf numFmtId="0" fontId="41" fillId="4" borderId="9" xfId="7" applyFont="1" applyFill="1" applyBorder="1" applyAlignment="1">
      <alignment horizontal="center" vertical="center"/>
    </xf>
    <xf numFmtId="4" fontId="41" fillId="4" borderId="9" xfId="7" applyNumberFormat="1" applyFont="1" applyFill="1" applyBorder="1" applyAlignment="1">
      <alignment vertical="center"/>
    </xf>
    <xf numFmtId="4" fontId="8" fillId="0" borderId="9" xfId="10" applyNumberFormat="1" applyBorder="1" applyAlignment="1">
      <alignment horizontal="center" vertical="center"/>
    </xf>
    <xf numFmtId="49" fontId="45" fillId="0" borderId="9" xfId="10" applyNumberFormat="1" applyFont="1" applyBorder="1" applyAlignment="1">
      <alignment horizontal="center" vertical="center"/>
    </xf>
    <xf numFmtId="4" fontId="37" fillId="0" borderId="9" xfId="10" applyNumberFormat="1" applyFont="1" applyBorder="1" applyAlignment="1">
      <alignment horizontal="center" vertical="center"/>
    </xf>
    <xf numFmtId="4" fontId="8" fillId="4" borderId="9" xfId="10" applyNumberFormat="1" applyFill="1" applyBorder="1" applyAlignment="1">
      <alignment horizontal="center" vertical="center"/>
    </xf>
    <xf numFmtId="4" fontId="8" fillId="4" borderId="9" xfId="8" applyNumberFormat="1" applyFont="1" applyFill="1" applyBorder="1" applyAlignment="1">
      <alignment horizontal="center" vertical="center"/>
    </xf>
    <xf numFmtId="0" fontId="8" fillId="4" borderId="9" xfId="10" applyFill="1" applyBorder="1" applyAlignment="1">
      <alignment horizontal="center" vertical="center"/>
    </xf>
    <xf numFmtId="4" fontId="8" fillId="0" borderId="9" xfId="8" applyNumberFormat="1" applyFont="1" applyBorder="1" applyAlignment="1">
      <alignment horizontal="center" vertical="center"/>
    </xf>
    <xf numFmtId="4" fontId="39" fillId="0" borderId="9" xfId="8" applyNumberFormat="1" applyFont="1" applyBorder="1" applyAlignment="1">
      <alignment vertical="center"/>
    </xf>
    <xf numFmtId="4" fontId="39" fillId="0" borderId="9" xfId="8" applyNumberFormat="1" applyFont="1" applyBorder="1" applyAlignment="1">
      <alignment horizontal="center" vertical="center"/>
    </xf>
  </cellXfs>
  <cellStyles count="27">
    <cellStyle name="Normal 2" xfId="14" xr:uid="{00000000-0005-0000-0000-000000000000}"/>
    <cellStyle name="Normal 3" xfId="15" xr:uid="{00000000-0005-0000-0000-000001000000}"/>
    <cellStyle name="Normal 4" xfId="16" xr:uid="{00000000-0005-0000-0000-000002000000}"/>
    <cellStyle name="Normal 4 2" xfId="24" xr:uid="{00000000-0005-0000-0000-000003000000}"/>
    <cellStyle name="Normal 5" xfId="17" xr:uid="{00000000-0005-0000-0000-000004000000}"/>
    <cellStyle name="Normal 5 2" xfId="25" xr:uid="{00000000-0005-0000-0000-000005000000}"/>
    <cellStyle name="Percent 2" xfId="18" xr:uid="{00000000-0005-0000-0000-000006000000}"/>
    <cellStyle name="Standard 2" xfId="19" xr:uid="{00000000-0005-0000-0000-000007000000}"/>
    <cellStyle name="Standard 6" xfId="5" xr:uid="{00000000-0005-0000-0000-000008000000}"/>
    <cellStyle name="Standard_GH PL RAUTITAN RB 2005" xfId="3" xr:uid="{00000000-0005-0000-0000-000009000000}"/>
    <cellStyle name="Standard_GH-PL 2003_RAUTITAN" xfId="6" xr:uid="{00000000-0005-0000-0000-00000A000000}"/>
    <cellStyle name="Standard_Nettopreise HT 13.09.2004" xfId="9" xr:uid="{00000000-0005-0000-0000-00000B000000}"/>
    <cellStyle name="Standard_PL_Raupiano EUR 2003" xfId="11" xr:uid="{00000000-0005-0000-0000-00000C000000}"/>
    <cellStyle name="Standard_PL_RFBH2003 Euro Sonderanwendungen" xfId="7" xr:uid="{00000000-0005-0000-0000-00000D000000}"/>
    <cellStyle name="Standard_PL_Werkzeug 2003 Euro" xfId="10" xr:uid="{00000000-0005-0000-0000-00000E000000}"/>
    <cellStyle name="Standard_Preisliste RUS GT 2004" xfId="2" xr:uid="{00000000-0005-0000-0000-00000F000000}"/>
    <cellStyle name="Standard_Preisliste RUS GT 2005 inkl Vio" xfId="8" xr:uid="{00000000-0005-0000-0000-000010000000}"/>
    <cellStyle name="Undefiniert" xfId="20" xr:uid="{00000000-0005-0000-0000-000011000000}"/>
    <cellStyle name="Обычный" xfId="0" builtinId="0"/>
    <cellStyle name="Обычный 2" xfId="21" xr:uid="{00000000-0005-0000-0000-000013000000}"/>
    <cellStyle name="Обычный 3" xfId="23" xr:uid="{00000000-0005-0000-0000-000014000000}"/>
    <cellStyle name="Обычный 3 2" xfId="26" xr:uid="{00000000-0005-0000-0000-000015000000}"/>
    <cellStyle name="Обычный 4" xfId="13" xr:uid="{00000000-0005-0000-0000-000016000000}"/>
    <cellStyle name="Обычный_PL RAUVACLEAN 2003" xfId="12" xr:uid="{00000000-0005-0000-0000-000017000000}"/>
    <cellStyle name="Обычный_REHAU прайслист 2002" xfId="4" xr:uid="{00000000-0005-0000-0000-000018000000}"/>
    <cellStyle name="Процентный" xfId="1" builtinId="5"/>
    <cellStyle name="Процентный 2" xfId="22" xr:uid="{00000000-0005-0000-0000-00001A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0066"/>
      <color rgb="FFFF3399"/>
      <color rgb="FF0000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123"/>
  <sheetViews>
    <sheetView tabSelected="1" zoomScale="85" zoomScaleNormal="85" workbookViewId="0" xr3:uid="{AEA406A1-0E4B-5B11-9CD5-51D6E497D94C}">
      <pane ySplit="14" topLeftCell="A15" activePane="bottomLeft" state="frozen"/>
      <selection pane="bottomLeft" activeCell="C11" sqref="C11"/>
    </sheetView>
  </sheetViews>
  <sheetFormatPr defaultRowHeight="14.45" outlineLevelRow="1"/>
  <cols>
    <col min="1" max="1" width="24.7109375" style="145" customWidth="1"/>
    <col min="2" max="2" width="12.5703125" style="113" customWidth="1"/>
    <col min="3" max="3" width="18.85546875" style="36" customWidth="1"/>
    <col min="4" max="5" width="14.7109375" style="36" customWidth="1"/>
    <col min="6" max="6" width="70.85546875" style="41" customWidth="1"/>
    <col min="7" max="7" width="8.42578125" style="36" customWidth="1"/>
    <col min="8" max="8" width="11.42578125" style="36" customWidth="1"/>
    <col min="9" max="9" width="9.28515625" style="36" bestFit="1" customWidth="1"/>
    <col min="10" max="16" width="12.28515625" style="80" customWidth="1"/>
    <col min="17" max="17" width="9.28515625" customWidth="1"/>
    <col min="18" max="18" width="13.5703125" style="92" customWidth="1"/>
    <col min="19" max="36" width="8.85546875" customWidth="1"/>
    <col min="37" max="37" width="10.7109375" hidden="1" customWidth="1"/>
    <col min="38" max="38" width="8.85546875" customWidth="1"/>
  </cols>
  <sheetData>
    <row r="1" spans="1:37" ht="15.6">
      <c r="B1" s="111"/>
      <c r="C1" s="2">
        <v>46038</v>
      </c>
      <c r="D1" s="1"/>
      <c r="E1" s="1"/>
      <c r="F1" s="37"/>
      <c r="G1" s="1"/>
      <c r="H1" s="1"/>
      <c r="I1" s="1"/>
      <c r="J1" s="6"/>
      <c r="K1" s="6"/>
      <c r="L1" s="6"/>
      <c r="M1" s="6"/>
      <c r="N1" s="6"/>
      <c r="O1" s="6"/>
      <c r="P1" s="6"/>
    </row>
    <row r="2" spans="1:37" ht="33">
      <c r="B2" s="3"/>
      <c r="C2" s="4"/>
      <c r="D2" s="5"/>
      <c r="E2" s="49" t="s">
        <v>0</v>
      </c>
      <c r="F2" s="38"/>
      <c r="G2" s="6"/>
      <c r="H2" s="24"/>
      <c r="I2" s="24"/>
      <c r="J2" s="7"/>
      <c r="K2" s="7"/>
      <c r="L2" s="7"/>
      <c r="M2" s="6"/>
      <c r="N2" s="25"/>
      <c r="O2" s="26"/>
      <c r="P2" s="26"/>
      <c r="R2"/>
    </row>
    <row r="3" spans="1:37" ht="14.45" customHeight="1">
      <c r="B3" s="27" t="s">
        <v>1</v>
      </c>
      <c r="C3" s="28">
        <v>1.22</v>
      </c>
      <c r="D3" s="5"/>
      <c r="E3" s="8"/>
      <c r="F3" s="39"/>
      <c r="G3" s="6"/>
      <c r="H3" s="24"/>
      <c r="I3" s="24"/>
      <c r="J3" s="7"/>
      <c r="K3" s="7"/>
      <c r="L3" s="7"/>
      <c r="M3" s="6"/>
      <c r="N3" s="25"/>
      <c r="O3" s="23"/>
      <c r="P3" s="23"/>
      <c r="R3"/>
    </row>
    <row r="4" spans="1:37" ht="20.45" hidden="1" customHeight="1">
      <c r="A4" s="36"/>
      <c r="B4" s="29"/>
      <c r="C4" s="30"/>
      <c r="D4" s="9"/>
      <c r="E4" s="10"/>
      <c r="F4" s="39"/>
      <c r="G4" s="6"/>
      <c r="H4" s="24"/>
      <c r="I4" s="24"/>
      <c r="J4" s="7"/>
      <c r="K4" s="7"/>
      <c r="L4" s="7"/>
      <c r="M4" s="6"/>
      <c r="N4" s="25"/>
      <c r="O4" s="23"/>
      <c r="P4" s="23"/>
      <c r="R4"/>
    </row>
    <row r="5" spans="1:37" s="46" customFormat="1" ht="15.6">
      <c r="A5" s="145"/>
      <c r="B5" s="11"/>
      <c r="C5" s="12"/>
      <c r="D5" s="22"/>
      <c r="E5" s="69">
        <v>0</v>
      </c>
      <c r="F5" s="134" t="s">
        <v>2</v>
      </c>
      <c r="G5" s="43"/>
      <c r="H5" s="44"/>
      <c r="I5" s="44"/>
      <c r="J5" s="26"/>
      <c r="K5" s="26"/>
      <c r="L5" s="26"/>
      <c r="M5" s="45"/>
      <c r="N5" s="45"/>
      <c r="O5" s="23"/>
      <c r="P5" s="26"/>
    </row>
    <row r="6" spans="1:37" ht="3" customHeight="1">
      <c r="B6" s="11"/>
      <c r="C6" s="16"/>
      <c r="D6" s="9"/>
      <c r="E6" s="17"/>
      <c r="F6" s="134"/>
      <c r="G6" s="18"/>
      <c r="H6" s="13"/>
      <c r="I6" s="13"/>
      <c r="J6" s="14"/>
      <c r="K6" s="14"/>
      <c r="L6" s="14"/>
      <c r="M6" s="6"/>
      <c r="N6" s="6"/>
      <c r="O6" s="15"/>
      <c r="P6" s="14"/>
      <c r="R6"/>
    </row>
    <row r="7" spans="1:37" s="46" customFormat="1" ht="15.6">
      <c r="A7" s="145"/>
      <c r="B7" s="11"/>
      <c r="C7" s="16"/>
      <c r="D7" s="22"/>
      <c r="E7" s="70">
        <v>0</v>
      </c>
      <c r="F7" s="134" t="s">
        <v>3</v>
      </c>
      <c r="G7" s="43"/>
      <c r="H7" s="44"/>
      <c r="I7" s="44"/>
      <c r="J7" s="26"/>
      <c r="K7" s="26"/>
      <c r="L7" s="26"/>
      <c r="M7" s="45"/>
      <c r="N7" s="45"/>
      <c r="O7" s="23"/>
      <c r="P7" s="26"/>
    </row>
    <row r="8" spans="1:37" ht="3" hidden="1" customHeight="1">
      <c r="B8" s="11"/>
      <c r="C8" s="16"/>
      <c r="D8" s="9"/>
      <c r="E8" s="17"/>
      <c r="F8" s="134"/>
      <c r="G8" s="18"/>
      <c r="H8" s="13"/>
      <c r="I8" s="13"/>
      <c r="J8" s="14"/>
      <c r="K8" s="14"/>
      <c r="L8" s="14"/>
      <c r="M8" s="6"/>
      <c r="N8" s="6"/>
      <c r="O8" s="15"/>
      <c r="P8" s="14"/>
      <c r="R8"/>
    </row>
    <row r="9" spans="1:37" s="46" customFormat="1" ht="15.6">
      <c r="A9" s="145"/>
      <c r="B9" s="11"/>
      <c r="C9" s="16"/>
      <c r="D9" s="22"/>
      <c r="E9" s="69">
        <v>0</v>
      </c>
      <c r="F9" s="134" t="s">
        <v>4</v>
      </c>
      <c r="G9" s="47"/>
      <c r="H9" s="44"/>
      <c r="I9" s="44"/>
      <c r="J9" s="26"/>
      <c r="K9" s="26"/>
      <c r="L9" s="26"/>
      <c r="M9" s="45"/>
      <c r="N9" s="45"/>
      <c r="O9" s="23"/>
      <c r="P9" s="26"/>
      <c r="AK9" s="173">
        <v>0.24</v>
      </c>
    </row>
    <row r="10" spans="1:37" ht="15.6">
      <c r="B10" s="11"/>
      <c r="C10" s="16"/>
      <c r="D10" s="9"/>
      <c r="E10" s="19"/>
      <c r="F10" s="122"/>
      <c r="G10" s="20"/>
      <c r="H10" s="13"/>
      <c r="I10" s="13"/>
      <c r="J10" s="14"/>
      <c r="K10" s="14"/>
      <c r="L10" s="14"/>
      <c r="M10" s="6"/>
      <c r="N10" s="6"/>
      <c r="O10" s="15"/>
      <c r="P10" s="14"/>
      <c r="R10"/>
      <c r="AK10" s="140">
        <v>0.2</v>
      </c>
    </row>
    <row r="11" spans="1:37" s="46" customFormat="1" ht="15.6">
      <c r="A11" s="145"/>
      <c r="B11" s="11"/>
      <c r="C11" s="16"/>
      <c r="D11" s="22"/>
      <c r="E11" s="71">
        <v>0</v>
      </c>
      <c r="F11" s="135" t="s">
        <v>5</v>
      </c>
      <c r="G11" s="48"/>
      <c r="H11" s="44"/>
      <c r="I11" s="44"/>
      <c r="J11" s="26"/>
      <c r="K11" s="26"/>
      <c r="L11" s="26"/>
      <c r="M11" s="45"/>
      <c r="N11" s="45"/>
      <c r="O11" s="23"/>
      <c r="P11" s="26"/>
      <c r="AK11" s="46">
        <v>100</v>
      </c>
    </row>
    <row r="12" spans="1:37" ht="9.6" customHeight="1">
      <c r="B12" s="29"/>
      <c r="C12" s="30"/>
      <c r="D12" s="9"/>
      <c r="E12" s="21"/>
      <c r="F12" s="38"/>
      <c r="G12" s="6"/>
      <c r="H12" s="24"/>
      <c r="I12" s="24"/>
      <c r="J12" s="7"/>
      <c r="K12" s="7"/>
      <c r="L12" s="7"/>
      <c r="M12" s="6"/>
      <c r="N12" s="25"/>
      <c r="O12" s="23"/>
      <c r="R12"/>
    </row>
    <row r="13" spans="1:37" ht="15">
      <c r="B13" s="32" t="s">
        <v>6</v>
      </c>
      <c r="C13" s="32"/>
      <c r="D13" s="31"/>
      <c r="E13" s="32"/>
      <c r="F13" s="40"/>
      <c r="G13" s="32"/>
      <c r="H13" s="24"/>
      <c r="I13" s="24"/>
      <c r="J13" s="7"/>
      <c r="K13" s="7"/>
      <c r="L13" s="7"/>
      <c r="M13" s="6"/>
      <c r="N13" s="25"/>
      <c r="O13" s="26"/>
      <c r="P13" s="26"/>
      <c r="R13"/>
    </row>
    <row r="14" spans="1:37" s="42" customFormat="1" ht="52.9">
      <c r="A14" s="146"/>
      <c r="B14" s="179"/>
      <c r="C14" s="180" t="s">
        <v>7</v>
      </c>
      <c r="D14" s="180" t="s">
        <v>8</v>
      </c>
      <c r="E14" s="180" t="s">
        <v>9</v>
      </c>
      <c r="F14" s="181" t="s">
        <v>10</v>
      </c>
      <c r="G14" s="182" t="s">
        <v>11</v>
      </c>
      <c r="H14" s="180" t="s">
        <v>12</v>
      </c>
      <c r="I14" s="180" t="s">
        <v>13</v>
      </c>
      <c r="J14" s="183" t="s">
        <v>14</v>
      </c>
      <c r="K14" s="183" t="s">
        <v>15</v>
      </c>
      <c r="L14" s="184" t="s">
        <v>16</v>
      </c>
      <c r="M14" s="183" t="s">
        <v>17</v>
      </c>
      <c r="N14" s="183" t="s">
        <v>18</v>
      </c>
      <c r="O14" s="185" t="s">
        <v>19</v>
      </c>
      <c r="P14" s="185" t="s">
        <v>20</v>
      </c>
      <c r="Q14" s="137"/>
      <c r="R14" s="186" t="s">
        <v>21</v>
      </c>
      <c r="AK14" s="187" t="s">
        <v>22</v>
      </c>
    </row>
    <row r="15" spans="1:37" ht="14.45" customHeight="1">
      <c r="A15" s="147"/>
      <c r="B15" s="188"/>
      <c r="C15" s="189"/>
      <c r="D15" s="190"/>
      <c r="E15" s="188"/>
      <c r="F15" s="191"/>
      <c r="G15" s="192"/>
      <c r="H15" s="190"/>
      <c r="I15" s="190"/>
      <c r="J15" s="193"/>
      <c r="K15" s="193"/>
      <c r="L15" s="194"/>
      <c r="M15" s="195"/>
      <c r="N15" s="195"/>
      <c r="O15" s="196"/>
      <c r="P15" s="194"/>
      <c r="Q15" s="3"/>
      <c r="R15" s="197"/>
      <c r="AK15" s="141"/>
    </row>
    <row r="16" spans="1:37" ht="17.45" customHeight="1">
      <c r="A16" s="147"/>
      <c r="B16" s="198"/>
      <c r="C16" s="199" t="s">
        <v>23</v>
      </c>
      <c r="D16" s="199"/>
      <c r="E16" s="200"/>
      <c r="F16" s="201" t="s">
        <v>24</v>
      </c>
      <c r="G16" s="202"/>
      <c r="H16" s="203"/>
      <c r="I16" s="203"/>
      <c r="J16" s="204"/>
      <c r="K16" s="204"/>
      <c r="L16" s="204"/>
      <c r="M16" s="205"/>
      <c r="N16" s="205"/>
      <c r="O16" s="206"/>
      <c r="P16" s="204"/>
      <c r="Q16" s="138"/>
      <c r="R16" s="207"/>
      <c r="AK16" s="141"/>
    </row>
    <row r="17" spans="1:37" s="73" customFormat="1" ht="30.6" outlineLevel="1">
      <c r="A17" s="148" t="s">
        <v>25</v>
      </c>
      <c r="B17" s="208" t="s">
        <v>26</v>
      </c>
      <c r="C17" s="190" t="s">
        <v>23</v>
      </c>
      <c r="D17" s="209"/>
      <c r="E17" s="188">
        <v>11234081005</v>
      </c>
      <c r="F17" s="210" t="s">
        <v>27</v>
      </c>
      <c r="G17" s="211"/>
      <c r="H17" s="190" t="s">
        <v>28</v>
      </c>
      <c r="I17" s="190">
        <v>5</v>
      </c>
      <c r="J17" s="212">
        <v>5.5</v>
      </c>
      <c r="K17" s="212">
        <f t="shared" ref="K17" si="0">ROUND((J17*$C$3),2)</f>
        <v>6.71</v>
      </c>
      <c r="L17" s="212">
        <f>K17*G17</f>
        <v>0</v>
      </c>
      <c r="M17" s="212">
        <f t="shared" ref="M17" si="1">J17*(1-$E$5-$E$7)*(1-$E$9)*(1+$E$11)</f>
        <v>5.5</v>
      </c>
      <c r="N17" s="212">
        <f>M17*G17</f>
        <v>0</v>
      </c>
      <c r="O17" s="213">
        <f t="shared" ref="O17" si="2">ROUND((M17*$C$3),2)</f>
        <v>6.71</v>
      </c>
      <c r="P17" s="213">
        <f>O17*G17</f>
        <v>0</v>
      </c>
      <c r="Q17" s="3"/>
      <c r="R17" s="214">
        <f t="shared" ref="R17:R37" si="3">ROUND(AK17,0)</f>
        <v>537</v>
      </c>
      <c r="AK17" s="142">
        <f>K17*$AK$11*(1-$AK$10)</f>
        <v>536.80000000000007</v>
      </c>
    </row>
    <row r="18" spans="1:37" s="73" customFormat="1" ht="30.6" outlineLevel="1">
      <c r="A18" s="148" t="s">
        <v>25</v>
      </c>
      <c r="B18" s="208" t="s">
        <v>26</v>
      </c>
      <c r="C18" s="190" t="s">
        <v>23</v>
      </c>
      <c r="D18" s="209"/>
      <c r="E18" s="188">
        <v>11301011005</v>
      </c>
      <c r="F18" s="210" t="s">
        <v>29</v>
      </c>
      <c r="G18" s="211"/>
      <c r="H18" s="190" t="s">
        <v>28</v>
      </c>
      <c r="I18" s="190">
        <v>25</v>
      </c>
      <c r="J18" s="212">
        <v>5.15</v>
      </c>
      <c r="K18" s="212">
        <f t="shared" ref="K18" si="4">ROUND((J18*$C$3),2)</f>
        <v>6.28</v>
      </c>
      <c r="L18" s="212">
        <f>K18*G18</f>
        <v>0</v>
      </c>
      <c r="M18" s="212">
        <f t="shared" ref="M18" si="5">J18*(1-$E$5-$E$7)*(1-$E$9)*(1+$E$11)</f>
        <v>5.15</v>
      </c>
      <c r="N18" s="212">
        <f>M18*G18</f>
        <v>0</v>
      </c>
      <c r="O18" s="213">
        <f t="shared" ref="O18" si="6">ROUND((M18*$C$3),2)</f>
        <v>6.28</v>
      </c>
      <c r="P18" s="213">
        <f>O18*G18</f>
        <v>0</v>
      </c>
      <c r="Q18" s="3"/>
      <c r="R18" s="214">
        <f t="shared" ref="R18" si="7">ROUND(AK18,0)</f>
        <v>502</v>
      </c>
      <c r="AK18" s="142">
        <f>K18*$AK$11*(1-$AK$10)</f>
        <v>502.40000000000003</v>
      </c>
    </row>
    <row r="19" spans="1:37" outlineLevel="1">
      <c r="A19" s="147"/>
      <c r="B19" s="188"/>
      <c r="C19" s="215"/>
      <c r="D19" s="216"/>
      <c r="E19" s="217"/>
      <c r="F19" s="218"/>
      <c r="G19" s="219"/>
      <c r="H19" s="215"/>
      <c r="I19" s="215"/>
      <c r="J19" s="220"/>
      <c r="K19" s="220"/>
      <c r="L19" s="220"/>
      <c r="M19" s="220"/>
      <c r="N19" s="220"/>
      <c r="O19" s="221"/>
      <c r="P19" s="221"/>
      <c r="Q19" s="3"/>
      <c r="R19" s="222"/>
      <c r="AK19" s="141"/>
    </row>
    <row r="20" spans="1:37" outlineLevel="1">
      <c r="A20" s="147"/>
      <c r="B20" s="188" t="s">
        <v>30</v>
      </c>
      <c r="C20" s="190" t="s">
        <v>23</v>
      </c>
      <c r="D20" s="190">
        <v>11301211100</v>
      </c>
      <c r="E20" s="188">
        <v>11301213100</v>
      </c>
      <c r="F20" s="210" t="s">
        <v>31</v>
      </c>
      <c r="G20" s="211"/>
      <c r="H20" s="190" t="s">
        <v>28</v>
      </c>
      <c r="I20" s="190">
        <v>100</v>
      </c>
      <c r="J20" s="212">
        <v>3.89</v>
      </c>
      <c r="K20" s="212">
        <f t="shared" ref="K20:K23" si="8">ROUND((J20*$C$3),2)</f>
        <v>4.75</v>
      </c>
      <c r="L20" s="212">
        <f>K20*G20</f>
        <v>0</v>
      </c>
      <c r="M20" s="212">
        <f t="shared" ref="M20:M23" si="9">J20*(1-$E$5-$E$7)*(1-$E$9)*(1+$E$11)</f>
        <v>3.89</v>
      </c>
      <c r="N20" s="212">
        <f>M20*G20</f>
        <v>0</v>
      </c>
      <c r="O20" s="213">
        <f t="shared" ref="O20:O23" si="10">ROUND((M20*$C$3),2)</f>
        <v>4.75</v>
      </c>
      <c r="P20" s="213">
        <f>O20*G20</f>
        <v>0</v>
      </c>
      <c r="Q20" s="3"/>
      <c r="R20" s="222">
        <f t="shared" si="3"/>
        <v>380</v>
      </c>
      <c r="AK20" s="141">
        <f>K20*$AK$11*(1-$AK$10)</f>
        <v>380</v>
      </c>
    </row>
    <row r="21" spans="1:37" outlineLevel="1">
      <c r="A21" s="147"/>
      <c r="B21" s="188" t="s">
        <v>30</v>
      </c>
      <c r="C21" s="190" t="s">
        <v>23</v>
      </c>
      <c r="D21" s="190">
        <v>11301311100</v>
      </c>
      <c r="E21" s="188">
        <v>11301313100</v>
      </c>
      <c r="F21" s="210" t="s">
        <v>32</v>
      </c>
      <c r="G21" s="211"/>
      <c r="H21" s="190" t="s">
        <v>28</v>
      </c>
      <c r="I21" s="190">
        <v>100</v>
      </c>
      <c r="J21" s="212">
        <v>5.53</v>
      </c>
      <c r="K21" s="212">
        <f t="shared" si="8"/>
        <v>6.75</v>
      </c>
      <c r="L21" s="212">
        <f>K21*G21</f>
        <v>0</v>
      </c>
      <c r="M21" s="212">
        <f t="shared" si="9"/>
        <v>5.53</v>
      </c>
      <c r="N21" s="212">
        <f>M21*G21</f>
        <v>0</v>
      </c>
      <c r="O21" s="213">
        <f t="shared" si="10"/>
        <v>6.75</v>
      </c>
      <c r="P21" s="213">
        <f>O21*G21</f>
        <v>0</v>
      </c>
      <c r="Q21" s="3"/>
      <c r="R21" s="214">
        <f t="shared" ref="R21:R23" si="11">ROUND(AK21,0)</f>
        <v>540</v>
      </c>
      <c r="AK21" s="141">
        <f>K21*$AK$11*(1-$AK$10)</f>
        <v>540</v>
      </c>
    </row>
    <row r="22" spans="1:37" outlineLevel="1">
      <c r="A22" s="147"/>
      <c r="B22" s="188" t="s">
        <v>30</v>
      </c>
      <c r="C22" s="190" t="s">
        <v>23</v>
      </c>
      <c r="D22" s="190">
        <v>11301411050</v>
      </c>
      <c r="E22" s="188">
        <v>11301413050</v>
      </c>
      <c r="F22" s="210" t="s">
        <v>33</v>
      </c>
      <c r="G22" s="211"/>
      <c r="H22" s="190" t="s">
        <v>28</v>
      </c>
      <c r="I22" s="190">
        <v>50</v>
      </c>
      <c r="J22" s="212">
        <v>9.9700000000000006</v>
      </c>
      <c r="K22" s="212">
        <f t="shared" si="8"/>
        <v>12.16</v>
      </c>
      <c r="L22" s="212">
        <f>K22*G22</f>
        <v>0</v>
      </c>
      <c r="M22" s="212">
        <f t="shared" si="9"/>
        <v>9.9700000000000006</v>
      </c>
      <c r="N22" s="212">
        <f>M22*G22</f>
        <v>0</v>
      </c>
      <c r="O22" s="213">
        <f t="shared" si="10"/>
        <v>12.16</v>
      </c>
      <c r="P22" s="213">
        <f>O22*G22</f>
        <v>0</v>
      </c>
      <c r="Q22" s="3"/>
      <c r="R22" s="214">
        <f t="shared" si="11"/>
        <v>973</v>
      </c>
      <c r="AK22" s="141">
        <f t="shared" ref="AK22:AK24" si="12">K22*$AK$11*(1-$AK$10)</f>
        <v>972.80000000000007</v>
      </c>
    </row>
    <row r="23" spans="1:37" outlineLevel="1">
      <c r="A23" s="147"/>
      <c r="B23" s="188" t="s">
        <v>30</v>
      </c>
      <c r="C23" s="190" t="s">
        <v>23</v>
      </c>
      <c r="D23" s="190">
        <v>11301511025</v>
      </c>
      <c r="E23" s="188">
        <v>11301513025</v>
      </c>
      <c r="F23" s="210" t="s">
        <v>34</v>
      </c>
      <c r="G23" s="211"/>
      <c r="H23" s="190" t="s">
        <v>28</v>
      </c>
      <c r="I23" s="190">
        <v>25</v>
      </c>
      <c r="J23" s="212">
        <v>11.76</v>
      </c>
      <c r="K23" s="212">
        <f t="shared" si="8"/>
        <v>14.35</v>
      </c>
      <c r="L23" s="212">
        <f>K23*G23</f>
        <v>0</v>
      </c>
      <c r="M23" s="212">
        <f t="shared" si="9"/>
        <v>11.76</v>
      </c>
      <c r="N23" s="212">
        <f>M23*G23</f>
        <v>0</v>
      </c>
      <c r="O23" s="213">
        <f t="shared" si="10"/>
        <v>14.35</v>
      </c>
      <c r="P23" s="213">
        <f>O23*G23</f>
        <v>0</v>
      </c>
      <c r="Q23" s="3"/>
      <c r="R23" s="214">
        <f t="shared" si="11"/>
        <v>1148</v>
      </c>
      <c r="AK23" s="141">
        <f t="shared" si="12"/>
        <v>1148</v>
      </c>
    </row>
    <row r="24" spans="1:37" outlineLevel="1">
      <c r="A24" s="147"/>
      <c r="B24" s="188" t="s">
        <v>30</v>
      </c>
      <c r="C24" s="190" t="s">
        <v>23</v>
      </c>
      <c r="D24" s="190">
        <v>11301111005</v>
      </c>
      <c r="E24" s="188">
        <v>11301113005</v>
      </c>
      <c r="F24" s="210" t="s">
        <v>35</v>
      </c>
      <c r="G24" s="211"/>
      <c r="H24" s="190" t="s">
        <v>28</v>
      </c>
      <c r="I24" s="190">
        <v>15</v>
      </c>
      <c r="J24" s="212">
        <v>31.19</v>
      </c>
      <c r="K24" s="212">
        <f>ROUND((J24*$C$3),2)</f>
        <v>38.049999999999997</v>
      </c>
      <c r="L24" s="212">
        <f>K24*G24</f>
        <v>0</v>
      </c>
      <c r="M24" s="212">
        <f t="shared" ref="M24" si="13">J24*(1-$E$5-$E$7)*(1-$E$9)*(1+$E$11)</f>
        <v>31.19</v>
      </c>
      <c r="N24" s="212">
        <f>M24*G24</f>
        <v>0</v>
      </c>
      <c r="O24" s="213">
        <f t="shared" ref="O24" si="14">ROUND((M24*$C$3),2)</f>
        <v>38.049999999999997</v>
      </c>
      <c r="P24" s="213">
        <f>O24*G24</f>
        <v>0</v>
      </c>
      <c r="Q24" s="3"/>
      <c r="R24" s="214">
        <f t="shared" ref="R24" si="15">ROUND(AK24,0)</f>
        <v>3044</v>
      </c>
      <c r="AK24" s="141">
        <f t="shared" si="12"/>
        <v>3044</v>
      </c>
    </row>
    <row r="25" spans="1:37" outlineLevel="1">
      <c r="A25" s="147"/>
      <c r="B25" s="188"/>
      <c r="C25" s="215"/>
      <c r="D25" s="216"/>
      <c r="E25" s="217"/>
      <c r="F25" s="218"/>
      <c r="G25" s="219"/>
      <c r="H25" s="215"/>
      <c r="I25" s="215"/>
      <c r="J25" s="220"/>
      <c r="K25" s="220"/>
      <c r="L25" s="220"/>
      <c r="M25" s="220"/>
      <c r="N25" s="220"/>
      <c r="O25" s="221"/>
      <c r="P25" s="221"/>
      <c r="Q25" s="3"/>
      <c r="R25" s="222"/>
      <c r="AK25" s="141"/>
    </row>
    <row r="26" spans="1:37" outlineLevel="1">
      <c r="A26" s="147"/>
      <c r="B26" s="188" t="s">
        <v>30</v>
      </c>
      <c r="C26" s="190" t="s">
        <v>23</v>
      </c>
      <c r="D26" s="190">
        <v>11303701100</v>
      </c>
      <c r="E26" s="188">
        <v>11303703100</v>
      </c>
      <c r="F26" s="210" t="s">
        <v>36</v>
      </c>
      <c r="G26" s="211"/>
      <c r="H26" s="190" t="s">
        <v>28</v>
      </c>
      <c r="I26" s="190">
        <v>100</v>
      </c>
      <c r="J26" s="212">
        <v>2.04</v>
      </c>
      <c r="K26" s="212">
        <f t="shared" ref="K26" si="16">ROUND((J26*$C$3),2)</f>
        <v>2.4900000000000002</v>
      </c>
      <c r="L26" s="212">
        <f t="shared" ref="L26:L32" si="17">K26*G26</f>
        <v>0</v>
      </c>
      <c r="M26" s="212">
        <f t="shared" ref="M26" si="18">J26*(1-$E$5-$E$7)*(1-$E$9)*(1+$E$11)</f>
        <v>2.04</v>
      </c>
      <c r="N26" s="212">
        <f t="shared" ref="N26:N32" si="19">M26*G26</f>
        <v>0</v>
      </c>
      <c r="O26" s="213">
        <f t="shared" ref="O26" si="20">ROUND((M26*$C$3),2)</f>
        <v>2.4900000000000002</v>
      </c>
      <c r="P26" s="213">
        <f t="shared" ref="P26:P32" si="21">O26*G26</f>
        <v>0</v>
      </c>
      <c r="Q26" s="3"/>
      <c r="R26" s="222">
        <f t="shared" ref="R26" si="22">ROUND(AK26,0)</f>
        <v>199</v>
      </c>
      <c r="AK26" s="141">
        <f>K26*$AK$11*(1-$AK$10)</f>
        <v>199.20000000000005</v>
      </c>
    </row>
    <row r="27" spans="1:37" outlineLevel="1">
      <c r="A27" s="147"/>
      <c r="B27" s="188" t="s">
        <v>30</v>
      </c>
      <c r="C27" s="190" t="s">
        <v>23</v>
      </c>
      <c r="D27" s="190">
        <v>11303801100</v>
      </c>
      <c r="E27" s="188">
        <v>11303803100</v>
      </c>
      <c r="F27" s="210" t="s">
        <v>37</v>
      </c>
      <c r="G27" s="211"/>
      <c r="H27" s="190" t="s">
        <v>28</v>
      </c>
      <c r="I27" s="190">
        <v>100</v>
      </c>
      <c r="J27" s="212">
        <v>3.05</v>
      </c>
      <c r="K27" s="212">
        <f t="shared" ref="K27:K30" si="23">ROUND((J27*$C$3),2)</f>
        <v>3.72</v>
      </c>
      <c r="L27" s="212">
        <f t="shared" si="17"/>
        <v>0</v>
      </c>
      <c r="M27" s="212">
        <f t="shared" ref="M27:M30" si="24">J27*(1-$E$5-$E$7)*(1-$E$9)*(1+$E$11)</f>
        <v>3.05</v>
      </c>
      <c r="N27" s="212">
        <f t="shared" si="19"/>
        <v>0</v>
      </c>
      <c r="O27" s="213">
        <f t="shared" ref="O27:O30" si="25">ROUND((M27*$C$3),2)</f>
        <v>3.72</v>
      </c>
      <c r="P27" s="213">
        <f t="shared" si="21"/>
        <v>0</v>
      </c>
      <c r="Q27" s="3"/>
      <c r="R27" s="222">
        <f t="shared" ref="R27:R30" si="26">ROUND(AK27,0)</f>
        <v>298</v>
      </c>
      <c r="AK27" s="141">
        <f>K27*$AK$11*(1-$AK$10)</f>
        <v>297.60000000000002</v>
      </c>
    </row>
    <row r="28" spans="1:37" outlineLevel="1">
      <c r="A28" s="147"/>
      <c r="B28" s="188" t="s">
        <v>30</v>
      </c>
      <c r="C28" s="190" t="s">
        <v>23</v>
      </c>
      <c r="D28" s="190">
        <v>11303901050</v>
      </c>
      <c r="E28" s="188">
        <v>11303903050</v>
      </c>
      <c r="F28" s="210" t="s">
        <v>38</v>
      </c>
      <c r="G28" s="211"/>
      <c r="H28" s="190" t="s">
        <v>28</v>
      </c>
      <c r="I28" s="190">
        <v>50</v>
      </c>
      <c r="J28" s="212">
        <v>4.7300000000000004</v>
      </c>
      <c r="K28" s="212">
        <f t="shared" si="23"/>
        <v>5.77</v>
      </c>
      <c r="L28" s="212">
        <f t="shared" si="17"/>
        <v>0</v>
      </c>
      <c r="M28" s="212">
        <f t="shared" si="24"/>
        <v>4.7300000000000004</v>
      </c>
      <c r="N28" s="212">
        <f t="shared" si="19"/>
        <v>0</v>
      </c>
      <c r="O28" s="213">
        <f t="shared" si="25"/>
        <v>5.77</v>
      </c>
      <c r="P28" s="213">
        <f t="shared" si="21"/>
        <v>0</v>
      </c>
      <c r="Q28" s="3"/>
      <c r="R28" s="222">
        <f t="shared" si="26"/>
        <v>462</v>
      </c>
      <c r="AK28" s="141">
        <f>K28*$AK$11*(1-$AK$10)</f>
        <v>461.6</v>
      </c>
    </row>
    <row r="29" spans="1:37" outlineLevel="1">
      <c r="A29" s="147"/>
      <c r="B29" s="188" t="s">
        <v>30</v>
      </c>
      <c r="C29" s="190" t="s">
        <v>23</v>
      </c>
      <c r="D29" s="190">
        <v>11304001050</v>
      </c>
      <c r="E29" s="188">
        <v>11304003050</v>
      </c>
      <c r="F29" s="210" t="s">
        <v>39</v>
      </c>
      <c r="G29" s="211"/>
      <c r="H29" s="190" t="s">
        <v>28</v>
      </c>
      <c r="I29" s="190">
        <v>50</v>
      </c>
      <c r="J29" s="212">
        <v>7.69</v>
      </c>
      <c r="K29" s="212">
        <f t="shared" si="23"/>
        <v>9.3800000000000008</v>
      </c>
      <c r="L29" s="212">
        <f t="shared" si="17"/>
        <v>0</v>
      </c>
      <c r="M29" s="212">
        <f t="shared" si="24"/>
        <v>7.69</v>
      </c>
      <c r="N29" s="212">
        <f t="shared" si="19"/>
        <v>0</v>
      </c>
      <c r="O29" s="213">
        <f t="shared" si="25"/>
        <v>9.3800000000000008</v>
      </c>
      <c r="P29" s="213">
        <f t="shared" si="21"/>
        <v>0</v>
      </c>
      <c r="Q29" s="3"/>
      <c r="R29" s="222">
        <f t="shared" si="26"/>
        <v>750</v>
      </c>
      <c r="AK29" s="141">
        <f>K29*$AK$11*(1-$AK$10)</f>
        <v>750.40000000000009</v>
      </c>
    </row>
    <row r="30" spans="1:37" outlineLevel="1">
      <c r="A30" s="147"/>
      <c r="B30" s="188" t="s">
        <v>30</v>
      </c>
      <c r="C30" s="190" t="s">
        <v>23</v>
      </c>
      <c r="D30" s="223" t="s">
        <v>40</v>
      </c>
      <c r="E30" s="188">
        <v>11304113006</v>
      </c>
      <c r="F30" s="210" t="s">
        <v>41</v>
      </c>
      <c r="G30" s="211"/>
      <c r="H30" s="190" t="s">
        <v>28</v>
      </c>
      <c r="I30" s="190">
        <v>12</v>
      </c>
      <c r="J30" s="212">
        <v>14.92</v>
      </c>
      <c r="K30" s="212">
        <f t="shared" si="23"/>
        <v>18.2</v>
      </c>
      <c r="L30" s="212">
        <f t="shared" si="17"/>
        <v>0</v>
      </c>
      <c r="M30" s="212">
        <f t="shared" si="24"/>
        <v>14.92</v>
      </c>
      <c r="N30" s="212">
        <f t="shared" si="19"/>
        <v>0</v>
      </c>
      <c r="O30" s="213">
        <f t="shared" si="25"/>
        <v>18.2</v>
      </c>
      <c r="P30" s="213">
        <f t="shared" si="21"/>
        <v>0</v>
      </c>
      <c r="Q30" s="3"/>
      <c r="R30" s="222">
        <f t="shared" si="26"/>
        <v>1432</v>
      </c>
      <c r="AK30" s="141">
        <v>1432</v>
      </c>
    </row>
    <row r="31" spans="1:37" outlineLevel="1">
      <c r="A31" s="147"/>
      <c r="B31" s="188" t="s">
        <v>30</v>
      </c>
      <c r="C31" s="190" t="s">
        <v>23</v>
      </c>
      <c r="D31" s="190">
        <v>11304203006</v>
      </c>
      <c r="E31" s="188">
        <v>11304213006</v>
      </c>
      <c r="F31" s="210" t="s">
        <v>42</v>
      </c>
      <c r="G31" s="211"/>
      <c r="H31" s="190" t="s">
        <v>28</v>
      </c>
      <c r="I31" s="190">
        <v>6</v>
      </c>
      <c r="J31" s="212">
        <v>19.63</v>
      </c>
      <c r="K31" s="212">
        <f t="shared" ref="K31" si="27">ROUND((J31*$C$3),2)</f>
        <v>23.95</v>
      </c>
      <c r="L31" s="212">
        <f t="shared" si="17"/>
        <v>0</v>
      </c>
      <c r="M31" s="212">
        <f t="shared" ref="M31" si="28">J31*(1-$E$5-$E$7)*(1-$E$9)*(1+$E$11)</f>
        <v>19.63</v>
      </c>
      <c r="N31" s="212">
        <f t="shared" si="19"/>
        <v>0</v>
      </c>
      <c r="O31" s="213">
        <f t="shared" ref="O31" si="29">ROUND((M31*$C$3),2)</f>
        <v>23.95</v>
      </c>
      <c r="P31" s="213">
        <f t="shared" si="21"/>
        <v>0</v>
      </c>
      <c r="Q31" s="3"/>
      <c r="R31" s="222">
        <f t="shared" ref="R31" si="30">ROUND(AK31,0)</f>
        <v>1916</v>
      </c>
      <c r="AK31" s="141">
        <f t="shared" ref="AK31" si="31">K31*$AK$11*(1-$AK$10)</f>
        <v>1916</v>
      </c>
    </row>
    <row r="32" spans="1:37" outlineLevel="1">
      <c r="A32" s="147"/>
      <c r="B32" s="188" t="s">
        <v>30</v>
      </c>
      <c r="C32" s="190" t="s">
        <v>23</v>
      </c>
      <c r="D32" s="190">
        <v>11304303006</v>
      </c>
      <c r="E32" s="188">
        <v>11304313006</v>
      </c>
      <c r="F32" s="210" t="s">
        <v>43</v>
      </c>
      <c r="G32" s="211"/>
      <c r="H32" s="190" t="s">
        <v>28</v>
      </c>
      <c r="I32" s="190">
        <v>6</v>
      </c>
      <c r="J32" s="212">
        <v>28.97</v>
      </c>
      <c r="K32" s="212">
        <f>ROUND((J32*$C$3),2)</f>
        <v>35.340000000000003</v>
      </c>
      <c r="L32" s="212">
        <f t="shared" si="17"/>
        <v>0</v>
      </c>
      <c r="M32" s="212">
        <f>J32*(1-$E$5-$E$7)*(1-$E$9)*(1+$E$11)</f>
        <v>28.97</v>
      </c>
      <c r="N32" s="212">
        <f t="shared" si="19"/>
        <v>0</v>
      </c>
      <c r="O32" s="213">
        <f>ROUND((M32*$C$3),2)</f>
        <v>35.340000000000003</v>
      </c>
      <c r="P32" s="213">
        <f t="shared" si="21"/>
        <v>0</v>
      </c>
      <c r="Q32" s="3"/>
      <c r="R32" s="222">
        <f>ROUND(AK32,0)</f>
        <v>2827</v>
      </c>
      <c r="AK32" s="141">
        <f>K32*$AK$11*(1-$AK$10)</f>
        <v>2827.2000000000007</v>
      </c>
    </row>
    <row r="33" spans="1:76" ht="15.6" outlineLevel="1">
      <c r="A33" s="147"/>
      <c r="B33" s="188"/>
      <c r="C33" s="190"/>
      <c r="D33" s="188"/>
      <c r="E33" s="144"/>
      <c r="F33" s="210"/>
      <c r="G33" s="211"/>
      <c r="H33" s="190"/>
      <c r="I33" s="190"/>
      <c r="J33" s="212"/>
      <c r="K33" s="212"/>
      <c r="L33" s="212"/>
      <c r="M33" s="212"/>
      <c r="N33" s="212"/>
      <c r="O33" s="213"/>
      <c r="P33" s="213"/>
      <c r="Q33" s="3"/>
      <c r="R33" s="222"/>
      <c r="AK33" s="141"/>
    </row>
    <row r="34" spans="1:76" outlineLevel="1">
      <c r="A34" s="147"/>
      <c r="B34" s="188" t="s">
        <v>30</v>
      </c>
      <c r="C34" s="190" t="s">
        <v>23</v>
      </c>
      <c r="D34" s="190">
        <v>11360421120</v>
      </c>
      <c r="E34" s="188">
        <v>11360423120</v>
      </c>
      <c r="F34" s="210" t="s">
        <v>44</v>
      </c>
      <c r="G34" s="211"/>
      <c r="H34" s="190" t="s">
        <v>28</v>
      </c>
      <c r="I34" s="190">
        <v>120</v>
      </c>
      <c r="J34" s="212">
        <v>1.95</v>
      </c>
      <c r="K34" s="212">
        <f t="shared" ref="K34:K36" si="32">ROUND((J34*$C$3),2)</f>
        <v>2.38</v>
      </c>
      <c r="L34" s="212">
        <f>K34*G34</f>
        <v>0</v>
      </c>
      <c r="M34" s="212">
        <f t="shared" ref="M34:M36" si="33">J34*(1-$E$5-$E$7)*(1-$E$9)*(1+$E$11)</f>
        <v>1.95</v>
      </c>
      <c r="N34" s="212">
        <f>M34*G34</f>
        <v>0</v>
      </c>
      <c r="O34" s="213">
        <f t="shared" ref="O34:O36" si="34">ROUND((M34*$C$3),2)</f>
        <v>2.38</v>
      </c>
      <c r="P34" s="213">
        <f>O34*G34</f>
        <v>0</v>
      </c>
      <c r="Q34" s="3"/>
      <c r="R34" s="222">
        <f t="shared" si="3"/>
        <v>190</v>
      </c>
      <c r="AK34" s="141">
        <f>K34*$AK$11*(1-$AK$10)</f>
        <v>190.4</v>
      </c>
    </row>
    <row r="35" spans="1:76" outlineLevel="1">
      <c r="A35" s="147"/>
      <c r="B35" s="188" t="s">
        <v>30</v>
      </c>
      <c r="C35" s="190" t="s">
        <v>23</v>
      </c>
      <c r="D35" s="190">
        <v>11360521120</v>
      </c>
      <c r="E35" s="188">
        <v>11360523120</v>
      </c>
      <c r="F35" s="210" t="s">
        <v>45</v>
      </c>
      <c r="G35" s="211"/>
      <c r="H35" s="190" t="s">
        <v>28</v>
      </c>
      <c r="I35" s="190">
        <v>120</v>
      </c>
      <c r="J35" s="212">
        <v>2.84</v>
      </c>
      <c r="K35" s="212">
        <f t="shared" si="32"/>
        <v>3.46</v>
      </c>
      <c r="L35" s="212">
        <f>K35*G35</f>
        <v>0</v>
      </c>
      <c r="M35" s="212">
        <f t="shared" si="33"/>
        <v>2.84</v>
      </c>
      <c r="N35" s="212">
        <f>M35*G35</f>
        <v>0</v>
      </c>
      <c r="O35" s="213">
        <f t="shared" si="34"/>
        <v>3.46</v>
      </c>
      <c r="P35" s="213">
        <f>O35*G35</f>
        <v>0</v>
      </c>
      <c r="Q35" s="3"/>
      <c r="R35" s="222">
        <f t="shared" si="3"/>
        <v>277</v>
      </c>
      <c r="AK35" s="141">
        <f>K35*$AK$11*(1-$AK$10)</f>
        <v>276.8</v>
      </c>
    </row>
    <row r="36" spans="1:76" outlineLevel="1">
      <c r="A36" s="147"/>
      <c r="B36" s="188" t="s">
        <v>30</v>
      </c>
      <c r="C36" s="190" t="s">
        <v>23</v>
      </c>
      <c r="D36" s="190">
        <v>11360621050</v>
      </c>
      <c r="E36" s="188">
        <v>11360623050</v>
      </c>
      <c r="F36" s="210" t="s">
        <v>46</v>
      </c>
      <c r="G36" s="211"/>
      <c r="H36" s="190" t="s">
        <v>28</v>
      </c>
      <c r="I36" s="190">
        <v>50</v>
      </c>
      <c r="J36" s="212">
        <v>4.4000000000000004</v>
      </c>
      <c r="K36" s="212">
        <f t="shared" si="32"/>
        <v>5.37</v>
      </c>
      <c r="L36" s="212">
        <f>K36*G36</f>
        <v>0</v>
      </c>
      <c r="M36" s="212">
        <f t="shared" si="33"/>
        <v>4.4000000000000004</v>
      </c>
      <c r="N36" s="212">
        <f>M36*G36</f>
        <v>0</v>
      </c>
      <c r="O36" s="213">
        <f t="shared" si="34"/>
        <v>5.37</v>
      </c>
      <c r="P36" s="213">
        <f>O36*G36</f>
        <v>0</v>
      </c>
      <c r="Q36" s="3"/>
      <c r="R36" s="222">
        <f t="shared" si="3"/>
        <v>430</v>
      </c>
      <c r="AK36" s="141">
        <f>K36*$AK$11*(1-$AK$10)</f>
        <v>429.6</v>
      </c>
    </row>
    <row r="37" spans="1:76" outlineLevel="1">
      <c r="A37" s="147"/>
      <c r="B37" s="188" t="s">
        <v>30</v>
      </c>
      <c r="C37" s="190" t="s">
        <v>23</v>
      </c>
      <c r="D37" s="190">
        <v>11360721050</v>
      </c>
      <c r="E37" s="188">
        <v>11360723050</v>
      </c>
      <c r="F37" s="210" t="s">
        <v>47</v>
      </c>
      <c r="G37" s="211"/>
      <c r="H37" s="190" t="s">
        <v>28</v>
      </c>
      <c r="I37" s="190">
        <v>50</v>
      </c>
      <c r="J37" s="212">
        <v>7.15</v>
      </c>
      <c r="K37" s="212">
        <f t="shared" ref="K37" si="35">ROUND((J37*$C$3),2)</f>
        <v>8.7200000000000006</v>
      </c>
      <c r="L37" s="212">
        <f>K37*G37</f>
        <v>0</v>
      </c>
      <c r="M37" s="212">
        <f t="shared" ref="M37" si="36">J37*(1-$E$5-$E$7)*(1-$E$9)*(1+$E$11)</f>
        <v>7.15</v>
      </c>
      <c r="N37" s="212">
        <f>M37*G37</f>
        <v>0</v>
      </c>
      <c r="O37" s="213">
        <f t="shared" ref="O37" si="37">ROUND((M37*$C$3),2)</f>
        <v>8.7200000000000006</v>
      </c>
      <c r="P37" s="213">
        <f>O37*G37</f>
        <v>0</v>
      </c>
      <c r="Q37" s="3"/>
      <c r="R37" s="222">
        <f t="shared" si="3"/>
        <v>698</v>
      </c>
      <c r="AK37" s="141">
        <f>K37*$AK$11*(1-$AK$10)</f>
        <v>697.60000000000014</v>
      </c>
    </row>
    <row r="38" spans="1:76" outlineLevel="1">
      <c r="A38" s="147"/>
      <c r="B38" s="188"/>
      <c r="C38" s="224"/>
      <c r="D38" s="190"/>
      <c r="E38" s="188"/>
      <c r="F38" s="210"/>
      <c r="G38" s="211"/>
      <c r="H38" s="190"/>
      <c r="I38" s="190"/>
      <c r="J38" s="212"/>
      <c r="K38" s="212"/>
      <c r="L38" s="212"/>
      <c r="M38" s="212"/>
      <c r="N38" s="212"/>
      <c r="O38" s="213"/>
      <c r="P38" s="213"/>
      <c r="Q38" s="3"/>
      <c r="R38" s="222"/>
      <c r="AK38" s="141"/>
    </row>
    <row r="39" spans="1:76" outlineLevel="1">
      <c r="A39" s="147"/>
      <c r="B39" s="188" t="s">
        <v>30</v>
      </c>
      <c r="C39" s="190" t="s">
        <v>23</v>
      </c>
      <c r="D39" s="190">
        <v>11331691200</v>
      </c>
      <c r="E39" s="188">
        <v>11331703200</v>
      </c>
      <c r="F39" s="210" t="s">
        <v>48</v>
      </c>
      <c r="G39" s="211"/>
      <c r="H39" s="190" t="s">
        <v>28</v>
      </c>
      <c r="I39" s="190">
        <v>200</v>
      </c>
      <c r="J39" s="212" t="s">
        <v>49</v>
      </c>
      <c r="K39" s="212"/>
      <c r="L39" s="212"/>
      <c r="M39" s="212"/>
      <c r="N39" s="212"/>
      <c r="O39" s="213"/>
      <c r="P39" s="213"/>
      <c r="Q39" s="3"/>
      <c r="R39" s="222"/>
      <c r="AK39" s="141"/>
    </row>
    <row r="40" spans="1:76" outlineLevel="1">
      <c r="A40" s="147"/>
      <c r="B40" s="188" t="s">
        <v>30</v>
      </c>
      <c r="C40" s="190" t="s">
        <v>23</v>
      </c>
      <c r="D40" s="190">
        <v>11331791180</v>
      </c>
      <c r="E40" s="188">
        <v>11331803180</v>
      </c>
      <c r="F40" s="210" t="s">
        <v>50</v>
      </c>
      <c r="G40" s="211"/>
      <c r="H40" s="190" t="s">
        <v>28</v>
      </c>
      <c r="I40" s="190">
        <v>180</v>
      </c>
      <c r="J40" s="212" t="s">
        <v>49</v>
      </c>
      <c r="K40" s="212"/>
      <c r="L40" s="212"/>
      <c r="M40" s="212"/>
      <c r="N40" s="212"/>
      <c r="O40" s="213"/>
      <c r="P40" s="213"/>
      <c r="Q40" s="3"/>
      <c r="R40" s="222"/>
      <c r="AK40" s="141"/>
    </row>
    <row r="41" spans="1:76" outlineLevel="1">
      <c r="A41" s="147"/>
      <c r="B41" s="188" t="s">
        <v>30</v>
      </c>
      <c r="C41" s="190" t="s">
        <v>23</v>
      </c>
      <c r="D41" s="190">
        <v>11331891100</v>
      </c>
      <c r="E41" s="188">
        <v>11331903100</v>
      </c>
      <c r="F41" s="210" t="s">
        <v>51</v>
      </c>
      <c r="G41" s="211"/>
      <c r="H41" s="190" t="s">
        <v>28</v>
      </c>
      <c r="I41" s="190">
        <v>100</v>
      </c>
      <c r="J41" s="212" t="s">
        <v>49</v>
      </c>
      <c r="K41" s="212"/>
      <c r="L41" s="212"/>
      <c r="M41" s="212"/>
      <c r="N41" s="212"/>
      <c r="O41" s="213"/>
      <c r="P41" s="213"/>
      <c r="Q41" s="3"/>
      <c r="R41" s="222"/>
      <c r="AK41" s="141"/>
    </row>
    <row r="42" spans="1:76" outlineLevel="1">
      <c r="A42" s="147"/>
      <c r="B42" s="188"/>
      <c r="C42" s="224"/>
      <c r="D42" s="190"/>
      <c r="E42" s="188"/>
      <c r="F42" s="210"/>
      <c r="G42" s="211"/>
      <c r="H42" s="190"/>
      <c r="I42" s="190"/>
      <c r="J42" s="212"/>
      <c r="K42" s="212"/>
      <c r="L42" s="212"/>
      <c r="M42" s="212"/>
      <c r="N42" s="212"/>
      <c r="O42" s="213"/>
      <c r="P42" s="213"/>
      <c r="Q42" s="3"/>
      <c r="R42" s="222"/>
      <c r="AK42" s="141"/>
    </row>
    <row r="43" spans="1:76" s="74" customFormat="1" outlineLevel="1">
      <c r="A43" s="149"/>
      <c r="B43" s="225" t="s">
        <v>52</v>
      </c>
      <c r="C43" s="226" t="s">
        <v>23</v>
      </c>
      <c r="D43" s="226">
        <v>11331691200</v>
      </c>
      <c r="E43" s="225">
        <v>11331693200</v>
      </c>
      <c r="F43" s="227" t="s">
        <v>53</v>
      </c>
      <c r="G43" s="228"/>
      <c r="H43" s="226" t="s">
        <v>28</v>
      </c>
      <c r="I43" s="226">
        <v>2600</v>
      </c>
      <c r="J43" s="229">
        <v>1.58</v>
      </c>
      <c r="K43" s="229">
        <f t="shared" ref="K43" si="38">ROUND((J43*$C$3),2)</f>
        <v>1.93</v>
      </c>
      <c r="L43" s="229">
        <f>K43*G43</f>
        <v>0</v>
      </c>
      <c r="M43" s="229">
        <f t="shared" ref="M43" si="39">J43*(1-$E$5-$E$7)*(1-$E$9)*(1+$E$11)</f>
        <v>1.58</v>
      </c>
      <c r="N43" s="229">
        <f>M43*G43</f>
        <v>0</v>
      </c>
      <c r="O43" s="230">
        <f t="shared" ref="O43" si="40">ROUND((M43*$C$3),2)</f>
        <v>1.93</v>
      </c>
      <c r="P43" s="230">
        <f>O43*G43</f>
        <v>0</v>
      </c>
      <c r="Q43" s="139"/>
      <c r="R43" s="231"/>
      <c r="AK43" s="143">
        <f>K43*$AK$11*(1-$AK$10)</f>
        <v>154.4</v>
      </c>
    </row>
    <row r="44" spans="1:76" s="74" customFormat="1" outlineLevel="1">
      <c r="A44" s="149"/>
      <c r="B44" s="225" t="s">
        <v>52</v>
      </c>
      <c r="C44" s="226" t="s">
        <v>23</v>
      </c>
      <c r="D44" s="226">
        <v>11331791180</v>
      </c>
      <c r="E44" s="225">
        <v>11331793180</v>
      </c>
      <c r="F44" s="227" t="s">
        <v>54</v>
      </c>
      <c r="G44" s="228"/>
      <c r="H44" s="226" t="s">
        <v>28</v>
      </c>
      <c r="I44" s="226">
        <v>1440</v>
      </c>
      <c r="J44" s="229">
        <v>2.16</v>
      </c>
      <c r="K44" s="229">
        <f t="shared" ref="K44:K45" si="41">ROUND((J44*$C$3),2)</f>
        <v>2.64</v>
      </c>
      <c r="L44" s="229">
        <f>K44*G44</f>
        <v>0</v>
      </c>
      <c r="M44" s="229">
        <f t="shared" ref="M44:M45" si="42">J44*(1-$E$5-$E$7)*(1-$E$9)*(1+$E$11)</f>
        <v>2.16</v>
      </c>
      <c r="N44" s="229">
        <f>M44*G44</f>
        <v>0</v>
      </c>
      <c r="O44" s="230">
        <f t="shared" ref="O44:O45" si="43">ROUND((M44*$C$3),2)</f>
        <v>2.64</v>
      </c>
      <c r="P44" s="230">
        <f>O44*G44</f>
        <v>0</v>
      </c>
      <c r="Q44" s="139"/>
      <c r="R44" s="231"/>
      <c r="AK44" s="143">
        <f>K44*$AK$11*(1-$AK$10)</f>
        <v>211.20000000000002</v>
      </c>
    </row>
    <row r="45" spans="1:76" s="74" customFormat="1" outlineLevel="1">
      <c r="A45" s="149"/>
      <c r="B45" s="225" t="s">
        <v>52</v>
      </c>
      <c r="C45" s="226" t="s">
        <v>23</v>
      </c>
      <c r="D45" s="226">
        <v>11331891100</v>
      </c>
      <c r="E45" s="225">
        <v>11331893100</v>
      </c>
      <c r="F45" s="227" t="s">
        <v>55</v>
      </c>
      <c r="G45" s="228"/>
      <c r="H45" s="226" t="s">
        <v>28</v>
      </c>
      <c r="I45" s="226">
        <v>800</v>
      </c>
      <c r="J45" s="229">
        <v>3.32</v>
      </c>
      <c r="K45" s="229">
        <f t="shared" si="41"/>
        <v>4.05</v>
      </c>
      <c r="L45" s="229">
        <f>K45*G45</f>
        <v>0</v>
      </c>
      <c r="M45" s="229">
        <f t="shared" si="42"/>
        <v>3.32</v>
      </c>
      <c r="N45" s="229">
        <f>M45*G45</f>
        <v>0</v>
      </c>
      <c r="O45" s="230">
        <f t="shared" si="43"/>
        <v>4.05</v>
      </c>
      <c r="P45" s="230">
        <f>O45*G45</f>
        <v>0</v>
      </c>
      <c r="Q45" s="139"/>
      <c r="R45" s="231"/>
      <c r="AK45" s="143">
        <f>K45*$AK$11*(1-$AK$10)</f>
        <v>324</v>
      </c>
    </row>
    <row r="46" spans="1:76" outlineLevel="1">
      <c r="A46" s="147"/>
      <c r="B46" s="188"/>
      <c r="C46" s="215"/>
      <c r="D46" s="216"/>
      <c r="E46" s="217"/>
      <c r="F46" s="218"/>
      <c r="G46" s="219"/>
      <c r="H46" s="215"/>
      <c r="I46" s="215"/>
      <c r="J46" s="220"/>
      <c r="K46" s="220"/>
      <c r="L46" s="220"/>
      <c r="M46" s="220"/>
      <c r="N46" s="220"/>
      <c r="O46" s="221"/>
      <c r="P46" s="221"/>
      <c r="Q46" s="3"/>
      <c r="R46" s="222"/>
      <c r="AK46" s="141"/>
    </row>
    <row r="47" spans="1:76" s="73" customFormat="1" outlineLevel="1">
      <c r="A47" s="150"/>
      <c r="B47" s="188" t="s">
        <v>30</v>
      </c>
      <c r="C47" s="190" t="s">
        <v>23</v>
      </c>
      <c r="D47" s="190">
        <v>11380331001</v>
      </c>
      <c r="E47" s="188">
        <v>11380333001</v>
      </c>
      <c r="F47" s="210" t="s">
        <v>56</v>
      </c>
      <c r="G47" s="211"/>
      <c r="H47" s="190" t="s">
        <v>28</v>
      </c>
      <c r="I47" s="190">
        <v>30</v>
      </c>
      <c r="J47" s="212">
        <v>2.13</v>
      </c>
      <c r="K47" s="212">
        <f t="shared" ref="K47" si="44">ROUND((J47*$C$3),2)</f>
        <v>2.6</v>
      </c>
      <c r="L47" s="212">
        <f>K47*G47</f>
        <v>0</v>
      </c>
      <c r="M47" s="212">
        <f t="shared" ref="M47" si="45">J47*(1-$E$5-$E$7)*(1-$E$9)*(1+$E$11)</f>
        <v>2.13</v>
      </c>
      <c r="N47" s="212">
        <f>M47*G47</f>
        <v>0</v>
      </c>
      <c r="O47" s="213">
        <f t="shared" ref="O47" si="46">ROUND((M47*$C$3),2)</f>
        <v>2.6</v>
      </c>
      <c r="P47" s="213">
        <f>O47*G47</f>
        <v>0</v>
      </c>
      <c r="Q47" s="3"/>
      <c r="R47" s="214">
        <f t="shared" ref="R47" si="47">ROUND(AK47,0)</f>
        <v>208</v>
      </c>
      <c r="AK47" s="142">
        <f t="shared" ref="AK47" si="48">K47*$AK$11*(1-$AK$10)</f>
        <v>208</v>
      </c>
    </row>
    <row r="48" spans="1:76" outlineLevel="1">
      <c r="A48" s="147"/>
      <c r="B48" s="188" t="s">
        <v>30</v>
      </c>
      <c r="C48" s="190" t="s">
        <v>23</v>
      </c>
      <c r="D48" s="190">
        <v>11380431001</v>
      </c>
      <c r="E48" s="188">
        <v>11380433001</v>
      </c>
      <c r="F48" s="210" t="s">
        <v>57</v>
      </c>
      <c r="G48" s="211"/>
      <c r="H48" s="190" t="s">
        <v>28</v>
      </c>
      <c r="I48" s="190">
        <v>30</v>
      </c>
      <c r="J48" s="212">
        <v>2.31</v>
      </c>
      <c r="K48" s="212">
        <f t="shared" ref="K48:K53" si="49">ROUND((J48*$C$3),2)</f>
        <v>2.82</v>
      </c>
      <c r="L48" s="212">
        <f>K48*G48</f>
        <v>0</v>
      </c>
      <c r="M48" s="212">
        <f t="shared" ref="M48:M53" si="50">J48*(1-$E$5-$E$7)*(1-$E$9)*(1+$E$11)</f>
        <v>2.31</v>
      </c>
      <c r="N48" s="212">
        <f>M48*G48</f>
        <v>0</v>
      </c>
      <c r="O48" s="213">
        <f t="shared" ref="O48:O53" si="51">ROUND((M48*$C$3),2)</f>
        <v>2.82</v>
      </c>
      <c r="P48" s="213">
        <f>O48*G48</f>
        <v>0</v>
      </c>
      <c r="Q48" s="3"/>
      <c r="R48" s="222">
        <f t="shared" ref="R48:R53" si="52">ROUND(AK48,0)</f>
        <v>226</v>
      </c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141">
        <f t="shared" ref="AK48:AK53" si="53">K48*$AK$11*(1-$AK$10)</f>
        <v>225.60000000000002</v>
      </c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4"/>
      <c r="BX48" s="74"/>
    </row>
    <row r="49" spans="1:93" outlineLevel="1">
      <c r="A49" s="147"/>
      <c r="B49" s="188" t="s">
        <v>30</v>
      </c>
      <c r="C49" s="190" t="s">
        <v>23</v>
      </c>
      <c r="D49" s="190">
        <v>11380531001</v>
      </c>
      <c r="E49" s="188">
        <v>11380533001</v>
      </c>
      <c r="F49" s="210" t="s">
        <v>58</v>
      </c>
      <c r="G49" s="211"/>
      <c r="H49" s="190" t="s">
        <v>28</v>
      </c>
      <c r="I49" s="190">
        <v>30</v>
      </c>
      <c r="J49" s="212">
        <v>3.05</v>
      </c>
      <c r="K49" s="212">
        <f t="shared" si="49"/>
        <v>3.72</v>
      </c>
      <c r="L49" s="212">
        <f>K49*G49</f>
        <v>0</v>
      </c>
      <c r="M49" s="212">
        <f t="shared" si="50"/>
        <v>3.05</v>
      </c>
      <c r="N49" s="212">
        <f>M49*G49</f>
        <v>0</v>
      </c>
      <c r="O49" s="213">
        <f t="shared" si="51"/>
        <v>3.72</v>
      </c>
      <c r="P49" s="213">
        <f>O49*G49</f>
        <v>0</v>
      </c>
      <c r="Q49" s="3"/>
      <c r="R49" s="222">
        <f t="shared" si="52"/>
        <v>298</v>
      </c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141">
        <f t="shared" si="53"/>
        <v>297.60000000000002</v>
      </c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74"/>
      <c r="BU49" s="74"/>
      <c r="BV49" s="74"/>
      <c r="BW49" s="74"/>
      <c r="BX49" s="74"/>
    </row>
    <row r="50" spans="1:93" outlineLevel="1">
      <c r="A50" s="147"/>
      <c r="B50" s="188" t="s">
        <v>30</v>
      </c>
      <c r="C50" s="190" t="s">
        <v>23</v>
      </c>
      <c r="D50" s="190">
        <v>11380631001</v>
      </c>
      <c r="E50" s="188">
        <v>11380633001</v>
      </c>
      <c r="F50" s="210" t="s">
        <v>59</v>
      </c>
      <c r="G50" s="211"/>
      <c r="H50" s="190" t="s">
        <v>28</v>
      </c>
      <c r="I50" s="190">
        <v>30</v>
      </c>
      <c r="J50" s="212">
        <v>3.76</v>
      </c>
      <c r="K50" s="212">
        <f t="shared" si="49"/>
        <v>4.59</v>
      </c>
      <c r="L50" s="212">
        <f t="shared" ref="L50:L53" si="54">K50*G50</f>
        <v>0</v>
      </c>
      <c r="M50" s="212">
        <f t="shared" si="50"/>
        <v>3.76</v>
      </c>
      <c r="N50" s="212">
        <f t="shared" ref="N50:N53" si="55">M50*G50</f>
        <v>0</v>
      </c>
      <c r="O50" s="213">
        <f t="shared" si="51"/>
        <v>4.59</v>
      </c>
      <c r="P50" s="213">
        <f t="shared" ref="P50:P53" si="56">O50*G50</f>
        <v>0</v>
      </c>
      <c r="Q50" s="3"/>
      <c r="R50" s="222">
        <f t="shared" si="52"/>
        <v>367</v>
      </c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141">
        <f t="shared" si="53"/>
        <v>367.20000000000005</v>
      </c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</row>
    <row r="51" spans="1:93" outlineLevel="1">
      <c r="A51" s="147"/>
      <c r="B51" s="188" t="s">
        <v>30</v>
      </c>
      <c r="C51" s="190" t="s">
        <v>23</v>
      </c>
      <c r="D51" s="190">
        <v>11380731001</v>
      </c>
      <c r="E51" s="188">
        <v>11380733001</v>
      </c>
      <c r="F51" s="210" t="s">
        <v>60</v>
      </c>
      <c r="G51" s="211"/>
      <c r="H51" s="190" t="s">
        <v>28</v>
      </c>
      <c r="I51" s="190">
        <v>15</v>
      </c>
      <c r="J51" s="212">
        <v>5.73</v>
      </c>
      <c r="K51" s="212">
        <f t="shared" si="49"/>
        <v>6.99</v>
      </c>
      <c r="L51" s="212">
        <f t="shared" si="54"/>
        <v>0</v>
      </c>
      <c r="M51" s="212">
        <f t="shared" si="50"/>
        <v>5.73</v>
      </c>
      <c r="N51" s="212">
        <f t="shared" si="55"/>
        <v>0</v>
      </c>
      <c r="O51" s="213">
        <f t="shared" si="51"/>
        <v>6.99</v>
      </c>
      <c r="P51" s="213">
        <f t="shared" si="56"/>
        <v>0</v>
      </c>
      <c r="Q51" s="3"/>
      <c r="R51" s="222">
        <f t="shared" si="52"/>
        <v>559</v>
      </c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141">
        <f t="shared" si="53"/>
        <v>559.20000000000005</v>
      </c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</row>
    <row r="52" spans="1:93" outlineLevel="1">
      <c r="A52" s="147"/>
      <c r="B52" s="188" t="s">
        <v>30</v>
      </c>
      <c r="C52" s="190" t="s">
        <v>23</v>
      </c>
      <c r="D52" s="190">
        <v>11380831001</v>
      </c>
      <c r="E52" s="188">
        <v>11380833001</v>
      </c>
      <c r="F52" s="210" t="s">
        <v>61</v>
      </c>
      <c r="G52" s="211"/>
      <c r="H52" s="190" t="s">
        <v>28</v>
      </c>
      <c r="I52" s="190">
        <v>15</v>
      </c>
      <c r="J52" s="212">
        <v>7.11</v>
      </c>
      <c r="K52" s="212">
        <f t="shared" si="49"/>
        <v>8.67</v>
      </c>
      <c r="L52" s="212">
        <f t="shared" si="54"/>
        <v>0</v>
      </c>
      <c r="M52" s="212">
        <f t="shared" si="50"/>
        <v>7.11</v>
      </c>
      <c r="N52" s="212">
        <f t="shared" si="55"/>
        <v>0</v>
      </c>
      <c r="O52" s="213">
        <f t="shared" si="51"/>
        <v>8.67</v>
      </c>
      <c r="P52" s="213">
        <f t="shared" si="56"/>
        <v>0</v>
      </c>
      <c r="Q52" s="3"/>
      <c r="R52" s="222">
        <f t="shared" si="52"/>
        <v>694</v>
      </c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141">
        <f t="shared" si="53"/>
        <v>693.6</v>
      </c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</row>
    <row r="53" spans="1:93" outlineLevel="1">
      <c r="A53" s="147"/>
      <c r="B53" s="188" t="s">
        <v>30</v>
      </c>
      <c r="C53" s="190" t="s">
        <v>23</v>
      </c>
      <c r="D53" s="190">
        <v>11380931001</v>
      </c>
      <c r="E53" s="188">
        <v>11380933001</v>
      </c>
      <c r="F53" s="210" t="s">
        <v>62</v>
      </c>
      <c r="G53" s="211"/>
      <c r="H53" s="190" t="s">
        <v>28</v>
      </c>
      <c r="I53" s="190">
        <v>15</v>
      </c>
      <c r="J53" s="212">
        <v>8.5299999999999994</v>
      </c>
      <c r="K53" s="212">
        <f t="shared" si="49"/>
        <v>10.41</v>
      </c>
      <c r="L53" s="212">
        <f t="shared" si="54"/>
        <v>0</v>
      </c>
      <c r="M53" s="212">
        <f t="shared" si="50"/>
        <v>8.5299999999999994</v>
      </c>
      <c r="N53" s="212">
        <f t="shared" si="55"/>
        <v>0</v>
      </c>
      <c r="O53" s="213">
        <f t="shared" si="51"/>
        <v>10.41</v>
      </c>
      <c r="P53" s="213">
        <f t="shared" si="56"/>
        <v>0</v>
      </c>
      <c r="Q53" s="3"/>
      <c r="R53" s="222">
        <f t="shared" si="52"/>
        <v>833</v>
      </c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141">
        <f t="shared" si="53"/>
        <v>832.80000000000007</v>
      </c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</row>
    <row r="54" spans="1:93" outlineLevel="1">
      <c r="A54" s="147"/>
      <c r="B54" s="188"/>
      <c r="C54" s="215"/>
      <c r="D54" s="216"/>
      <c r="E54" s="217"/>
      <c r="F54" s="218"/>
      <c r="G54" s="219"/>
      <c r="H54" s="215"/>
      <c r="I54" s="215"/>
      <c r="J54" s="220"/>
      <c r="K54" s="220"/>
      <c r="L54" s="220"/>
      <c r="M54" s="220"/>
      <c r="N54" s="220"/>
      <c r="O54" s="221"/>
      <c r="P54" s="221"/>
      <c r="Q54" s="3"/>
      <c r="R54" s="222"/>
      <c r="AK54" s="141"/>
    </row>
    <row r="55" spans="1:93" ht="16.899999999999999" customHeight="1">
      <c r="A55" s="147"/>
      <c r="B55" s="188"/>
      <c r="C55" s="232" t="s">
        <v>23</v>
      </c>
      <c r="D55" s="232"/>
      <c r="E55" s="233"/>
      <c r="F55" s="201" t="s">
        <v>63</v>
      </c>
      <c r="G55" s="234"/>
      <c r="H55" s="203"/>
      <c r="I55" s="203"/>
      <c r="J55" s="235"/>
      <c r="K55" s="235"/>
      <c r="L55" s="235"/>
      <c r="M55" s="235"/>
      <c r="N55" s="235"/>
      <c r="O55" s="236"/>
      <c r="P55" s="237"/>
      <c r="Q55" s="3"/>
      <c r="R55" s="207"/>
      <c r="AK55" s="141"/>
    </row>
    <row r="56" spans="1:93" s="92" customFormat="1">
      <c r="A56" s="151"/>
      <c r="B56" s="188" t="s">
        <v>30</v>
      </c>
      <c r="C56" s="190" t="s">
        <v>23</v>
      </c>
      <c r="D56" s="238"/>
      <c r="E56" s="188">
        <v>11080011001</v>
      </c>
      <c r="F56" s="239" t="s">
        <v>64</v>
      </c>
      <c r="G56" s="211"/>
      <c r="H56" s="190" t="s">
        <v>65</v>
      </c>
      <c r="I56" s="190">
        <v>100</v>
      </c>
      <c r="J56" s="212">
        <v>1.18</v>
      </c>
      <c r="K56" s="212">
        <f t="shared" ref="K56:K57" si="57">ROUND((J56*$C$3),2)</f>
        <v>1.44</v>
      </c>
      <c r="L56" s="212">
        <f t="shared" ref="L56:L62" si="58">K56*G56</f>
        <v>0</v>
      </c>
      <c r="M56" s="212">
        <f t="shared" ref="M56:M57" si="59">J56*(1-$E$5-$E$7)*(1-$E$9)*(1+$E$11)</f>
        <v>1.18</v>
      </c>
      <c r="N56" s="212">
        <f t="shared" ref="N56:N62" si="60">M56*G56</f>
        <v>0</v>
      </c>
      <c r="O56" s="213">
        <f t="shared" ref="O56:O57" si="61">ROUND((M56*$C$3),2)</f>
        <v>1.44</v>
      </c>
      <c r="P56" s="213">
        <f t="shared" ref="P56:P62" si="62">O56*G56</f>
        <v>0</v>
      </c>
      <c r="Q56" s="3"/>
      <c r="R56" s="222">
        <f t="shared" ref="R56:R111" si="63">ROUND(AK56,0)</f>
        <v>115</v>
      </c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 s="141">
        <f t="shared" ref="AK56:AK119" si="64">K56*$AK$11*(1-$AK$10)</f>
        <v>115.2</v>
      </c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</row>
    <row r="57" spans="1:93" s="92" customFormat="1">
      <c r="A57" s="151"/>
      <c r="B57" s="188" t="s">
        <v>30</v>
      </c>
      <c r="C57" s="190" t="s">
        <v>23</v>
      </c>
      <c r="D57" s="238"/>
      <c r="E57" s="188">
        <v>11080021001</v>
      </c>
      <c r="F57" s="239" t="s">
        <v>66</v>
      </c>
      <c r="G57" s="211"/>
      <c r="H57" s="190" t="s">
        <v>65</v>
      </c>
      <c r="I57" s="190">
        <v>100</v>
      </c>
      <c r="J57" s="212">
        <v>1.21</v>
      </c>
      <c r="K57" s="212">
        <f t="shared" si="57"/>
        <v>1.48</v>
      </c>
      <c r="L57" s="212">
        <f t="shared" si="58"/>
        <v>0</v>
      </c>
      <c r="M57" s="212">
        <f t="shared" si="59"/>
        <v>1.21</v>
      </c>
      <c r="N57" s="212">
        <f t="shared" si="60"/>
        <v>0</v>
      </c>
      <c r="O57" s="213">
        <f t="shared" si="61"/>
        <v>1.48</v>
      </c>
      <c r="P57" s="213">
        <f t="shared" si="62"/>
        <v>0</v>
      </c>
      <c r="Q57" s="3"/>
      <c r="R57" s="222">
        <f t="shared" si="63"/>
        <v>118</v>
      </c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 s="141">
        <f t="shared" si="64"/>
        <v>118.4</v>
      </c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</row>
    <row r="58" spans="1:93" s="92" customFormat="1">
      <c r="A58" s="151"/>
      <c r="B58" s="188" t="s">
        <v>30</v>
      </c>
      <c r="C58" s="190" t="s">
        <v>23</v>
      </c>
      <c r="D58" s="238"/>
      <c r="E58" s="188">
        <v>11080031001</v>
      </c>
      <c r="F58" s="239" t="s">
        <v>67</v>
      </c>
      <c r="G58" s="211"/>
      <c r="H58" s="190" t="s">
        <v>65</v>
      </c>
      <c r="I58" s="190">
        <v>100</v>
      </c>
      <c r="J58" s="212">
        <v>2.0699999999999998</v>
      </c>
      <c r="K58" s="212">
        <f t="shared" ref="K58:K60" si="65">ROUND((J58*$C$3),2)</f>
        <v>2.5299999999999998</v>
      </c>
      <c r="L58" s="212">
        <f t="shared" si="58"/>
        <v>0</v>
      </c>
      <c r="M58" s="212">
        <f t="shared" ref="M58:M60" si="66">J58*(1-$E$5-$E$7)*(1-$E$9)*(1+$E$11)</f>
        <v>2.0699999999999998</v>
      </c>
      <c r="N58" s="212">
        <f t="shared" si="60"/>
        <v>0</v>
      </c>
      <c r="O58" s="213">
        <f t="shared" ref="O58:O60" si="67">ROUND((M58*$C$3),2)</f>
        <v>2.5299999999999998</v>
      </c>
      <c r="P58" s="213">
        <f t="shared" si="62"/>
        <v>0</v>
      </c>
      <c r="Q58" s="3"/>
      <c r="R58" s="222">
        <f t="shared" si="63"/>
        <v>202</v>
      </c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 s="141">
        <f t="shared" si="64"/>
        <v>202.39999999999998</v>
      </c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</row>
    <row r="59" spans="1:93" s="92" customFormat="1">
      <c r="A59" s="151"/>
      <c r="B59" s="188" t="s">
        <v>30</v>
      </c>
      <c r="C59" s="190" t="s">
        <v>23</v>
      </c>
      <c r="D59" s="238"/>
      <c r="E59" s="188">
        <v>11080041001</v>
      </c>
      <c r="F59" s="239" t="s">
        <v>68</v>
      </c>
      <c r="G59" s="211"/>
      <c r="H59" s="190" t="s">
        <v>65</v>
      </c>
      <c r="I59" s="190">
        <v>50</v>
      </c>
      <c r="J59" s="212">
        <v>4.32</v>
      </c>
      <c r="K59" s="212">
        <f t="shared" si="65"/>
        <v>5.27</v>
      </c>
      <c r="L59" s="212">
        <f t="shared" si="58"/>
        <v>0</v>
      </c>
      <c r="M59" s="212">
        <f t="shared" si="66"/>
        <v>4.32</v>
      </c>
      <c r="N59" s="212">
        <f t="shared" si="60"/>
        <v>0</v>
      </c>
      <c r="O59" s="213">
        <f t="shared" si="67"/>
        <v>5.27</v>
      </c>
      <c r="P59" s="213">
        <f t="shared" si="62"/>
        <v>0</v>
      </c>
      <c r="Q59" s="3"/>
      <c r="R59" s="222">
        <f t="shared" si="63"/>
        <v>422</v>
      </c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 s="141">
        <f t="shared" si="64"/>
        <v>421.6</v>
      </c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</row>
    <row r="60" spans="1:93" s="92" customFormat="1">
      <c r="A60" s="151"/>
      <c r="B60" s="188" t="s">
        <v>30</v>
      </c>
      <c r="C60" s="190" t="s">
        <v>23</v>
      </c>
      <c r="D60" s="238"/>
      <c r="E60" s="188">
        <v>11080051001</v>
      </c>
      <c r="F60" s="210" t="s">
        <v>69</v>
      </c>
      <c r="G60" s="211"/>
      <c r="H60" s="190" t="s">
        <v>65</v>
      </c>
      <c r="I60" s="190">
        <v>25</v>
      </c>
      <c r="J60" s="212">
        <v>7.73</v>
      </c>
      <c r="K60" s="212">
        <f t="shared" si="65"/>
        <v>9.43</v>
      </c>
      <c r="L60" s="212">
        <f t="shared" si="58"/>
        <v>0</v>
      </c>
      <c r="M60" s="212">
        <f t="shared" si="66"/>
        <v>7.73</v>
      </c>
      <c r="N60" s="212">
        <f t="shared" si="60"/>
        <v>0</v>
      </c>
      <c r="O60" s="213">
        <f t="shared" si="67"/>
        <v>9.43</v>
      </c>
      <c r="P60" s="213">
        <f t="shared" si="62"/>
        <v>0</v>
      </c>
      <c r="Q60" s="3"/>
      <c r="R60" s="222">
        <f t="shared" si="63"/>
        <v>754</v>
      </c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 s="141">
        <f t="shared" si="64"/>
        <v>754.40000000000009</v>
      </c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</row>
    <row r="61" spans="1:93" s="92" customFormat="1">
      <c r="A61" s="151"/>
      <c r="B61" s="188" t="s">
        <v>30</v>
      </c>
      <c r="C61" s="190" t="s">
        <v>23</v>
      </c>
      <c r="D61" s="238">
        <v>11397711002</v>
      </c>
      <c r="E61" s="188">
        <v>11397713002</v>
      </c>
      <c r="F61" s="210" t="s">
        <v>70</v>
      </c>
      <c r="G61" s="211"/>
      <c r="H61" s="190" t="s">
        <v>65</v>
      </c>
      <c r="I61" s="190">
        <v>25</v>
      </c>
      <c r="J61" s="212">
        <v>10.119999999999999</v>
      </c>
      <c r="K61" s="212">
        <f t="shared" ref="K61:K62" si="68">ROUND((J61*$C$3),2)</f>
        <v>12.35</v>
      </c>
      <c r="L61" s="212">
        <f t="shared" si="58"/>
        <v>0</v>
      </c>
      <c r="M61" s="212">
        <f t="shared" ref="M61:M62" si="69">J61*(1-$E$5-$E$7)*(1-$E$9)*(1+$E$11)</f>
        <v>10.119999999999999</v>
      </c>
      <c r="N61" s="212">
        <f t="shared" si="60"/>
        <v>0</v>
      </c>
      <c r="O61" s="213">
        <f t="shared" ref="O61:O62" si="70">ROUND((M61*$C$3),2)</f>
        <v>12.35</v>
      </c>
      <c r="P61" s="213">
        <f t="shared" si="62"/>
        <v>0</v>
      </c>
      <c r="Q61" s="3"/>
      <c r="R61" s="222">
        <f t="shared" ref="R61:R62" si="71">ROUND(AK61,0)</f>
        <v>988</v>
      </c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 s="141">
        <f>K61*$AK$11*(1-$AK$10)</f>
        <v>988</v>
      </c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</row>
    <row r="62" spans="1:93" s="92" customFormat="1">
      <c r="A62" s="151"/>
      <c r="B62" s="188" t="s">
        <v>30</v>
      </c>
      <c r="C62" s="190" t="s">
        <v>23</v>
      </c>
      <c r="D62" s="238">
        <v>11397811002</v>
      </c>
      <c r="E62" s="188">
        <v>11397813002</v>
      </c>
      <c r="F62" s="210" t="s">
        <v>71</v>
      </c>
      <c r="G62" s="211"/>
      <c r="H62" s="190" t="s">
        <v>65</v>
      </c>
      <c r="I62" s="190">
        <v>25</v>
      </c>
      <c r="J62" s="212">
        <v>19.330000000000002</v>
      </c>
      <c r="K62" s="212">
        <f t="shared" si="68"/>
        <v>23.58</v>
      </c>
      <c r="L62" s="212">
        <f t="shared" si="58"/>
        <v>0</v>
      </c>
      <c r="M62" s="212">
        <f t="shared" si="69"/>
        <v>19.330000000000002</v>
      </c>
      <c r="N62" s="212">
        <f t="shared" si="60"/>
        <v>0</v>
      </c>
      <c r="O62" s="213">
        <f t="shared" si="70"/>
        <v>23.58</v>
      </c>
      <c r="P62" s="213">
        <f t="shared" si="62"/>
        <v>0</v>
      </c>
      <c r="Q62" s="3"/>
      <c r="R62" s="222">
        <f t="shared" si="71"/>
        <v>1886</v>
      </c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 s="141">
        <f t="shared" si="64"/>
        <v>1886.4</v>
      </c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</row>
    <row r="63" spans="1:93" s="92" customFormat="1">
      <c r="A63" s="151"/>
      <c r="B63" s="240"/>
      <c r="C63" s="215"/>
      <c r="D63" s="238"/>
      <c r="E63" s="217"/>
      <c r="F63" s="241"/>
      <c r="G63" s="219"/>
      <c r="H63" s="215"/>
      <c r="I63" s="215"/>
      <c r="J63" s="220"/>
      <c r="K63" s="220"/>
      <c r="L63" s="220"/>
      <c r="M63" s="220"/>
      <c r="N63" s="220"/>
      <c r="O63" s="221"/>
      <c r="P63" s="221"/>
      <c r="Q63" s="3"/>
      <c r="R63" s="222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 s="141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</row>
    <row r="64" spans="1:93" s="73" customFormat="1" outlineLevel="1">
      <c r="A64" s="150"/>
      <c r="B64" s="188" t="s">
        <v>30</v>
      </c>
      <c r="C64" s="190" t="s">
        <v>23</v>
      </c>
      <c r="D64" s="190"/>
      <c r="E64" s="242">
        <v>14570313001</v>
      </c>
      <c r="F64" s="243" t="s">
        <v>72</v>
      </c>
      <c r="G64" s="211"/>
      <c r="H64" s="244" t="s">
        <v>65</v>
      </c>
      <c r="I64" s="244">
        <v>10</v>
      </c>
      <c r="J64" s="245">
        <v>9.23</v>
      </c>
      <c r="K64" s="212">
        <f t="shared" ref="K64" si="72">ROUND((J64*$C$3),2)</f>
        <v>11.26</v>
      </c>
      <c r="L64" s="212">
        <f>K64*G64</f>
        <v>0</v>
      </c>
      <c r="M64" s="212">
        <f t="shared" ref="M64" si="73">J64*(1-$E$5-$E$7)*(1-$E$9)*(1+$E$11)</f>
        <v>9.23</v>
      </c>
      <c r="N64" s="212">
        <f>M64*G64</f>
        <v>0</v>
      </c>
      <c r="O64" s="213">
        <f t="shared" ref="O64" si="74">ROUND((M64*$C$3),2)</f>
        <v>11.26</v>
      </c>
      <c r="P64" s="213">
        <f>O64*G64</f>
        <v>0</v>
      </c>
      <c r="Q64" s="3"/>
      <c r="R64" s="222">
        <f t="shared" ref="R64" si="75">ROUND(AK64,0)</f>
        <v>901</v>
      </c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 s="141">
        <f t="shared" ref="AK64" si="76">K64*$AK$11*(1-$AK$10)</f>
        <v>900.80000000000007</v>
      </c>
    </row>
    <row r="65" spans="1:37" s="73" customFormat="1" outlineLevel="1">
      <c r="A65" s="150"/>
      <c r="B65" s="188" t="s">
        <v>30</v>
      </c>
      <c r="C65" s="190" t="s">
        <v>23</v>
      </c>
      <c r="D65" s="190"/>
      <c r="E65" s="242">
        <v>14570323001</v>
      </c>
      <c r="F65" s="243" t="s">
        <v>73</v>
      </c>
      <c r="G65" s="211"/>
      <c r="H65" s="244" t="s">
        <v>65</v>
      </c>
      <c r="I65" s="244">
        <v>10</v>
      </c>
      <c r="J65" s="245">
        <v>12.47</v>
      </c>
      <c r="K65" s="212">
        <f t="shared" ref="K65:K68" si="77">ROUND((J65*$C$3),2)</f>
        <v>15.21</v>
      </c>
      <c r="L65" s="212">
        <f>K65*G65</f>
        <v>0</v>
      </c>
      <c r="M65" s="212">
        <f t="shared" ref="M65:M68" si="78">J65*(1-$E$5-$E$7)*(1-$E$9)*(1+$E$11)</f>
        <v>12.47</v>
      </c>
      <c r="N65" s="212">
        <f>M65*G65</f>
        <v>0</v>
      </c>
      <c r="O65" s="213">
        <f t="shared" ref="O65:O68" si="79">ROUND((M65*$C$3),2)</f>
        <v>15.21</v>
      </c>
      <c r="P65" s="213">
        <f>O65*G65</f>
        <v>0</v>
      </c>
      <c r="Q65" s="3"/>
      <c r="R65" s="222">
        <f t="shared" ref="R65:R68" si="80">ROUND(AK65,0)</f>
        <v>1217</v>
      </c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 s="141">
        <f t="shared" ref="AK65:AK68" si="81">K65*$AK$11*(1-$AK$10)</f>
        <v>1216.8</v>
      </c>
    </row>
    <row r="66" spans="1:37" s="73" customFormat="1" outlineLevel="1">
      <c r="A66" s="150"/>
      <c r="B66" s="188" t="s">
        <v>30</v>
      </c>
      <c r="C66" s="190" t="s">
        <v>23</v>
      </c>
      <c r="D66" s="190"/>
      <c r="E66" s="246">
        <v>14570333001</v>
      </c>
      <c r="F66" s="243" t="s">
        <v>74</v>
      </c>
      <c r="G66" s="211"/>
      <c r="H66" s="244" t="s">
        <v>65</v>
      </c>
      <c r="I66" s="244">
        <v>10</v>
      </c>
      <c r="J66" s="245">
        <v>18.899999999999999</v>
      </c>
      <c r="K66" s="212">
        <f t="shared" si="77"/>
        <v>23.06</v>
      </c>
      <c r="L66" s="212">
        <f>K66*G66</f>
        <v>0</v>
      </c>
      <c r="M66" s="212">
        <f t="shared" si="78"/>
        <v>18.899999999999999</v>
      </c>
      <c r="N66" s="212">
        <f>M66*G66</f>
        <v>0</v>
      </c>
      <c r="O66" s="213">
        <f t="shared" si="79"/>
        <v>23.06</v>
      </c>
      <c r="P66" s="213">
        <f>O66*G66</f>
        <v>0</v>
      </c>
      <c r="Q66" s="3"/>
      <c r="R66" s="222">
        <f t="shared" si="80"/>
        <v>1845</v>
      </c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 s="141">
        <f t="shared" si="81"/>
        <v>1844.8000000000002</v>
      </c>
    </row>
    <row r="67" spans="1:37" s="73" customFormat="1" outlineLevel="1">
      <c r="A67" s="150"/>
      <c r="B67" s="188" t="s">
        <v>30</v>
      </c>
      <c r="C67" s="190" t="s">
        <v>23</v>
      </c>
      <c r="D67" s="190"/>
      <c r="E67" s="242">
        <v>14570343001</v>
      </c>
      <c r="F67" s="243" t="s">
        <v>75</v>
      </c>
      <c r="G67" s="211"/>
      <c r="H67" s="244" t="s">
        <v>65</v>
      </c>
      <c r="I67" s="244">
        <v>3</v>
      </c>
      <c r="J67" s="245">
        <v>35.43</v>
      </c>
      <c r="K67" s="212">
        <f t="shared" si="77"/>
        <v>43.22</v>
      </c>
      <c r="L67" s="212">
        <f>K67*G67</f>
        <v>0</v>
      </c>
      <c r="M67" s="212">
        <f t="shared" si="78"/>
        <v>35.43</v>
      </c>
      <c r="N67" s="212">
        <f>M67*G67</f>
        <v>0</v>
      </c>
      <c r="O67" s="213">
        <f t="shared" si="79"/>
        <v>43.22</v>
      </c>
      <c r="P67" s="213">
        <f>O67*G67</f>
        <v>0</v>
      </c>
      <c r="Q67" s="3"/>
      <c r="R67" s="222">
        <f t="shared" si="80"/>
        <v>3458</v>
      </c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 s="141">
        <f t="shared" si="81"/>
        <v>3457.6000000000004</v>
      </c>
    </row>
    <row r="68" spans="1:37" s="73" customFormat="1" outlineLevel="1">
      <c r="A68" s="150"/>
      <c r="B68" s="188" t="s">
        <v>30</v>
      </c>
      <c r="C68" s="190" t="s">
        <v>23</v>
      </c>
      <c r="D68" s="190"/>
      <c r="E68" s="242">
        <v>14570353001</v>
      </c>
      <c r="F68" s="243" t="s">
        <v>76</v>
      </c>
      <c r="G68" s="211"/>
      <c r="H68" s="244" t="s">
        <v>65</v>
      </c>
      <c r="I68" s="244">
        <v>2</v>
      </c>
      <c r="J68" s="245">
        <v>63.87</v>
      </c>
      <c r="K68" s="212">
        <f t="shared" si="77"/>
        <v>77.92</v>
      </c>
      <c r="L68" s="212">
        <f>K68*G68</f>
        <v>0</v>
      </c>
      <c r="M68" s="212">
        <f t="shared" si="78"/>
        <v>63.87</v>
      </c>
      <c r="N68" s="212">
        <f>M68*G68</f>
        <v>0</v>
      </c>
      <c r="O68" s="213">
        <f t="shared" si="79"/>
        <v>77.92</v>
      </c>
      <c r="P68" s="213">
        <f>O68*G68</f>
        <v>0</v>
      </c>
      <c r="Q68" s="3"/>
      <c r="R68" s="222">
        <f t="shared" si="80"/>
        <v>6234</v>
      </c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 s="141">
        <f t="shared" si="81"/>
        <v>6233.6</v>
      </c>
    </row>
    <row r="69" spans="1:37" s="73" customFormat="1" outlineLevel="1">
      <c r="A69" s="150"/>
      <c r="B69" s="188"/>
      <c r="C69" s="190"/>
      <c r="D69" s="190"/>
      <c r="E69" s="188"/>
      <c r="F69" s="210"/>
      <c r="G69" s="211"/>
      <c r="H69" s="190"/>
      <c r="I69" s="190"/>
      <c r="J69" s="212"/>
      <c r="K69" s="212"/>
      <c r="L69" s="212"/>
      <c r="M69" s="212"/>
      <c r="N69" s="212"/>
      <c r="O69" s="213"/>
      <c r="P69" s="213"/>
      <c r="Q69" s="3"/>
      <c r="R69" s="214"/>
      <c r="AK69" s="141"/>
    </row>
    <row r="70" spans="1:37" outlineLevel="1">
      <c r="A70" s="147"/>
      <c r="B70" s="188" t="s">
        <v>30</v>
      </c>
      <c r="C70" s="190" t="s">
        <v>23</v>
      </c>
      <c r="D70" s="190"/>
      <c r="E70" s="188">
        <v>11080311001</v>
      </c>
      <c r="F70" s="239" t="s">
        <v>77</v>
      </c>
      <c r="G70" s="211"/>
      <c r="H70" s="190" t="s">
        <v>65</v>
      </c>
      <c r="I70" s="190">
        <v>10</v>
      </c>
      <c r="J70" s="212">
        <v>5.7</v>
      </c>
      <c r="K70" s="212">
        <f t="shared" ref="K70:K72" si="82">ROUND((J70*$C$3),2)</f>
        <v>6.95</v>
      </c>
      <c r="L70" s="212">
        <f t="shared" ref="L70:L76" si="83">K70*G70</f>
        <v>0</v>
      </c>
      <c r="M70" s="212">
        <f t="shared" ref="M70:M72" si="84">J70*(1-$E$5-$E$7)*(1-$E$9)*(1+$E$11)</f>
        <v>5.7</v>
      </c>
      <c r="N70" s="212">
        <f t="shared" ref="N70:N76" si="85">M70*G70</f>
        <v>0</v>
      </c>
      <c r="O70" s="213">
        <f t="shared" ref="O70:O72" si="86">ROUND((M70*$C$3),2)</f>
        <v>6.95</v>
      </c>
      <c r="P70" s="213">
        <f t="shared" ref="P70:P76" si="87">O70*G70</f>
        <v>0</v>
      </c>
      <c r="Q70" s="3"/>
      <c r="R70" s="222">
        <f t="shared" si="63"/>
        <v>556</v>
      </c>
      <c r="AK70" s="141">
        <f t="shared" si="64"/>
        <v>556</v>
      </c>
    </row>
    <row r="71" spans="1:37" outlineLevel="1">
      <c r="A71" s="147"/>
      <c r="B71" s="188" t="s">
        <v>30</v>
      </c>
      <c r="C71" s="190" t="s">
        <v>23</v>
      </c>
      <c r="D71" s="190"/>
      <c r="E71" s="188">
        <v>11080321001</v>
      </c>
      <c r="F71" s="239" t="s">
        <v>78</v>
      </c>
      <c r="G71" s="211"/>
      <c r="H71" s="190" t="s">
        <v>65</v>
      </c>
      <c r="I71" s="190">
        <v>10</v>
      </c>
      <c r="J71" s="212">
        <v>7.56</v>
      </c>
      <c r="K71" s="212">
        <f t="shared" si="82"/>
        <v>9.2200000000000006</v>
      </c>
      <c r="L71" s="212">
        <f t="shared" si="83"/>
        <v>0</v>
      </c>
      <c r="M71" s="212">
        <f t="shared" si="84"/>
        <v>7.56</v>
      </c>
      <c r="N71" s="212">
        <f t="shared" si="85"/>
        <v>0</v>
      </c>
      <c r="O71" s="213">
        <f t="shared" si="86"/>
        <v>9.2200000000000006</v>
      </c>
      <c r="P71" s="213">
        <f t="shared" si="87"/>
        <v>0</v>
      </c>
      <c r="Q71" s="3"/>
      <c r="R71" s="222">
        <f t="shared" si="63"/>
        <v>738</v>
      </c>
      <c r="AK71" s="141">
        <f t="shared" si="64"/>
        <v>737.60000000000014</v>
      </c>
    </row>
    <row r="72" spans="1:37" outlineLevel="1">
      <c r="A72" s="147"/>
      <c r="B72" s="188" t="s">
        <v>30</v>
      </c>
      <c r="C72" s="190" t="s">
        <v>23</v>
      </c>
      <c r="D72" s="190"/>
      <c r="E72" s="188">
        <v>11080331001</v>
      </c>
      <c r="F72" s="239" t="s">
        <v>79</v>
      </c>
      <c r="G72" s="211"/>
      <c r="H72" s="190" t="s">
        <v>65</v>
      </c>
      <c r="I72" s="190">
        <v>10</v>
      </c>
      <c r="J72" s="212">
        <v>10.8</v>
      </c>
      <c r="K72" s="212">
        <f t="shared" si="82"/>
        <v>13.18</v>
      </c>
      <c r="L72" s="212">
        <f t="shared" si="83"/>
        <v>0</v>
      </c>
      <c r="M72" s="212">
        <f t="shared" si="84"/>
        <v>10.8</v>
      </c>
      <c r="N72" s="212">
        <f t="shared" si="85"/>
        <v>0</v>
      </c>
      <c r="O72" s="213">
        <f t="shared" si="86"/>
        <v>13.18</v>
      </c>
      <c r="P72" s="213">
        <f t="shared" si="87"/>
        <v>0</v>
      </c>
      <c r="Q72" s="3"/>
      <c r="R72" s="222">
        <f t="shared" si="63"/>
        <v>1054</v>
      </c>
      <c r="AK72" s="141">
        <f t="shared" si="64"/>
        <v>1054.4000000000001</v>
      </c>
    </row>
    <row r="73" spans="1:37" outlineLevel="1">
      <c r="A73" s="147"/>
      <c r="B73" s="188" t="s">
        <v>30</v>
      </c>
      <c r="C73" s="190" t="s">
        <v>23</v>
      </c>
      <c r="D73" s="190"/>
      <c r="E73" s="188">
        <v>11080341001</v>
      </c>
      <c r="F73" s="239" t="s">
        <v>80</v>
      </c>
      <c r="G73" s="211"/>
      <c r="H73" s="190" t="s">
        <v>65</v>
      </c>
      <c r="I73" s="190">
        <v>3</v>
      </c>
      <c r="J73" s="212">
        <v>21.87</v>
      </c>
      <c r="K73" s="212">
        <f t="shared" ref="K73" si="88">ROUND((J73*$C$3),2)</f>
        <v>26.68</v>
      </c>
      <c r="L73" s="212">
        <f t="shared" si="83"/>
        <v>0</v>
      </c>
      <c r="M73" s="212">
        <f t="shared" ref="M73" si="89">J73*(1-$E$5-$E$7)*(1-$E$9)*(1+$E$11)</f>
        <v>21.87</v>
      </c>
      <c r="N73" s="212">
        <f t="shared" si="85"/>
        <v>0</v>
      </c>
      <c r="O73" s="213">
        <f t="shared" ref="O73" si="90">ROUND((M73*$C$3),2)</f>
        <v>26.68</v>
      </c>
      <c r="P73" s="213">
        <f t="shared" si="87"/>
        <v>0</v>
      </c>
      <c r="Q73" s="3"/>
      <c r="R73" s="222">
        <f t="shared" si="63"/>
        <v>2134</v>
      </c>
      <c r="AK73" s="141">
        <f t="shared" si="64"/>
        <v>2134.4</v>
      </c>
    </row>
    <row r="74" spans="1:37" outlineLevel="1">
      <c r="A74" s="147"/>
      <c r="B74" s="188" t="s">
        <v>30</v>
      </c>
      <c r="C74" s="190" t="s">
        <v>23</v>
      </c>
      <c r="D74" s="190"/>
      <c r="E74" s="188">
        <v>11080351001</v>
      </c>
      <c r="F74" s="243" t="s">
        <v>81</v>
      </c>
      <c r="G74" s="211"/>
      <c r="H74" s="190" t="s">
        <v>65</v>
      </c>
      <c r="I74" s="190">
        <v>2</v>
      </c>
      <c r="J74" s="212">
        <v>40.68</v>
      </c>
      <c r="K74" s="212">
        <f t="shared" ref="K74" si="91">ROUND((J74*$C$3),2)</f>
        <v>49.63</v>
      </c>
      <c r="L74" s="212">
        <f t="shared" si="83"/>
        <v>0</v>
      </c>
      <c r="M74" s="212">
        <f t="shared" ref="M74" si="92">J74*(1-$E$5-$E$7)*(1-$E$9)*(1+$E$11)</f>
        <v>40.68</v>
      </c>
      <c r="N74" s="212">
        <f t="shared" si="85"/>
        <v>0</v>
      </c>
      <c r="O74" s="213">
        <f t="shared" ref="O74" si="93">ROUND((M74*$C$3),2)</f>
        <v>49.63</v>
      </c>
      <c r="P74" s="213">
        <f t="shared" si="87"/>
        <v>0</v>
      </c>
      <c r="Q74" s="3"/>
      <c r="R74" s="222">
        <f t="shared" ref="R74" si="94">ROUND(AK74,0)</f>
        <v>3970</v>
      </c>
      <c r="AK74" s="141">
        <f t="shared" ref="AK74" si="95">K74*$AK$11*(1-$AK$10)</f>
        <v>3970.4</v>
      </c>
    </row>
    <row r="75" spans="1:37" outlineLevel="1">
      <c r="A75" s="147"/>
      <c r="B75" s="188" t="s">
        <v>30</v>
      </c>
      <c r="C75" s="190" t="s">
        <v>23</v>
      </c>
      <c r="D75" s="190"/>
      <c r="E75" s="188">
        <v>11092801001</v>
      </c>
      <c r="F75" s="239" t="s">
        <v>82</v>
      </c>
      <c r="G75" s="211"/>
      <c r="H75" s="190" t="s">
        <v>65</v>
      </c>
      <c r="I75" s="190">
        <v>1</v>
      </c>
      <c r="J75" s="212">
        <v>133.88999999999999</v>
      </c>
      <c r="K75" s="212">
        <f t="shared" ref="K75" si="96">ROUND((J75*$C$3),2)</f>
        <v>163.35</v>
      </c>
      <c r="L75" s="212">
        <f t="shared" si="83"/>
        <v>0</v>
      </c>
      <c r="M75" s="212">
        <f t="shared" ref="M75" si="97">J75*(1-$E$5-$E$7)*(1-$E$9)*(1+$E$11)</f>
        <v>133.88999999999999</v>
      </c>
      <c r="N75" s="212">
        <f t="shared" si="85"/>
        <v>0</v>
      </c>
      <c r="O75" s="213">
        <f t="shared" ref="O75" si="98">ROUND((M75*$C$3),2)</f>
        <v>163.35</v>
      </c>
      <c r="P75" s="213">
        <f t="shared" si="87"/>
        <v>0</v>
      </c>
      <c r="Q75" s="3"/>
      <c r="R75" s="222">
        <f t="shared" ref="R75" si="99">ROUND(AK75,0)</f>
        <v>13068</v>
      </c>
      <c r="AK75" s="141">
        <f>K75*$AK$11*(1-$AK$10)</f>
        <v>13068</v>
      </c>
    </row>
    <row r="76" spans="1:37" outlineLevel="1">
      <c r="A76" s="147"/>
      <c r="B76" s="188" t="s">
        <v>30</v>
      </c>
      <c r="C76" s="190" t="s">
        <v>23</v>
      </c>
      <c r="D76" s="190"/>
      <c r="E76" s="188">
        <v>11092811001</v>
      </c>
      <c r="F76" s="243" t="s">
        <v>83</v>
      </c>
      <c r="G76" s="211"/>
      <c r="H76" s="190" t="s">
        <v>65</v>
      </c>
      <c r="I76" s="190">
        <v>1</v>
      </c>
      <c r="J76" s="212">
        <v>165.2</v>
      </c>
      <c r="K76" s="212">
        <f t="shared" ref="K76" si="100">ROUND((J76*$C$3),2)</f>
        <v>201.54</v>
      </c>
      <c r="L76" s="212">
        <f t="shared" si="83"/>
        <v>0</v>
      </c>
      <c r="M76" s="212">
        <f t="shared" ref="M76" si="101">J76*(1-$E$5-$E$7)*(1-$E$9)*(1+$E$11)</f>
        <v>165.2</v>
      </c>
      <c r="N76" s="212">
        <f t="shared" si="85"/>
        <v>0</v>
      </c>
      <c r="O76" s="213">
        <f t="shared" ref="O76" si="102">ROUND((M76*$C$3),2)</f>
        <v>201.54</v>
      </c>
      <c r="P76" s="213">
        <f t="shared" si="87"/>
        <v>0</v>
      </c>
      <c r="Q76" s="3"/>
      <c r="R76" s="222">
        <f t="shared" ref="R76" si="103">ROUND(AK76,0)</f>
        <v>16123</v>
      </c>
      <c r="AK76" s="141">
        <f>K76*$AK$11*(1-$AK$10)</f>
        <v>16123.2</v>
      </c>
    </row>
    <row r="77" spans="1:37" outlineLevel="1">
      <c r="A77" s="147"/>
      <c r="B77" s="188"/>
      <c r="C77" s="224"/>
      <c r="D77" s="190"/>
      <c r="E77" s="188"/>
      <c r="F77" s="210"/>
      <c r="G77" s="211"/>
      <c r="H77" s="190"/>
      <c r="I77" s="190"/>
      <c r="J77" s="212"/>
      <c r="K77" s="212"/>
      <c r="L77" s="212"/>
      <c r="M77" s="212"/>
      <c r="N77" s="212"/>
      <c r="O77" s="213"/>
      <c r="P77" s="213"/>
      <c r="Q77" s="3"/>
      <c r="R77" s="222"/>
      <c r="AK77" s="141"/>
    </row>
    <row r="78" spans="1:37" ht="20.45" customHeight="1" outlineLevel="1">
      <c r="A78" s="148" t="s">
        <v>25</v>
      </c>
      <c r="B78" s="208" t="s">
        <v>26</v>
      </c>
      <c r="C78" s="190" t="s">
        <v>23</v>
      </c>
      <c r="D78" s="190"/>
      <c r="E78" s="188">
        <v>11600331001</v>
      </c>
      <c r="F78" s="210" t="s">
        <v>84</v>
      </c>
      <c r="G78" s="211"/>
      <c r="H78" s="190" t="s">
        <v>65</v>
      </c>
      <c r="I78" s="190">
        <v>10</v>
      </c>
      <c r="J78" s="212">
        <v>10.76</v>
      </c>
      <c r="K78" s="212">
        <f t="shared" ref="K78" si="104">ROUND((J78*$C$3),2)</f>
        <v>13.13</v>
      </c>
      <c r="L78" s="212">
        <f>K78*G78</f>
        <v>0</v>
      </c>
      <c r="M78" s="212">
        <f t="shared" ref="M78" si="105">J78*(1-$E$5-$E$7)*(1-$E$9)*(1+$E$11)</f>
        <v>10.76</v>
      </c>
      <c r="N78" s="212">
        <f>M78*G78</f>
        <v>0</v>
      </c>
      <c r="O78" s="213">
        <f t="shared" ref="O78" si="106">ROUND((M78*$C$3),2)</f>
        <v>13.13</v>
      </c>
      <c r="P78" s="213">
        <f>O78*G78</f>
        <v>0</v>
      </c>
      <c r="Q78" s="3"/>
      <c r="R78" s="214">
        <f t="shared" si="63"/>
        <v>1050</v>
      </c>
      <c r="AK78" s="141">
        <f t="shared" si="64"/>
        <v>1050.4000000000001</v>
      </c>
    </row>
    <row r="79" spans="1:37" ht="20.45" customHeight="1" outlineLevel="1">
      <c r="A79" s="148" t="s">
        <v>25</v>
      </c>
      <c r="B79" s="208" t="s">
        <v>26</v>
      </c>
      <c r="C79" s="190" t="s">
        <v>23</v>
      </c>
      <c r="D79" s="190"/>
      <c r="E79" s="188">
        <v>11600351001</v>
      </c>
      <c r="F79" s="210" t="s">
        <v>85</v>
      </c>
      <c r="G79" s="211"/>
      <c r="H79" s="190" t="s">
        <v>65</v>
      </c>
      <c r="I79" s="190">
        <v>2</v>
      </c>
      <c r="J79" s="212">
        <v>30.770000000000003</v>
      </c>
      <c r="K79" s="212">
        <f t="shared" ref="K79:K171" si="107">ROUND((J79*$C$3),2)</f>
        <v>37.54</v>
      </c>
      <c r="L79" s="212">
        <f>K79*G79</f>
        <v>0</v>
      </c>
      <c r="M79" s="212">
        <f t="shared" ref="M79:M171" si="108">J79*(1-$E$5-$E$7)*(1-$E$9)*(1+$E$11)</f>
        <v>30.770000000000003</v>
      </c>
      <c r="N79" s="212">
        <f>M79*G79</f>
        <v>0</v>
      </c>
      <c r="O79" s="213">
        <f t="shared" ref="O79:O171" si="109">ROUND((M79*$C$3),2)</f>
        <v>37.54</v>
      </c>
      <c r="P79" s="213">
        <f>O79*G79</f>
        <v>0</v>
      </c>
      <c r="Q79" s="3"/>
      <c r="R79" s="214">
        <f t="shared" si="63"/>
        <v>3003</v>
      </c>
      <c r="AK79" s="141">
        <f t="shared" si="64"/>
        <v>3003.2000000000003</v>
      </c>
    </row>
    <row r="80" spans="1:37" outlineLevel="1">
      <c r="A80" s="147"/>
      <c r="B80" s="240"/>
      <c r="C80" s="247"/>
      <c r="D80" s="238"/>
      <c r="E80" s="188"/>
      <c r="F80" s="210"/>
      <c r="G80" s="211"/>
      <c r="H80" s="190"/>
      <c r="I80" s="190"/>
      <c r="J80" s="212"/>
      <c r="K80" s="212"/>
      <c r="L80" s="212"/>
      <c r="M80" s="212"/>
      <c r="N80" s="212"/>
      <c r="O80" s="213"/>
      <c r="P80" s="213"/>
      <c r="Q80" s="3"/>
      <c r="R80" s="222"/>
      <c r="AK80" s="141"/>
    </row>
    <row r="81" spans="1:37" outlineLevel="1">
      <c r="A81" s="150"/>
      <c r="B81" s="188" t="s">
        <v>30</v>
      </c>
      <c r="C81" s="190" t="s">
        <v>23</v>
      </c>
      <c r="D81" s="248">
        <v>14563971001</v>
      </c>
      <c r="E81" s="242">
        <v>14563973001</v>
      </c>
      <c r="F81" s="243" t="s">
        <v>86</v>
      </c>
      <c r="G81" s="211"/>
      <c r="H81" s="244" t="s">
        <v>65</v>
      </c>
      <c r="I81" s="244">
        <v>1</v>
      </c>
      <c r="J81" s="245">
        <v>29.81</v>
      </c>
      <c r="K81" s="212">
        <f t="shared" ref="K81" si="110">ROUND((J81*$C$3),2)</f>
        <v>36.369999999999997</v>
      </c>
      <c r="L81" s="212">
        <f>K81*G81</f>
        <v>0</v>
      </c>
      <c r="M81" s="212">
        <f t="shared" ref="M81" si="111">J81*(1-$E$5-$E$7)*(1-$E$9)*(1+$E$11)</f>
        <v>29.81</v>
      </c>
      <c r="N81" s="212">
        <f>M81*G81</f>
        <v>0</v>
      </c>
      <c r="O81" s="213">
        <f t="shared" ref="O81" si="112">ROUND((M81*$C$3),2)</f>
        <v>36.369999999999997</v>
      </c>
      <c r="P81" s="213">
        <f>O81*G81</f>
        <v>0</v>
      </c>
      <c r="Q81" s="3"/>
      <c r="R81" s="222">
        <f t="shared" ref="R81" si="113">ROUND(AK81,0)</f>
        <v>2910</v>
      </c>
      <c r="AK81" s="141">
        <f t="shared" ref="AK81" si="114">K81*$AK$11*(1-$AK$10)</f>
        <v>2909.6</v>
      </c>
    </row>
    <row r="82" spans="1:37" outlineLevel="1">
      <c r="A82" s="147"/>
      <c r="B82" s="188"/>
      <c r="C82" s="215"/>
      <c r="D82" s="215"/>
      <c r="E82" s="217"/>
      <c r="F82" s="249"/>
      <c r="G82" s="211"/>
      <c r="H82" s="215"/>
      <c r="I82" s="215"/>
      <c r="J82" s="220"/>
      <c r="K82" s="220"/>
      <c r="L82" s="220"/>
      <c r="M82" s="220"/>
      <c r="N82" s="220"/>
      <c r="O82" s="221"/>
      <c r="P82" s="221"/>
      <c r="Q82" s="3"/>
      <c r="R82" s="222"/>
      <c r="AK82" s="141"/>
    </row>
    <row r="83" spans="1:37" s="73" customFormat="1" ht="20.45" customHeight="1" outlineLevel="1">
      <c r="A83" s="148" t="s">
        <v>25</v>
      </c>
      <c r="B83" s="208" t="s">
        <v>26</v>
      </c>
      <c r="C83" s="238" t="s">
        <v>23</v>
      </c>
      <c r="D83" s="238">
        <v>13662761001</v>
      </c>
      <c r="E83" s="188">
        <v>14563981001</v>
      </c>
      <c r="F83" s="210" t="s">
        <v>87</v>
      </c>
      <c r="G83" s="211"/>
      <c r="H83" s="190" t="s">
        <v>65</v>
      </c>
      <c r="I83" s="190">
        <v>1</v>
      </c>
      <c r="J83" s="212">
        <v>71</v>
      </c>
      <c r="K83" s="212">
        <f t="shared" si="107"/>
        <v>86.62</v>
      </c>
      <c r="L83" s="212">
        <f>K83*G83</f>
        <v>0</v>
      </c>
      <c r="M83" s="212">
        <f t="shared" si="108"/>
        <v>71</v>
      </c>
      <c r="N83" s="212">
        <f>M83*G83</f>
        <v>0</v>
      </c>
      <c r="O83" s="213">
        <f t="shared" si="109"/>
        <v>86.62</v>
      </c>
      <c r="P83" s="213">
        <f>O83*G83</f>
        <v>0</v>
      </c>
      <c r="Q83" s="3"/>
      <c r="R83" s="214">
        <f t="shared" si="63"/>
        <v>6930</v>
      </c>
      <c r="AK83" s="143">
        <f t="shared" si="64"/>
        <v>6929.6</v>
      </c>
    </row>
    <row r="84" spans="1:37" outlineLevel="1">
      <c r="A84" s="147"/>
      <c r="B84" s="240"/>
      <c r="C84" s="238"/>
      <c r="D84" s="240"/>
      <c r="E84" s="188"/>
      <c r="F84" s="210"/>
      <c r="G84" s="211"/>
      <c r="H84" s="190"/>
      <c r="I84" s="190"/>
      <c r="J84" s="212"/>
      <c r="K84" s="212"/>
      <c r="L84" s="212"/>
      <c r="M84" s="212"/>
      <c r="N84" s="212"/>
      <c r="O84" s="213"/>
      <c r="P84" s="213"/>
      <c r="Q84" s="3"/>
      <c r="R84" s="222"/>
      <c r="AK84" s="141"/>
    </row>
    <row r="85" spans="1:37" outlineLevel="1">
      <c r="A85" s="150"/>
      <c r="B85" s="188" t="s">
        <v>30</v>
      </c>
      <c r="C85" s="190" t="s">
        <v>23</v>
      </c>
      <c r="D85" s="248">
        <v>14562701001</v>
      </c>
      <c r="E85" s="242">
        <v>14562703001</v>
      </c>
      <c r="F85" s="243" t="s">
        <v>88</v>
      </c>
      <c r="G85" s="211"/>
      <c r="H85" s="244" t="s">
        <v>65</v>
      </c>
      <c r="I85" s="244">
        <v>5</v>
      </c>
      <c r="J85" s="245">
        <v>33.01</v>
      </c>
      <c r="K85" s="212">
        <f t="shared" ref="K85:K87" si="115">ROUND((J85*$C$3),2)</f>
        <v>40.270000000000003</v>
      </c>
      <c r="L85" s="212">
        <f>K85*G85</f>
        <v>0</v>
      </c>
      <c r="M85" s="212">
        <f t="shared" ref="M85:M87" si="116">J85*(1-$E$5-$E$7)*(1-$E$9)*(1+$E$11)</f>
        <v>33.01</v>
      </c>
      <c r="N85" s="212">
        <f>M85*G85</f>
        <v>0</v>
      </c>
      <c r="O85" s="213">
        <f t="shared" ref="O85:O87" si="117">ROUND((M85*$C$3),2)</f>
        <v>40.270000000000003</v>
      </c>
      <c r="P85" s="213">
        <f>O85*G85</f>
        <v>0</v>
      </c>
      <c r="Q85" s="3"/>
      <c r="R85" s="222">
        <f t="shared" ref="R85:R87" si="118">ROUND(AK85,0)</f>
        <v>3222</v>
      </c>
      <c r="AK85" s="141">
        <f t="shared" ref="AK85:AK87" si="119">K85*$AK$11*(1-$AK$10)</f>
        <v>3221.6000000000004</v>
      </c>
    </row>
    <row r="86" spans="1:37" outlineLevel="1">
      <c r="A86" s="147"/>
      <c r="B86" s="188" t="s">
        <v>30</v>
      </c>
      <c r="C86" s="190" t="s">
        <v>23</v>
      </c>
      <c r="D86" s="248">
        <v>14564031001</v>
      </c>
      <c r="E86" s="242">
        <v>14564033001</v>
      </c>
      <c r="F86" s="243" t="s">
        <v>89</v>
      </c>
      <c r="G86" s="211"/>
      <c r="H86" s="244" t="s">
        <v>65</v>
      </c>
      <c r="I86" s="244">
        <v>5</v>
      </c>
      <c r="J86" s="245">
        <v>29.74</v>
      </c>
      <c r="K86" s="212">
        <f t="shared" si="115"/>
        <v>36.28</v>
      </c>
      <c r="L86" s="212">
        <f>K86*G86</f>
        <v>0</v>
      </c>
      <c r="M86" s="212">
        <f t="shared" si="116"/>
        <v>29.74</v>
      </c>
      <c r="N86" s="212">
        <f>M86*G86</f>
        <v>0</v>
      </c>
      <c r="O86" s="213">
        <f t="shared" si="117"/>
        <v>36.28</v>
      </c>
      <c r="P86" s="213">
        <f>O86*G86</f>
        <v>0</v>
      </c>
      <c r="Q86" s="3"/>
      <c r="R86" s="222">
        <f t="shared" si="118"/>
        <v>2902</v>
      </c>
      <c r="AK86" s="141">
        <f t="shared" si="119"/>
        <v>2902.4</v>
      </c>
    </row>
    <row r="87" spans="1:37" outlineLevel="1">
      <c r="A87" s="147"/>
      <c r="B87" s="188" t="s">
        <v>30</v>
      </c>
      <c r="C87" s="190" t="s">
        <v>23</v>
      </c>
      <c r="D87" s="248">
        <v>14562711001</v>
      </c>
      <c r="E87" s="242">
        <v>14562713001</v>
      </c>
      <c r="F87" s="243" t="s">
        <v>90</v>
      </c>
      <c r="G87" s="211"/>
      <c r="H87" s="244" t="s">
        <v>65</v>
      </c>
      <c r="I87" s="244">
        <v>5</v>
      </c>
      <c r="J87" s="245">
        <v>36.65</v>
      </c>
      <c r="K87" s="212">
        <f t="shared" si="115"/>
        <v>44.71</v>
      </c>
      <c r="L87" s="212">
        <f>K87*G87</f>
        <v>0</v>
      </c>
      <c r="M87" s="212">
        <f t="shared" si="116"/>
        <v>36.65</v>
      </c>
      <c r="N87" s="212">
        <f>M87*G87</f>
        <v>0</v>
      </c>
      <c r="O87" s="213">
        <f t="shared" si="117"/>
        <v>44.71</v>
      </c>
      <c r="P87" s="213">
        <f>O87*G87</f>
        <v>0</v>
      </c>
      <c r="Q87" s="3"/>
      <c r="R87" s="222">
        <f t="shared" si="118"/>
        <v>3577</v>
      </c>
      <c r="AK87" s="141">
        <f t="shared" si="119"/>
        <v>3576.8</v>
      </c>
    </row>
    <row r="88" spans="1:37" outlineLevel="1">
      <c r="A88" s="147"/>
      <c r="B88" s="240"/>
      <c r="C88" s="238"/>
      <c r="D88" s="248"/>
      <c r="E88" s="250"/>
      <c r="F88" s="251"/>
      <c r="G88" s="211"/>
      <c r="H88" s="244"/>
      <c r="I88" s="244"/>
      <c r="J88" s="245"/>
      <c r="K88" s="212"/>
      <c r="L88" s="212"/>
      <c r="M88" s="212"/>
      <c r="N88" s="212"/>
      <c r="O88" s="213"/>
      <c r="P88" s="213"/>
      <c r="Q88" s="3"/>
      <c r="R88" s="222"/>
      <c r="AK88" s="141"/>
    </row>
    <row r="89" spans="1:37" s="73" customFormat="1" ht="20.45" customHeight="1" outlineLevel="1">
      <c r="A89" s="148" t="s">
        <v>25</v>
      </c>
      <c r="B89" s="208" t="s">
        <v>26</v>
      </c>
      <c r="C89" s="238" t="s">
        <v>23</v>
      </c>
      <c r="D89" s="238">
        <v>13663031001</v>
      </c>
      <c r="E89" s="188">
        <v>14564171001</v>
      </c>
      <c r="F89" s="252" t="s">
        <v>91</v>
      </c>
      <c r="G89" s="211"/>
      <c r="H89" s="190" t="s">
        <v>65</v>
      </c>
      <c r="I89" s="190">
        <v>5</v>
      </c>
      <c r="J89" s="212">
        <v>32.839999999999996</v>
      </c>
      <c r="K89" s="212">
        <f t="shared" si="107"/>
        <v>40.06</v>
      </c>
      <c r="L89" s="212">
        <f>K89*G89</f>
        <v>0</v>
      </c>
      <c r="M89" s="212">
        <f t="shared" si="108"/>
        <v>32.839999999999996</v>
      </c>
      <c r="N89" s="212">
        <f>M89*G89</f>
        <v>0</v>
      </c>
      <c r="O89" s="213">
        <f t="shared" si="109"/>
        <v>40.06</v>
      </c>
      <c r="P89" s="213">
        <f>O89*G89</f>
        <v>0</v>
      </c>
      <c r="Q89" s="3"/>
      <c r="R89" s="214">
        <f t="shared" si="63"/>
        <v>3205</v>
      </c>
      <c r="AK89" s="141">
        <f t="shared" si="64"/>
        <v>3204.8</v>
      </c>
    </row>
    <row r="90" spans="1:37" outlineLevel="1">
      <c r="A90" s="147"/>
      <c r="B90" s="240"/>
      <c r="C90" s="238"/>
      <c r="D90" s="238"/>
      <c r="E90" s="188"/>
      <c r="F90" s="253"/>
      <c r="G90" s="211"/>
      <c r="H90" s="190"/>
      <c r="I90" s="190"/>
      <c r="J90" s="212"/>
      <c r="K90" s="212"/>
      <c r="L90" s="212"/>
      <c r="M90" s="212"/>
      <c r="N90" s="212"/>
      <c r="O90" s="213"/>
      <c r="P90" s="213"/>
      <c r="Q90" s="3"/>
      <c r="R90" s="222"/>
      <c r="AK90" s="141"/>
    </row>
    <row r="91" spans="1:37" outlineLevel="1">
      <c r="A91" s="147"/>
      <c r="B91" s="188" t="s">
        <v>30</v>
      </c>
      <c r="C91" s="190" t="s">
        <v>23</v>
      </c>
      <c r="D91" s="248">
        <v>14564011001</v>
      </c>
      <c r="E91" s="242">
        <v>14564013001</v>
      </c>
      <c r="F91" s="243" t="s">
        <v>92</v>
      </c>
      <c r="G91" s="211"/>
      <c r="H91" s="244" t="s">
        <v>65</v>
      </c>
      <c r="I91" s="244">
        <v>4</v>
      </c>
      <c r="J91" s="245">
        <v>23.96</v>
      </c>
      <c r="K91" s="212">
        <f t="shared" ref="K91" si="120">ROUND((J91*$C$3),2)</f>
        <v>29.23</v>
      </c>
      <c r="L91" s="212">
        <f>K91*G91</f>
        <v>0</v>
      </c>
      <c r="M91" s="212">
        <f t="shared" ref="M91" si="121">J91*(1-$E$5-$E$7)*(1-$E$9)*(1+$E$11)</f>
        <v>23.96</v>
      </c>
      <c r="N91" s="212">
        <f>M91*G91</f>
        <v>0</v>
      </c>
      <c r="O91" s="213">
        <f t="shared" ref="O91" si="122">ROUND((M91*$C$3),2)</f>
        <v>29.23</v>
      </c>
      <c r="P91" s="213">
        <f>O91*G91</f>
        <v>0</v>
      </c>
      <c r="Q91" s="3"/>
      <c r="R91" s="222">
        <f t="shared" ref="R91" si="123">ROUND(AK91,0)</f>
        <v>2338</v>
      </c>
      <c r="AK91" s="141">
        <f t="shared" ref="AK91" si="124">K91*$AK$11*(1-$AK$10)</f>
        <v>2338.4</v>
      </c>
    </row>
    <row r="92" spans="1:37" outlineLevel="1">
      <c r="A92" s="147"/>
      <c r="B92" s="240"/>
      <c r="C92" s="238"/>
      <c r="D92" s="238"/>
      <c r="E92" s="188"/>
      <c r="F92" s="253"/>
      <c r="G92" s="211"/>
      <c r="H92" s="190"/>
      <c r="I92" s="190"/>
      <c r="J92" s="212"/>
      <c r="K92" s="212"/>
      <c r="L92" s="212"/>
      <c r="M92" s="212"/>
      <c r="N92" s="212"/>
      <c r="O92" s="213"/>
      <c r="P92" s="213"/>
      <c r="Q92" s="3"/>
      <c r="R92" s="222"/>
      <c r="AK92" s="141"/>
    </row>
    <row r="93" spans="1:37" ht="20.45" customHeight="1" outlineLevel="1">
      <c r="A93" s="148" t="s">
        <v>25</v>
      </c>
      <c r="B93" s="208" t="s">
        <v>26</v>
      </c>
      <c r="C93" s="238" t="s">
        <v>23</v>
      </c>
      <c r="D93" s="238">
        <v>13662801001</v>
      </c>
      <c r="E93" s="188">
        <v>14564011001</v>
      </c>
      <c r="F93" s="252" t="s">
        <v>93</v>
      </c>
      <c r="G93" s="211"/>
      <c r="H93" s="190" t="s">
        <v>65</v>
      </c>
      <c r="I93" s="190">
        <v>4</v>
      </c>
      <c r="J93" s="212">
        <v>23.34</v>
      </c>
      <c r="K93" s="212">
        <f t="shared" si="107"/>
        <v>28.47</v>
      </c>
      <c r="L93" s="212">
        <f>K93*G93</f>
        <v>0</v>
      </c>
      <c r="M93" s="212">
        <f t="shared" si="108"/>
        <v>23.34</v>
      </c>
      <c r="N93" s="212">
        <f>M93*G93</f>
        <v>0</v>
      </c>
      <c r="O93" s="213">
        <f t="shared" si="109"/>
        <v>28.47</v>
      </c>
      <c r="P93" s="213">
        <f>O93*G93</f>
        <v>0</v>
      </c>
      <c r="Q93" s="3"/>
      <c r="R93" s="214">
        <f t="shared" si="63"/>
        <v>2278</v>
      </c>
      <c r="AK93" s="141">
        <f t="shared" si="64"/>
        <v>2277.6</v>
      </c>
    </row>
    <row r="94" spans="1:37" outlineLevel="1">
      <c r="A94" s="147"/>
      <c r="B94" s="240"/>
      <c r="C94" s="238"/>
      <c r="D94" s="238"/>
      <c r="E94" s="188"/>
      <c r="F94" s="254"/>
      <c r="G94" s="211"/>
      <c r="H94" s="190"/>
      <c r="I94" s="190"/>
      <c r="J94" s="212"/>
      <c r="K94" s="212"/>
      <c r="L94" s="212"/>
      <c r="M94" s="212"/>
      <c r="N94" s="212"/>
      <c r="O94" s="213"/>
      <c r="P94" s="213"/>
      <c r="Q94" s="3"/>
      <c r="R94" s="222"/>
      <c r="AK94" s="141"/>
    </row>
    <row r="95" spans="1:37" outlineLevel="1">
      <c r="A95" s="147"/>
      <c r="B95" s="188" t="s">
        <v>30</v>
      </c>
      <c r="C95" s="190" t="s">
        <v>23</v>
      </c>
      <c r="D95" s="190"/>
      <c r="E95" s="242">
        <v>14570613001</v>
      </c>
      <c r="F95" s="243" t="s">
        <v>94</v>
      </c>
      <c r="G95" s="211"/>
      <c r="H95" s="244" t="s">
        <v>65</v>
      </c>
      <c r="I95" s="244">
        <v>10</v>
      </c>
      <c r="J95" s="245">
        <v>11.19</v>
      </c>
      <c r="K95" s="212">
        <f t="shared" ref="K95:K103" si="125">ROUND((J95*$C$3),2)</f>
        <v>13.65</v>
      </c>
      <c r="L95" s="212">
        <f t="shared" ref="L95:L103" si="126">K95*G95</f>
        <v>0</v>
      </c>
      <c r="M95" s="212">
        <f t="shared" ref="M95:M103" si="127">J95*(1-$E$5-$E$7)*(1-$E$9)*(1+$E$11)</f>
        <v>11.19</v>
      </c>
      <c r="N95" s="212">
        <f t="shared" ref="N95:N103" si="128">M95*G95</f>
        <v>0</v>
      </c>
      <c r="O95" s="213">
        <f t="shared" ref="O95:O103" si="129">ROUND((M95*$C$3),2)</f>
        <v>13.65</v>
      </c>
      <c r="P95" s="213">
        <f t="shared" ref="P95:P103" si="130">O95*G95</f>
        <v>0</v>
      </c>
      <c r="Q95" s="3"/>
      <c r="R95" s="222">
        <f t="shared" ref="R95:R103" si="131">ROUND(AK95,0)</f>
        <v>1092</v>
      </c>
      <c r="AK95" s="141">
        <f t="shared" ref="AK95:AK103" si="132">K95*$AK$11*(1-$AK$10)</f>
        <v>1092</v>
      </c>
    </row>
    <row r="96" spans="1:37" outlineLevel="1">
      <c r="A96" s="147"/>
      <c r="B96" s="188" t="s">
        <v>30</v>
      </c>
      <c r="C96" s="190" t="s">
        <v>23</v>
      </c>
      <c r="D96" s="190"/>
      <c r="E96" s="242">
        <v>14570623001</v>
      </c>
      <c r="F96" s="243" t="s">
        <v>95</v>
      </c>
      <c r="G96" s="211"/>
      <c r="H96" s="244" t="s">
        <v>65</v>
      </c>
      <c r="I96" s="244">
        <v>10</v>
      </c>
      <c r="J96" s="245">
        <v>16.96</v>
      </c>
      <c r="K96" s="212">
        <f t="shared" si="125"/>
        <v>20.69</v>
      </c>
      <c r="L96" s="212">
        <f t="shared" si="126"/>
        <v>0</v>
      </c>
      <c r="M96" s="212">
        <f t="shared" si="127"/>
        <v>16.96</v>
      </c>
      <c r="N96" s="212">
        <f t="shared" si="128"/>
        <v>0</v>
      </c>
      <c r="O96" s="213">
        <f t="shared" si="129"/>
        <v>20.69</v>
      </c>
      <c r="P96" s="213">
        <f t="shared" si="130"/>
        <v>0</v>
      </c>
      <c r="Q96" s="3"/>
      <c r="R96" s="222">
        <f t="shared" si="131"/>
        <v>1655</v>
      </c>
      <c r="AK96" s="141">
        <f t="shared" si="132"/>
        <v>1655.2</v>
      </c>
    </row>
    <row r="97" spans="1:37" outlineLevel="1">
      <c r="A97" s="147"/>
      <c r="B97" s="188" t="s">
        <v>30</v>
      </c>
      <c r="C97" s="190" t="s">
        <v>23</v>
      </c>
      <c r="D97" s="190"/>
      <c r="E97" s="242">
        <v>14570633001</v>
      </c>
      <c r="F97" s="243" t="s">
        <v>96</v>
      </c>
      <c r="G97" s="211"/>
      <c r="H97" s="244" t="s">
        <v>65</v>
      </c>
      <c r="I97" s="244">
        <v>10</v>
      </c>
      <c r="J97" s="245">
        <v>18.97</v>
      </c>
      <c r="K97" s="212">
        <f t="shared" si="125"/>
        <v>23.14</v>
      </c>
      <c r="L97" s="212">
        <f t="shared" si="126"/>
        <v>0</v>
      </c>
      <c r="M97" s="212">
        <f t="shared" si="127"/>
        <v>18.97</v>
      </c>
      <c r="N97" s="212">
        <f t="shared" si="128"/>
        <v>0</v>
      </c>
      <c r="O97" s="213">
        <f t="shared" si="129"/>
        <v>23.14</v>
      </c>
      <c r="P97" s="213">
        <f t="shared" si="130"/>
        <v>0</v>
      </c>
      <c r="Q97" s="3"/>
      <c r="R97" s="222">
        <f t="shared" si="131"/>
        <v>1851</v>
      </c>
      <c r="AK97" s="141">
        <f t="shared" si="132"/>
        <v>1851.2</v>
      </c>
    </row>
    <row r="98" spans="1:37" outlineLevel="1">
      <c r="A98" s="147"/>
      <c r="B98" s="188" t="s">
        <v>30</v>
      </c>
      <c r="C98" s="190" t="s">
        <v>23</v>
      </c>
      <c r="D98" s="190"/>
      <c r="E98" s="242">
        <v>14570643001</v>
      </c>
      <c r="F98" s="243" t="s">
        <v>97</v>
      </c>
      <c r="G98" s="211"/>
      <c r="H98" s="244" t="s">
        <v>65</v>
      </c>
      <c r="I98" s="244">
        <v>3</v>
      </c>
      <c r="J98" s="245">
        <v>27.6</v>
      </c>
      <c r="K98" s="212">
        <f t="shared" si="125"/>
        <v>33.67</v>
      </c>
      <c r="L98" s="212">
        <f t="shared" si="126"/>
        <v>0</v>
      </c>
      <c r="M98" s="212">
        <f t="shared" si="127"/>
        <v>27.6</v>
      </c>
      <c r="N98" s="212">
        <f t="shared" si="128"/>
        <v>0</v>
      </c>
      <c r="O98" s="213">
        <f t="shared" si="129"/>
        <v>33.67</v>
      </c>
      <c r="P98" s="213">
        <f t="shared" si="130"/>
        <v>0</v>
      </c>
      <c r="Q98" s="3"/>
      <c r="R98" s="222">
        <f t="shared" si="131"/>
        <v>2694</v>
      </c>
      <c r="AK98" s="141">
        <f t="shared" si="132"/>
        <v>2693.6000000000004</v>
      </c>
    </row>
    <row r="99" spans="1:37" outlineLevel="1">
      <c r="A99" s="147"/>
      <c r="B99" s="188" t="s">
        <v>30</v>
      </c>
      <c r="C99" s="190" t="s">
        <v>23</v>
      </c>
      <c r="D99" s="190"/>
      <c r="E99" s="242">
        <v>14570653001</v>
      </c>
      <c r="F99" s="243" t="s">
        <v>98</v>
      </c>
      <c r="G99" s="211"/>
      <c r="H99" s="244" t="s">
        <v>65</v>
      </c>
      <c r="I99" s="244">
        <v>3</v>
      </c>
      <c r="J99" s="245">
        <v>27.76</v>
      </c>
      <c r="K99" s="212">
        <f t="shared" si="125"/>
        <v>33.869999999999997</v>
      </c>
      <c r="L99" s="212">
        <f t="shared" si="126"/>
        <v>0</v>
      </c>
      <c r="M99" s="212">
        <f t="shared" si="127"/>
        <v>27.76</v>
      </c>
      <c r="N99" s="212">
        <f t="shared" si="128"/>
        <v>0</v>
      </c>
      <c r="O99" s="213">
        <f t="shared" si="129"/>
        <v>33.869999999999997</v>
      </c>
      <c r="P99" s="213">
        <f t="shared" si="130"/>
        <v>0</v>
      </c>
      <c r="Q99" s="3"/>
      <c r="R99" s="222">
        <f t="shared" si="131"/>
        <v>2710</v>
      </c>
      <c r="AK99" s="141">
        <f t="shared" si="132"/>
        <v>2709.6</v>
      </c>
    </row>
    <row r="100" spans="1:37" outlineLevel="1">
      <c r="A100" s="147"/>
      <c r="B100" s="188" t="s">
        <v>30</v>
      </c>
      <c r="C100" s="190" t="s">
        <v>23</v>
      </c>
      <c r="D100" s="190"/>
      <c r="E100" s="242">
        <v>14570663001</v>
      </c>
      <c r="F100" s="243" t="s">
        <v>99</v>
      </c>
      <c r="G100" s="211"/>
      <c r="H100" s="244" t="s">
        <v>65</v>
      </c>
      <c r="I100" s="244">
        <v>3</v>
      </c>
      <c r="J100" s="245">
        <v>31.87</v>
      </c>
      <c r="K100" s="212">
        <f t="shared" si="125"/>
        <v>38.880000000000003</v>
      </c>
      <c r="L100" s="212">
        <f t="shared" si="126"/>
        <v>0</v>
      </c>
      <c r="M100" s="212">
        <f t="shared" si="127"/>
        <v>31.87</v>
      </c>
      <c r="N100" s="212">
        <f t="shared" si="128"/>
        <v>0</v>
      </c>
      <c r="O100" s="213">
        <f t="shared" si="129"/>
        <v>38.880000000000003</v>
      </c>
      <c r="P100" s="213">
        <f t="shared" si="130"/>
        <v>0</v>
      </c>
      <c r="Q100" s="3"/>
      <c r="R100" s="222">
        <f t="shared" si="131"/>
        <v>3110</v>
      </c>
      <c r="AK100" s="141">
        <f t="shared" si="132"/>
        <v>3110.4000000000005</v>
      </c>
    </row>
    <row r="101" spans="1:37" outlineLevel="1">
      <c r="A101" s="150"/>
      <c r="B101" s="188" t="s">
        <v>30</v>
      </c>
      <c r="C101" s="190" t="s">
        <v>23</v>
      </c>
      <c r="D101" s="190"/>
      <c r="E101" s="242">
        <v>14570673001</v>
      </c>
      <c r="F101" s="243" t="s">
        <v>100</v>
      </c>
      <c r="G101" s="211"/>
      <c r="H101" s="244" t="s">
        <v>65</v>
      </c>
      <c r="I101" s="244">
        <v>2</v>
      </c>
      <c r="J101" s="245">
        <v>63.87</v>
      </c>
      <c r="K101" s="212">
        <f t="shared" si="125"/>
        <v>77.92</v>
      </c>
      <c r="L101" s="212">
        <f t="shared" si="126"/>
        <v>0</v>
      </c>
      <c r="M101" s="212">
        <f t="shared" si="127"/>
        <v>63.87</v>
      </c>
      <c r="N101" s="212">
        <f t="shared" si="128"/>
        <v>0</v>
      </c>
      <c r="O101" s="213">
        <f t="shared" si="129"/>
        <v>77.92</v>
      </c>
      <c r="P101" s="213">
        <f t="shared" si="130"/>
        <v>0</v>
      </c>
      <c r="Q101" s="3"/>
      <c r="R101" s="222">
        <f t="shared" si="131"/>
        <v>6234</v>
      </c>
      <c r="AK101" s="141">
        <f t="shared" si="132"/>
        <v>6233.6</v>
      </c>
    </row>
    <row r="102" spans="1:37" outlineLevel="1">
      <c r="A102" s="150"/>
      <c r="B102" s="188" t="s">
        <v>30</v>
      </c>
      <c r="C102" s="190" t="s">
        <v>23</v>
      </c>
      <c r="D102" s="190"/>
      <c r="E102" s="242">
        <v>14570683001</v>
      </c>
      <c r="F102" s="243" t="s">
        <v>101</v>
      </c>
      <c r="G102" s="211"/>
      <c r="H102" s="244" t="s">
        <v>65</v>
      </c>
      <c r="I102" s="244">
        <v>2</v>
      </c>
      <c r="J102" s="245">
        <v>63.87</v>
      </c>
      <c r="K102" s="212">
        <f t="shared" si="125"/>
        <v>77.92</v>
      </c>
      <c r="L102" s="212">
        <f t="shared" si="126"/>
        <v>0</v>
      </c>
      <c r="M102" s="212">
        <f t="shared" si="127"/>
        <v>63.87</v>
      </c>
      <c r="N102" s="212">
        <f t="shared" si="128"/>
        <v>0</v>
      </c>
      <c r="O102" s="213">
        <f t="shared" si="129"/>
        <v>77.92</v>
      </c>
      <c r="P102" s="213">
        <f t="shared" si="130"/>
        <v>0</v>
      </c>
      <c r="Q102" s="3"/>
      <c r="R102" s="222">
        <f t="shared" si="131"/>
        <v>6234</v>
      </c>
      <c r="AK102" s="141">
        <f t="shared" si="132"/>
        <v>6233.6</v>
      </c>
    </row>
    <row r="103" spans="1:37" outlineLevel="1">
      <c r="A103" s="150"/>
      <c r="B103" s="188" t="s">
        <v>30</v>
      </c>
      <c r="C103" s="190" t="s">
        <v>23</v>
      </c>
      <c r="D103" s="190"/>
      <c r="E103" s="242">
        <v>14570693001</v>
      </c>
      <c r="F103" s="243" t="s">
        <v>102</v>
      </c>
      <c r="G103" s="211"/>
      <c r="H103" s="244" t="s">
        <v>65</v>
      </c>
      <c r="I103" s="244">
        <v>2</v>
      </c>
      <c r="J103" s="245">
        <v>63.87</v>
      </c>
      <c r="K103" s="212">
        <f t="shared" si="125"/>
        <v>77.92</v>
      </c>
      <c r="L103" s="212">
        <f t="shared" si="126"/>
        <v>0</v>
      </c>
      <c r="M103" s="212">
        <f t="shared" si="127"/>
        <v>63.87</v>
      </c>
      <c r="N103" s="212">
        <f t="shared" si="128"/>
        <v>0</v>
      </c>
      <c r="O103" s="213">
        <f t="shared" si="129"/>
        <v>77.92</v>
      </c>
      <c r="P103" s="213">
        <f t="shared" si="130"/>
        <v>0</v>
      </c>
      <c r="Q103" s="3"/>
      <c r="R103" s="222">
        <f t="shared" si="131"/>
        <v>6234</v>
      </c>
      <c r="AK103" s="141">
        <f t="shared" si="132"/>
        <v>6233.6</v>
      </c>
    </row>
    <row r="104" spans="1:37" outlineLevel="1">
      <c r="A104" s="147"/>
      <c r="B104" s="240"/>
      <c r="C104" s="238"/>
      <c r="D104" s="238"/>
      <c r="E104" s="188"/>
      <c r="F104" s="254"/>
      <c r="G104" s="211"/>
      <c r="H104" s="190"/>
      <c r="I104" s="190"/>
      <c r="J104" s="212"/>
      <c r="K104" s="212"/>
      <c r="L104" s="212"/>
      <c r="M104" s="212"/>
      <c r="N104" s="212"/>
      <c r="O104" s="213"/>
      <c r="P104" s="213"/>
      <c r="Q104" s="3"/>
      <c r="R104" s="222"/>
      <c r="AK104" s="141"/>
    </row>
    <row r="105" spans="1:37" outlineLevel="1">
      <c r="A105" s="147"/>
      <c r="B105" s="188" t="s">
        <v>30</v>
      </c>
      <c r="C105" s="190" t="s">
        <v>23</v>
      </c>
      <c r="D105" s="238"/>
      <c r="E105" s="188">
        <v>11080611001</v>
      </c>
      <c r="F105" s="210" t="s">
        <v>103</v>
      </c>
      <c r="G105" s="211"/>
      <c r="H105" s="190" t="s">
        <v>65</v>
      </c>
      <c r="I105" s="190">
        <v>10</v>
      </c>
      <c r="J105" s="212">
        <v>6.78</v>
      </c>
      <c r="K105" s="212">
        <f t="shared" ref="K105:K108" si="133">ROUND((J105*$C$3),2)</f>
        <v>8.27</v>
      </c>
      <c r="L105" s="212">
        <f t="shared" ref="L105:L121" si="134">K105*G105</f>
        <v>0</v>
      </c>
      <c r="M105" s="212">
        <f t="shared" ref="M105:M108" si="135">J105*(1-$E$5-$E$7)*(1-$E$9)*(1+$E$11)</f>
        <v>6.78</v>
      </c>
      <c r="N105" s="212">
        <f t="shared" ref="N105:N121" si="136">M105*G105</f>
        <v>0</v>
      </c>
      <c r="O105" s="213">
        <f t="shared" ref="O105:O108" si="137">ROUND((M105*$C$3),2)</f>
        <v>8.27</v>
      </c>
      <c r="P105" s="213">
        <f t="shared" ref="P105:P121" si="138">O105*G105</f>
        <v>0</v>
      </c>
      <c r="Q105" s="3"/>
      <c r="R105" s="222">
        <f t="shared" si="63"/>
        <v>662</v>
      </c>
      <c r="AK105" s="141">
        <f t="shared" si="64"/>
        <v>661.6</v>
      </c>
    </row>
    <row r="106" spans="1:37" outlineLevel="1">
      <c r="A106" s="147"/>
      <c r="B106" s="188" t="s">
        <v>30</v>
      </c>
      <c r="C106" s="190" t="s">
        <v>23</v>
      </c>
      <c r="D106" s="238"/>
      <c r="E106" s="188">
        <v>11080621001</v>
      </c>
      <c r="F106" s="210" t="s">
        <v>104</v>
      </c>
      <c r="G106" s="211"/>
      <c r="H106" s="190" t="s">
        <v>65</v>
      </c>
      <c r="I106" s="190">
        <v>10</v>
      </c>
      <c r="J106" s="212">
        <v>10.8</v>
      </c>
      <c r="K106" s="212">
        <f t="shared" si="133"/>
        <v>13.18</v>
      </c>
      <c r="L106" s="212">
        <f t="shared" si="134"/>
        <v>0</v>
      </c>
      <c r="M106" s="212">
        <f t="shared" si="135"/>
        <v>10.8</v>
      </c>
      <c r="N106" s="212">
        <f t="shared" si="136"/>
        <v>0</v>
      </c>
      <c r="O106" s="213">
        <f t="shared" si="137"/>
        <v>13.18</v>
      </c>
      <c r="P106" s="213">
        <f t="shared" si="138"/>
        <v>0</v>
      </c>
      <c r="Q106" s="3"/>
      <c r="R106" s="222">
        <f t="shared" si="63"/>
        <v>1054</v>
      </c>
      <c r="AK106" s="141">
        <f t="shared" si="64"/>
        <v>1054.4000000000001</v>
      </c>
    </row>
    <row r="107" spans="1:37" outlineLevel="1">
      <c r="A107" s="147"/>
      <c r="B107" s="188" t="s">
        <v>30</v>
      </c>
      <c r="C107" s="190" t="s">
        <v>23</v>
      </c>
      <c r="D107" s="238"/>
      <c r="E107" s="188">
        <v>11080631001</v>
      </c>
      <c r="F107" s="210" t="s">
        <v>105</v>
      </c>
      <c r="G107" s="211"/>
      <c r="H107" s="190" t="s">
        <v>65</v>
      </c>
      <c r="I107" s="190">
        <v>10</v>
      </c>
      <c r="J107" s="212">
        <v>11.03</v>
      </c>
      <c r="K107" s="212">
        <f t="shared" si="133"/>
        <v>13.46</v>
      </c>
      <c r="L107" s="212">
        <f t="shared" si="134"/>
        <v>0</v>
      </c>
      <c r="M107" s="212">
        <f t="shared" si="135"/>
        <v>11.03</v>
      </c>
      <c r="N107" s="212">
        <f t="shared" si="136"/>
        <v>0</v>
      </c>
      <c r="O107" s="213">
        <f t="shared" si="137"/>
        <v>13.46</v>
      </c>
      <c r="P107" s="213">
        <f t="shared" si="138"/>
        <v>0</v>
      </c>
      <c r="Q107" s="3"/>
      <c r="R107" s="222">
        <f t="shared" si="63"/>
        <v>1077</v>
      </c>
      <c r="AK107" s="141">
        <f t="shared" si="64"/>
        <v>1076.8</v>
      </c>
    </row>
    <row r="108" spans="1:37" outlineLevel="1">
      <c r="A108" s="147"/>
      <c r="B108" s="188" t="s">
        <v>30</v>
      </c>
      <c r="C108" s="190" t="s">
        <v>23</v>
      </c>
      <c r="D108" s="238"/>
      <c r="E108" s="188">
        <v>11080641001</v>
      </c>
      <c r="F108" s="210" t="s">
        <v>106</v>
      </c>
      <c r="G108" s="211"/>
      <c r="H108" s="190" t="s">
        <v>65</v>
      </c>
      <c r="I108" s="190">
        <v>3</v>
      </c>
      <c r="J108" s="212">
        <v>17.579999999999998</v>
      </c>
      <c r="K108" s="212">
        <f t="shared" si="133"/>
        <v>21.45</v>
      </c>
      <c r="L108" s="212">
        <f t="shared" si="134"/>
        <v>0</v>
      </c>
      <c r="M108" s="212">
        <f t="shared" si="135"/>
        <v>17.579999999999998</v>
      </c>
      <c r="N108" s="212">
        <f t="shared" si="136"/>
        <v>0</v>
      </c>
      <c r="O108" s="213">
        <f t="shared" si="137"/>
        <v>21.45</v>
      </c>
      <c r="P108" s="213">
        <f t="shared" si="138"/>
        <v>0</v>
      </c>
      <c r="Q108" s="3"/>
      <c r="R108" s="222">
        <f t="shared" si="63"/>
        <v>1716</v>
      </c>
      <c r="AK108" s="141">
        <f t="shared" si="64"/>
        <v>1716</v>
      </c>
    </row>
    <row r="109" spans="1:37" outlineLevel="1">
      <c r="A109" s="147"/>
      <c r="B109" s="188" t="s">
        <v>30</v>
      </c>
      <c r="C109" s="190" t="s">
        <v>23</v>
      </c>
      <c r="D109" s="238"/>
      <c r="E109" s="188">
        <v>11080651001</v>
      </c>
      <c r="F109" s="210" t="s">
        <v>107</v>
      </c>
      <c r="G109" s="211"/>
      <c r="H109" s="190" t="s">
        <v>65</v>
      </c>
      <c r="I109" s="190">
        <v>3</v>
      </c>
      <c r="J109" s="212">
        <v>17.68</v>
      </c>
      <c r="K109" s="212">
        <f t="shared" ref="K109:K111" si="139">ROUND((J109*$C$3),2)</f>
        <v>21.57</v>
      </c>
      <c r="L109" s="212">
        <f t="shared" si="134"/>
        <v>0</v>
      </c>
      <c r="M109" s="212">
        <f t="shared" ref="M109:M111" si="140">J109*(1-$E$5-$E$7)*(1-$E$9)*(1+$E$11)</f>
        <v>17.68</v>
      </c>
      <c r="N109" s="212">
        <f t="shared" si="136"/>
        <v>0</v>
      </c>
      <c r="O109" s="213">
        <f t="shared" ref="O109:O111" si="141">ROUND((M109*$C$3),2)</f>
        <v>21.57</v>
      </c>
      <c r="P109" s="213">
        <f t="shared" si="138"/>
        <v>0</v>
      </c>
      <c r="Q109" s="3"/>
      <c r="R109" s="222">
        <f t="shared" si="63"/>
        <v>1726</v>
      </c>
      <c r="AK109" s="141">
        <f t="shared" si="64"/>
        <v>1725.6000000000001</v>
      </c>
    </row>
    <row r="110" spans="1:37" outlineLevel="1">
      <c r="A110" s="147"/>
      <c r="B110" s="188" t="s">
        <v>30</v>
      </c>
      <c r="C110" s="190" t="s">
        <v>23</v>
      </c>
      <c r="D110" s="238"/>
      <c r="E110" s="188">
        <v>11080661001</v>
      </c>
      <c r="F110" s="210" t="s">
        <v>108</v>
      </c>
      <c r="G110" s="211"/>
      <c r="H110" s="190" t="s">
        <v>65</v>
      </c>
      <c r="I110" s="190">
        <v>3</v>
      </c>
      <c r="J110" s="212">
        <v>20.3</v>
      </c>
      <c r="K110" s="212">
        <f t="shared" si="139"/>
        <v>24.77</v>
      </c>
      <c r="L110" s="212">
        <f t="shared" si="134"/>
        <v>0</v>
      </c>
      <c r="M110" s="212">
        <f t="shared" si="140"/>
        <v>20.3</v>
      </c>
      <c r="N110" s="212">
        <f t="shared" si="136"/>
        <v>0</v>
      </c>
      <c r="O110" s="213">
        <f t="shared" si="141"/>
        <v>24.77</v>
      </c>
      <c r="P110" s="213">
        <f t="shared" si="138"/>
        <v>0</v>
      </c>
      <c r="Q110" s="3"/>
      <c r="R110" s="222">
        <f t="shared" si="63"/>
        <v>1982</v>
      </c>
      <c r="AK110" s="141">
        <f t="shared" ref="AK110:AK111" si="142">K110*$AK$11*(1-$AK$10)</f>
        <v>1981.6000000000001</v>
      </c>
    </row>
    <row r="111" spans="1:37" outlineLevel="1">
      <c r="A111" s="147"/>
      <c r="B111" s="188" t="s">
        <v>30</v>
      </c>
      <c r="C111" s="190" t="s">
        <v>23</v>
      </c>
      <c r="D111" s="238"/>
      <c r="E111" s="255">
        <v>11080671001</v>
      </c>
      <c r="F111" s="243" t="s">
        <v>109</v>
      </c>
      <c r="G111" s="211"/>
      <c r="H111" s="190" t="s">
        <v>65</v>
      </c>
      <c r="I111" s="190">
        <v>2</v>
      </c>
      <c r="J111" s="212">
        <v>40.68</v>
      </c>
      <c r="K111" s="212">
        <f t="shared" si="139"/>
        <v>49.63</v>
      </c>
      <c r="L111" s="212">
        <f t="shared" si="134"/>
        <v>0</v>
      </c>
      <c r="M111" s="212">
        <f t="shared" si="140"/>
        <v>40.68</v>
      </c>
      <c r="N111" s="212">
        <f t="shared" si="136"/>
        <v>0</v>
      </c>
      <c r="O111" s="213">
        <f t="shared" si="141"/>
        <v>49.63</v>
      </c>
      <c r="P111" s="213">
        <f t="shared" si="138"/>
        <v>0</v>
      </c>
      <c r="Q111" s="3"/>
      <c r="R111" s="222">
        <f t="shared" si="63"/>
        <v>3970</v>
      </c>
      <c r="AK111" s="141">
        <f t="shared" si="142"/>
        <v>3970.4</v>
      </c>
    </row>
    <row r="112" spans="1:37" outlineLevel="1">
      <c r="A112" s="147"/>
      <c r="B112" s="188" t="s">
        <v>30</v>
      </c>
      <c r="C112" s="190" t="s">
        <v>23</v>
      </c>
      <c r="D112" s="238"/>
      <c r="E112" s="188">
        <v>11080681001</v>
      </c>
      <c r="F112" s="210" t="s">
        <v>110</v>
      </c>
      <c r="G112" s="211"/>
      <c r="H112" s="190" t="s">
        <v>65</v>
      </c>
      <c r="I112" s="190">
        <v>2</v>
      </c>
      <c r="J112" s="212">
        <v>40.68</v>
      </c>
      <c r="K112" s="212">
        <f t="shared" ref="K112:K114" si="143">ROUND((J112*$C$3),2)</f>
        <v>49.63</v>
      </c>
      <c r="L112" s="212">
        <f t="shared" si="134"/>
        <v>0</v>
      </c>
      <c r="M112" s="212">
        <f t="shared" ref="M112:M114" si="144">J112*(1-$E$5-$E$7)*(1-$E$9)*(1+$E$11)</f>
        <v>40.68</v>
      </c>
      <c r="N112" s="212">
        <f t="shared" si="136"/>
        <v>0</v>
      </c>
      <c r="O112" s="213">
        <f t="shared" ref="O112:O114" si="145">ROUND((M112*$C$3),2)</f>
        <v>49.63</v>
      </c>
      <c r="P112" s="213">
        <f t="shared" si="138"/>
        <v>0</v>
      </c>
      <c r="Q112" s="3"/>
      <c r="R112" s="222">
        <f t="shared" ref="R112:R114" si="146">ROUND(AK112,0)</f>
        <v>3970</v>
      </c>
      <c r="AK112" s="141">
        <f t="shared" ref="AK112:AK114" si="147">K112*$AK$11*(1-$AK$10)</f>
        <v>3970.4</v>
      </c>
    </row>
    <row r="113" spans="1:37" outlineLevel="1">
      <c r="A113" s="147"/>
      <c r="B113" s="188" t="s">
        <v>30</v>
      </c>
      <c r="C113" s="190" t="s">
        <v>23</v>
      </c>
      <c r="D113" s="238"/>
      <c r="E113" s="188">
        <v>11080691001</v>
      </c>
      <c r="F113" s="210" t="s">
        <v>111</v>
      </c>
      <c r="G113" s="211"/>
      <c r="H113" s="190" t="s">
        <v>65</v>
      </c>
      <c r="I113" s="190">
        <v>2</v>
      </c>
      <c r="J113" s="212">
        <v>40.68</v>
      </c>
      <c r="K113" s="212">
        <f t="shared" si="143"/>
        <v>49.63</v>
      </c>
      <c r="L113" s="212">
        <f t="shared" si="134"/>
        <v>0</v>
      </c>
      <c r="M113" s="212">
        <f t="shared" si="144"/>
        <v>40.68</v>
      </c>
      <c r="N113" s="212">
        <f t="shared" si="136"/>
        <v>0</v>
      </c>
      <c r="O113" s="213">
        <f t="shared" si="145"/>
        <v>49.63</v>
      </c>
      <c r="P113" s="213">
        <f t="shared" si="138"/>
        <v>0</v>
      </c>
      <c r="Q113" s="3"/>
      <c r="R113" s="222">
        <f t="shared" si="146"/>
        <v>3970</v>
      </c>
      <c r="AK113" s="141">
        <f t="shared" si="147"/>
        <v>3970.4</v>
      </c>
    </row>
    <row r="114" spans="1:37" outlineLevel="1">
      <c r="A114" s="147"/>
      <c r="B114" s="188" t="s">
        <v>30</v>
      </c>
      <c r="C114" s="190" t="s">
        <v>23</v>
      </c>
      <c r="D114" s="238"/>
      <c r="E114" s="255">
        <v>11092821001</v>
      </c>
      <c r="F114" s="243" t="s">
        <v>112</v>
      </c>
      <c r="G114" s="211"/>
      <c r="H114" s="190" t="s">
        <v>65</v>
      </c>
      <c r="I114" s="190">
        <v>1</v>
      </c>
      <c r="J114" s="212">
        <v>52.96</v>
      </c>
      <c r="K114" s="212">
        <f t="shared" si="143"/>
        <v>64.61</v>
      </c>
      <c r="L114" s="212">
        <f t="shared" si="134"/>
        <v>0</v>
      </c>
      <c r="M114" s="212">
        <f t="shared" si="144"/>
        <v>52.96</v>
      </c>
      <c r="N114" s="212">
        <f t="shared" si="136"/>
        <v>0</v>
      </c>
      <c r="O114" s="213">
        <f t="shared" si="145"/>
        <v>64.61</v>
      </c>
      <c r="P114" s="213">
        <f t="shared" si="138"/>
        <v>0</v>
      </c>
      <c r="Q114" s="3"/>
      <c r="R114" s="222">
        <f t="shared" si="146"/>
        <v>5169</v>
      </c>
      <c r="AK114" s="141">
        <f t="shared" si="147"/>
        <v>5168.8</v>
      </c>
    </row>
    <row r="115" spans="1:37" outlineLevel="1">
      <c r="A115" s="147"/>
      <c r="B115" s="188" t="s">
        <v>30</v>
      </c>
      <c r="C115" s="190" t="s">
        <v>23</v>
      </c>
      <c r="D115" s="238"/>
      <c r="E115" s="188">
        <v>11092831001</v>
      </c>
      <c r="F115" s="210" t="s">
        <v>113</v>
      </c>
      <c r="G115" s="211"/>
      <c r="H115" s="190" t="s">
        <v>65</v>
      </c>
      <c r="I115" s="190">
        <v>1</v>
      </c>
      <c r="J115" s="212">
        <v>106.18</v>
      </c>
      <c r="K115" s="212">
        <f t="shared" ref="K115:K119" si="148">ROUND((J115*$C$3),2)</f>
        <v>129.54</v>
      </c>
      <c r="L115" s="212">
        <f t="shared" si="134"/>
        <v>0</v>
      </c>
      <c r="M115" s="212">
        <f t="shared" ref="M115:M119" si="149">J115*(1-$E$5-$E$7)*(1-$E$9)*(1+$E$11)</f>
        <v>106.18</v>
      </c>
      <c r="N115" s="212">
        <f t="shared" si="136"/>
        <v>0</v>
      </c>
      <c r="O115" s="213">
        <f t="shared" ref="O115:O119" si="150">ROUND((M115*$C$3),2)</f>
        <v>129.54</v>
      </c>
      <c r="P115" s="213">
        <f t="shared" si="138"/>
        <v>0</v>
      </c>
      <c r="Q115" s="3"/>
      <c r="R115" s="222">
        <f t="shared" ref="R115:R119" si="151">ROUND(AK115,0)</f>
        <v>10363</v>
      </c>
      <c r="AK115" s="141">
        <f t="shared" si="64"/>
        <v>10363.200000000001</v>
      </c>
    </row>
    <row r="116" spans="1:37" outlineLevel="1">
      <c r="A116" s="147"/>
      <c r="B116" s="188" t="s">
        <v>30</v>
      </c>
      <c r="C116" s="190" t="s">
        <v>23</v>
      </c>
      <c r="D116" s="238"/>
      <c r="E116" s="256">
        <v>11092841001</v>
      </c>
      <c r="F116" s="243" t="s">
        <v>114</v>
      </c>
      <c r="G116" s="211"/>
      <c r="H116" s="190" t="s">
        <v>65</v>
      </c>
      <c r="I116" s="190">
        <v>1</v>
      </c>
      <c r="J116" s="212">
        <v>106.18</v>
      </c>
      <c r="K116" s="212">
        <f t="shared" ref="K116:K118" si="152">ROUND((J116*$C$3),2)</f>
        <v>129.54</v>
      </c>
      <c r="L116" s="212">
        <f t="shared" si="134"/>
        <v>0</v>
      </c>
      <c r="M116" s="212">
        <f t="shared" ref="M116:M118" si="153">J116*(1-$E$5-$E$7)*(1-$E$9)*(1+$E$11)</f>
        <v>106.18</v>
      </c>
      <c r="N116" s="212">
        <f t="shared" si="136"/>
        <v>0</v>
      </c>
      <c r="O116" s="213">
        <f t="shared" ref="O116:O118" si="154">ROUND((M116*$C$3),2)</f>
        <v>129.54</v>
      </c>
      <c r="P116" s="213">
        <f t="shared" si="138"/>
        <v>0</v>
      </c>
      <c r="Q116" s="3"/>
      <c r="R116" s="222">
        <f t="shared" ref="R116:R118" si="155">ROUND(AK116,0)</f>
        <v>10363</v>
      </c>
      <c r="AK116" s="141">
        <f t="shared" ref="AK116:AK118" si="156">K116*$AK$11*(1-$AK$10)</f>
        <v>10363.200000000001</v>
      </c>
    </row>
    <row r="117" spans="1:37" outlineLevel="1">
      <c r="A117" s="147"/>
      <c r="B117" s="188" t="s">
        <v>30</v>
      </c>
      <c r="C117" s="190" t="s">
        <v>23</v>
      </c>
      <c r="D117" s="238"/>
      <c r="E117" s="255">
        <v>11092851001</v>
      </c>
      <c r="F117" s="243" t="s">
        <v>115</v>
      </c>
      <c r="G117" s="211"/>
      <c r="H117" s="190" t="s">
        <v>65</v>
      </c>
      <c r="I117" s="190">
        <v>1</v>
      </c>
      <c r="J117" s="212">
        <v>114.69</v>
      </c>
      <c r="K117" s="212">
        <f t="shared" si="152"/>
        <v>139.91999999999999</v>
      </c>
      <c r="L117" s="212">
        <f t="shared" si="134"/>
        <v>0</v>
      </c>
      <c r="M117" s="212">
        <f t="shared" si="153"/>
        <v>114.69</v>
      </c>
      <c r="N117" s="212">
        <f t="shared" si="136"/>
        <v>0</v>
      </c>
      <c r="O117" s="213">
        <f t="shared" si="154"/>
        <v>139.91999999999999</v>
      </c>
      <c r="P117" s="213">
        <f t="shared" si="138"/>
        <v>0</v>
      </c>
      <c r="Q117" s="3"/>
      <c r="R117" s="222">
        <f t="shared" si="155"/>
        <v>11194</v>
      </c>
      <c r="AK117" s="141">
        <f t="shared" si="156"/>
        <v>11193.599999999999</v>
      </c>
    </row>
    <row r="118" spans="1:37" outlineLevel="1">
      <c r="A118" s="147"/>
      <c r="B118" s="188" t="s">
        <v>30</v>
      </c>
      <c r="C118" s="190" t="s">
        <v>23</v>
      </c>
      <c r="D118" s="238"/>
      <c r="E118" s="255">
        <v>11092861001</v>
      </c>
      <c r="F118" s="243" t="s">
        <v>116</v>
      </c>
      <c r="G118" s="211"/>
      <c r="H118" s="190" t="s">
        <v>65</v>
      </c>
      <c r="I118" s="190">
        <v>1</v>
      </c>
      <c r="J118" s="212">
        <v>114.69</v>
      </c>
      <c r="K118" s="212">
        <f t="shared" si="152"/>
        <v>139.91999999999999</v>
      </c>
      <c r="L118" s="212">
        <f t="shared" si="134"/>
        <v>0</v>
      </c>
      <c r="M118" s="212">
        <f t="shared" si="153"/>
        <v>114.69</v>
      </c>
      <c r="N118" s="212">
        <f t="shared" si="136"/>
        <v>0</v>
      </c>
      <c r="O118" s="213">
        <f t="shared" si="154"/>
        <v>139.91999999999999</v>
      </c>
      <c r="P118" s="213">
        <f t="shared" si="138"/>
        <v>0</v>
      </c>
      <c r="Q118" s="3"/>
      <c r="R118" s="222">
        <f t="shared" si="155"/>
        <v>11194</v>
      </c>
      <c r="AK118" s="141">
        <f t="shared" si="156"/>
        <v>11193.599999999999</v>
      </c>
    </row>
    <row r="119" spans="1:37" outlineLevel="1">
      <c r="A119" s="147"/>
      <c r="B119" s="188" t="s">
        <v>30</v>
      </c>
      <c r="C119" s="190" t="s">
        <v>23</v>
      </c>
      <c r="D119" s="238"/>
      <c r="E119" s="188">
        <v>11092871001</v>
      </c>
      <c r="F119" s="239" t="s">
        <v>117</v>
      </c>
      <c r="G119" s="211"/>
      <c r="H119" s="190" t="s">
        <v>65</v>
      </c>
      <c r="I119" s="190">
        <v>1</v>
      </c>
      <c r="J119" s="212">
        <v>131.41999999999999</v>
      </c>
      <c r="K119" s="212">
        <f t="shared" si="148"/>
        <v>160.33000000000001</v>
      </c>
      <c r="L119" s="212">
        <f t="shared" si="134"/>
        <v>0</v>
      </c>
      <c r="M119" s="212">
        <f t="shared" si="149"/>
        <v>131.41999999999999</v>
      </c>
      <c r="N119" s="212">
        <f t="shared" si="136"/>
        <v>0</v>
      </c>
      <c r="O119" s="213">
        <f t="shared" si="150"/>
        <v>160.33000000000001</v>
      </c>
      <c r="P119" s="213">
        <f t="shared" si="138"/>
        <v>0</v>
      </c>
      <c r="Q119" s="3"/>
      <c r="R119" s="222">
        <f t="shared" si="151"/>
        <v>12826</v>
      </c>
      <c r="AK119" s="141">
        <f t="shared" si="64"/>
        <v>12826.400000000001</v>
      </c>
    </row>
    <row r="120" spans="1:37" outlineLevel="1">
      <c r="A120" s="147"/>
      <c r="B120" s="188" t="s">
        <v>30</v>
      </c>
      <c r="C120" s="190" t="s">
        <v>23</v>
      </c>
      <c r="D120" s="238"/>
      <c r="E120" s="255">
        <v>11092881001</v>
      </c>
      <c r="F120" s="243" t="s">
        <v>118</v>
      </c>
      <c r="G120" s="211"/>
      <c r="H120" s="190" t="s">
        <v>65</v>
      </c>
      <c r="I120" s="190">
        <v>1</v>
      </c>
      <c r="J120" s="212">
        <v>138.66</v>
      </c>
      <c r="K120" s="212">
        <f t="shared" ref="K120:K121" si="157">ROUND((J120*$C$3),2)</f>
        <v>169.17</v>
      </c>
      <c r="L120" s="212">
        <f t="shared" si="134"/>
        <v>0</v>
      </c>
      <c r="M120" s="212">
        <f t="shared" ref="M120:M121" si="158">J120*(1-$E$5-$E$7)*(1-$E$9)*(1+$E$11)</f>
        <v>138.66</v>
      </c>
      <c r="N120" s="212">
        <f t="shared" si="136"/>
        <v>0</v>
      </c>
      <c r="O120" s="213">
        <f t="shared" ref="O120:O121" si="159">ROUND((M120*$C$3),2)</f>
        <v>169.17</v>
      </c>
      <c r="P120" s="213">
        <f t="shared" si="138"/>
        <v>0</v>
      </c>
      <c r="Q120" s="3"/>
      <c r="R120" s="222">
        <f t="shared" ref="R120:R121" si="160">ROUND(AK120,0)</f>
        <v>13534</v>
      </c>
      <c r="AK120" s="141">
        <f t="shared" ref="AK120:AK121" si="161">K120*$AK$11*(1-$AK$10)</f>
        <v>13533.6</v>
      </c>
    </row>
    <row r="121" spans="1:37" outlineLevel="1">
      <c r="A121" s="147"/>
      <c r="B121" s="188" t="s">
        <v>30</v>
      </c>
      <c r="C121" s="190" t="s">
        <v>23</v>
      </c>
      <c r="D121" s="238"/>
      <c r="E121" s="255">
        <v>11092891001</v>
      </c>
      <c r="F121" s="243" t="s">
        <v>119</v>
      </c>
      <c r="G121" s="211"/>
      <c r="H121" s="190" t="s">
        <v>65</v>
      </c>
      <c r="I121" s="190">
        <v>1</v>
      </c>
      <c r="J121" s="212">
        <v>144.82</v>
      </c>
      <c r="K121" s="212">
        <f t="shared" si="157"/>
        <v>176.68</v>
      </c>
      <c r="L121" s="212">
        <f t="shared" si="134"/>
        <v>0</v>
      </c>
      <c r="M121" s="212">
        <f t="shared" si="158"/>
        <v>144.82</v>
      </c>
      <c r="N121" s="212">
        <f t="shared" si="136"/>
        <v>0</v>
      </c>
      <c r="O121" s="213">
        <f t="shared" si="159"/>
        <v>176.68</v>
      </c>
      <c r="P121" s="213">
        <f t="shared" si="138"/>
        <v>0</v>
      </c>
      <c r="Q121" s="3"/>
      <c r="R121" s="222">
        <f t="shared" si="160"/>
        <v>14134</v>
      </c>
      <c r="AK121" s="141">
        <f t="shared" si="161"/>
        <v>14134.400000000001</v>
      </c>
    </row>
    <row r="122" spans="1:37" outlineLevel="1">
      <c r="A122" s="147"/>
      <c r="B122" s="240"/>
      <c r="C122" s="238"/>
      <c r="D122" s="238"/>
      <c r="E122" s="188"/>
      <c r="F122" s="254"/>
      <c r="G122" s="211"/>
      <c r="H122" s="190"/>
      <c r="I122" s="190"/>
      <c r="J122" s="212"/>
      <c r="K122" s="212"/>
      <c r="L122" s="212"/>
      <c r="M122" s="212"/>
      <c r="N122" s="212"/>
      <c r="O122" s="213"/>
      <c r="P122" s="213"/>
      <c r="Q122" s="3"/>
      <c r="R122" s="222"/>
      <c r="AK122" s="141"/>
    </row>
    <row r="123" spans="1:37" ht="30.6" outlineLevel="1">
      <c r="A123" s="148" t="s">
        <v>25</v>
      </c>
      <c r="B123" s="208" t="s">
        <v>26</v>
      </c>
      <c r="C123" s="190" t="s">
        <v>23</v>
      </c>
      <c r="D123" s="190"/>
      <c r="E123" s="188">
        <v>11600661001</v>
      </c>
      <c r="F123" s="210" t="s">
        <v>120</v>
      </c>
      <c r="G123" s="211"/>
      <c r="H123" s="190" t="s">
        <v>65</v>
      </c>
      <c r="I123" s="190">
        <v>3</v>
      </c>
      <c r="J123" s="212">
        <v>15.27</v>
      </c>
      <c r="K123" s="212">
        <f t="shared" si="107"/>
        <v>18.63</v>
      </c>
      <c r="L123" s="212">
        <f>K123*G123</f>
        <v>0</v>
      </c>
      <c r="M123" s="212">
        <f t="shared" si="108"/>
        <v>15.27</v>
      </c>
      <c r="N123" s="212">
        <f>M123*G123</f>
        <v>0</v>
      </c>
      <c r="O123" s="213">
        <f t="shared" si="109"/>
        <v>18.63</v>
      </c>
      <c r="P123" s="213">
        <f>O123*G123</f>
        <v>0</v>
      </c>
      <c r="Q123" s="3"/>
      <c r="R123" s="214">
        <f t="shared" ref="R123:R197" si="162">ROUND(AK123,0)</f>
        <v>1490</v>
      </c>
      <c r="AK123" s="141">
        <f t="shared" ref="AK123:AK197" si="163">K123*$AK$11*(1-$AK$10)</f>
        <v>1490.4</v>
      </c>
    </row>
    <row r="124" spans="1:37" ht="30.6" outlineLevel="1">
      <c r="A124" s="148" t="s">
        <v>25</v>
      </c>
      <c r="B124" s="208" t="s">
        <v>26</v>
      </c>
      <c r="C124" s="190" t="s">
        <v>23</v>
      </c>
      <c r="D124" s="190"/>
      <c r="E124" s="188">
        <v>11600691001</v>
      </c>
      <c r="F124" s="210" t="s">
        <v>121</v>
      </c>
      <c r="G124" s="211"/>
      <c r="H124" s="190" t="s">
        <v>65</v>
      </c>
      <c r="I124" s="190">
        <v>2</v>
      </c>
      <c r="J124" s="212">
        <v>28.94</v>
      </c>
      <c r="K124" s="212">
        <f t="shared" si="107"/>
        <v>35.31</v>
      </c>
      <c r="L124" s="212">
        <f>K124*G124</f>
        <v>0</v>
      </c>
      <c r="M124" s="212">
        <f t="shared" si="108"/>
        <v>28.94</v>
      </c>
      <c r="N124" s="212">
        <f>M124*G124</f>
        <v>0</v>
      </c>
      <c r="O124" s="213">
        <f t="shared" si="109"/>
        <v>35.31</v>
      </c>
      <c r="P124" s="213">
        <f>O124*G124</f>
        <v>0</v>
      </c>
      <c r="Q124" s="3"/>
      <c r="R124" s="214">
        <f t="shared" si="162"/>
        <v>2825</v>
      </c>
      <c r="AK124" s="141">
        <f t="shared" si="163"/>
        <v>2824.8</v>
      </c>
    </row>
    <row r="125" spans="1:37" outlineLevel="1">
      <c r="A125" s="147"/>
      <c r="B125" s="240"/>
      <c r="C125" s="247"/>
      <c r="D125" s="238"/>
      <c r="E125" s="188"/>
      <c r="F125" s="210"/>
      <c r="G125" s="211"/>
      <c r="H125" s="190"/>
      <c r="I125" s="190"/>
      <c r="J125" s="212"/>
      <c r="K125" s="212"/>
      <c r="L125" s="212"/>
      <c r="M125" s="212"/>
      <c r="N125" s="212"/>
      <c r="O125" s="213"/>
      <c r="P125" s="213"/>
      <c r="Q125" s="3"/>
      <c r="R125" s="222"/>
      <c r="AK125" s="141"/>
    </row>
    <row r="126" spans="1:37" ht="30.6" outlineLevel="1">
      <c r="A126" s="148" t="s">
        <v>25</v>
      </c>
      <c r="B126" s="208" t="s">
        <v>26</v>
      </c>
      <c r="C126" s="238" t="s">
        <v>23</v>
      </c>
      <c r="D126" s="238">
        <v>13660051001</v>
      </c>
      <c r="E126" s="188">
        <v>14562841001</v>
      </c>
      <c r="F126" s="210" t="s">
        <v>122</v>
      </c>
      <c r="G126" s="211"/>
      <c r="H126" s="190" t="s">
        <v>65</v>
      </c>
      <c r="I126" s="190">
        <v>1</v>
      </c>
      <c r="J126" s="212">
        <v>125</v>
      </c>
      <c r="K126" s="212">
        <f t="shared" si="107"/>
        <v>152.5</v>
      </c>
      <c r="L126" s="212">
        <f>K126*G126</f>
        <v>0</v>
      </c>
      <c r="M126" s="212">
        <f t="shared" si="108"/>
        <v>125</v>
      </c>
      <c r="N126" s="212">
        <f>M126*G126</f>
        <v>0</v>
      </c>
      <c r="O126" s="213">
        <f t="shared" si="109"/>
        <v>152.5</v>
      </c>
      <c r="P126" s="213">
        <f>O126*G126</f>
        <v>0</v>
      </c>
      <c r="Q126" s="3"/>
      <c r="R126" s="214">
        <f t="shared" si="162"/>
        <v>12200</v>
      </c>
      <c r="AK126" s="141">
        <f t="shared" si="163"/>
        <v>12200</v>
      </c>
    </row>
    <row r="127" spans="1:37" ht="30.6" outlineLevel="1">
      <c r="A127" s="148" t="s">
        <v>25</v>
      </c>
      <c r="B127" s="208" t="s">
        <v>26</v>
      </c>
      <c r="C127" s="238" t="s">
        <v>23</v>
      </c>
      <c r="D127" s="238">
        <v>13660081001</v>
      </c>
      <c r="E127" s="188">
        <v>14562861001</v>
      </c>
      <c r="F127" s="210" t="s">
        <v>123</v>
      </c>
      <c r="G127" s="211"/>
      <c r="H127" s="190" t="s">
        <v>65</v>
      </c>
      <c r="I127" s="190">
        <v>1</v>
      </c>
      <c r="J127" s="212">
        <v>137</v>
      </c>
      <c r="K127" s="212">
        <f t="shared" si="107"/>
        <v>167.14</v>
      </c>
      <c r="L127" s="212">
        <f>K127*G127</f>
        <v>0</v>
      </c>
      <c r="M127" s="212">
        <f t="shared" si="108"/>
        <v>137</v>
      </c>
      <c r="N127" s="212">
        <f>M127*G127</f>
        <v>0</v>
      </c>
      <c r="O127" s="213">
        <f t="shared" si="109"/>
        <v>167.14</v>
      </c>
      <c r="P127" s="213">
        <f>O127*G127</f>
        <v>0</v>
      </c>
      <c r="Q127" s="3"/>
      <c r="R127" s="214">
        <f t="shared" si="162"/>
        <v>13371</v>
      </c>
      <c r="AK127" s="141">
        <f t="shared" si="163"/>
        <v>13371.2</v>
      </c>
    </row>
    <row r="128" spans="1:37" ht="30.6" outlineLevel="1">
      <c r="A128" s="148" t="s">
        <v>25</v>
      </c>
      <c r="B128" s="208" t="s">
        <v>26</v>
      </c>
      <c r="C128" s="238" t="s">
        <v>23</v>
      </c>
      <c r="D128" s="238">
        <v>13660101001</v>
      </c>
      <c r="E128" s="188">
        <v>14562881001</v>
      </c>
      <c r="F128" s="210" t="s">
        <v>124</v>
      </c>
      <c r="G128" s="211"/>
      <c r="H128" s="190" t="s">
        <v>65</v>
      </c>
      <c r="I128" s="190">
        <v>1</v>
      </c>
      <c r="J128" s="212">
        <v>97.39</v>
      </c>
      <c r="K128" s="212">
        <f t="shared" si="107"/>
        <v>118.82</v>
      </c>
      <c r="L128" s="212">
        <f>K128*G128</f>
        <v>0</v>
      </c>
      <c r="M128" s="212">
        <f t="shared" si="108"/>
        <v>97.39</v>
      </c>
      <c r="N128" s="212">
        <f>M128*G128</f>
        <v>0</v>
      </c>
      <c r="O128" s="213">
        <f t="shared" si="109"/>
        <v>118.82</v>
      </c>
      <c r="P128" s="213">
        <f>O128*G128</f>
        <v>0</v>
      </c>
      <c r="Q128" s="3"/>
      <c r="R128" s="214">
        <f t="shared" si="162"/>
        <v>9506</v>
      </c>
      <c r="AK128" s="141">
        <f t="shared" si="163"/>
        <v>9505.6</v>
      </c>
    </row>
    <row r="129" spans="1:37" ht="30.6" outlineLevel="1">
      <c r="A129" s="148" t="s">
        <v>25</v>
      </c>
      <c r="B129" s="208" t="s">
        <v>26</v>
      </c>
      <c r="C129" s="238" t="s">
        <v>23</v>
      </c>
      <c r="D129" s="238">
        <v>13660111001</v>
      </c>
      <c r="E129" s="188">
        <v>14562891001</v>
      </c>
      <c r="F129" s="210" t="s">
        <v>125</v>
      </c>
      <c r="G129" s="211"/>
      <c r="H129" s="190" t="s">
        <v>65</v>
      </c>
      <c r="I129" s="190">
        <v>1</v>
      </c>
      <c r="J129" s="212">
        <v>86.08</v>
      </c>
      <c r="K129" s="212">
        <f t="shared" si="107"/>
        <v>105.02</v>
      </c>
      <c r="L129" s="212">
        <f>K129*G129</f>
        <v>0</v>
      </c>
      <c r="M129" s="212">
        <f t="shared" si="108"/>
        <v>86.08</v>
      </c>
      <c r="N129" s="212">
        <f>M129*G129</f>
        <v>0</v>
      </c>
      <c r="O129" s="213">
        <f t="shared" si="109"/>
        <v>105.02</v>
      </c>
      <c r="P129" s="213">
        <f>O129*G129</f>
        <v>0</v>
      </c>
      <c r="Q129" s="3"/>
      <c r="R129" s="214">
        <f t="shared" si="162"/>
        <v>8402</v>
      </c>
      <c r="AK129" s="141">
        <f t="shared" si="163"/>
        <v>8401.6</v>
      </c>
    </row>
    <row r="130" spans="1:37" outlineLevel="1">
      <c r="A130" s="147"/>
      <c r="B130" s="240"/>
      <c r="C130" s="247"/>
      <c r="D130" s="238"/>
      <c r="E130" s="188"/>
      <c r="F130" s="210"/>
      <c r="G130" s="211"/>
      <c r="H130" s="190"/>
      <c r="I130" s="190"/>
      <c r="J130" s="212"/>
      <c r="K130" s="212"/>
      <c r="L130" s="212"/>
      <c r="M130" s="212"/>
      <c r="N130" s="212"/>
      <c r="O130" s="213"/>
      <c r="P130" s="213"/>
      <c r="Q130" s="3"/>
      <c r="R130" s="222"/>
      <c r="AK130" s="141"/>
    </row>
    <row r="131" spans="1:37" ht="30.6" outlineLevel="1">
      <c r="A131" s="148" t="s">
        <v>25</v>
      </c>
      <c r="B131" s="208" t="s">
        <v>26</v>
      </c>
      <c r="C131" s="190" t="s">
        <v>23</v>
      </c>
      <c r="D131" s="190"/>
      <c r="E131" s="188">
        <v>13777311001</v>
      </c>
      <c r="F131" s="257" t="s">
        <v>126</v>
      </c>
      <c r="G131" s="211"/>
      <c r="H131" s="190" t="s">
        <v>65</v>
      </c>
      <c r="I131" s="190">
        <v>10</v>
      </c>
      <c r="J131" s="212">
        <v>9.35</v>
      </c>
      <c r="K131" s="212">
        <f t="shared" si="107"/>
        <v>11.41</v>
      </c>
      <c r="L131" s="212">
        <f>K131*G131</f>
        <v>0</v>
      </c>
      <c r="M131" s="212">
        <f t="shared" si="108"/>
        <v>9.35</v>
      </c>
      <c r="N131" s="212">
        <f>M131*G131</f>
        <v>0</v>
      </c>
      <c r="O131" s="213">
        <f t="shared" si="109"/>
        <v>11.41</v>
      </c>
      <c r="P131" s="213">
        <f>O131*G131</f>
        <v>0</v>
      </c>
      <c r="Q131" s="3"/>
      <c r="R131" s="214">
        <f t="shared" si="162"/>
        <v>913</v>
      </c>
      <c r="AK131" s="141">
        <f t="shared" si="163"/>
        <v>912.80000000000007</v>
      </c>
    </row>
    <row r="132" spans="1:37" ht="30.6" outlineLevel="1">
      <c r="A132" s="148" t="s">
        <v>25</v>
      </c>
      <c r="B132" s="208" t="s">
        <v>26</v>
      </c>
      <c r="C132" s="190" t="s">
        <v>23</v>
      </c>
      <c r="D132" s="190"/>
      <c r="E132" s="188">
        <v>13777321001</v>
      </c>
      <c r="F132" s="258" t="s">
        <v>127</v>
      </c>
      <c r="G132" s="211"/>
      <c r="H132" s="190" t="s">
        <v>65</v>
      </c>
      <c r="I132" s="190">
        <v>10</v>
      </c>
      <c r="J132" s="212">
        <v>9.39</v>
      </c>
      <c r="K132" s="212">
        <f t="shared" si="107"/>
        <v>11.46</v>
      </c>
      <c r="L132" s="212">
        <f>K132*G132</f>
        <v>0</v>
      </c>
      <c r="M132" s="212">
        <f t="shared" si="108"/>
        <v>9.39</v>
      </c>
      <c r="N132" s="212">
        <f>M132*G132</f>
        <v>0</v>
      </c>
      <c r="O132" s="213">
        <f t="shared" si="109"/>
        <v>11.46</v>
      </c>
      <c r="P132" s="213">
        <f>O132*G132</f>
        <v>0</v>
      </c>
      <c r="Q132" s="3"/>
      <c r="R132" s="214">
        <f t="shared" si="162"/>
        <v>917</v>
      </c>
      <c r="AK132" s="141">
        <f t="shared" si="163"/>
        <v>916.80000000000007</v>
      </c>
    </row>
    <row r="133" spans="1:37" outlineLevel="1">
      <c r="A133" s="147"/>
      <c r="B133" s="188"/>
      <c r="C133" s="215"/>
      <c r="D133" s="215"/>
      <c r="E133" s="217"/>
      <c r="F133" s="249"/>
      <c r="G133" s="211"/>
      <c r="H133" s="215"/>
      <c r="I133" s="215"/>
      <c r="J133" s="220"/>
      <c r="K133" s="220"/>
      <c r="L133" s="220"/>
      <c r="M133" s="220"/>
      <c r="N133" s="220"/>
      <c r="O133" s="221"/>
      <c r="P133" s="221"/>
      <c r="Q133" s="3"/>
      <c r="R133" s="222"/>
      <c r="AK133" s="141"/>
    </row>
    <row r="134" spans="1:37" outlineLevel="1">
      <c r="A134" s="147"/>
      <c r="B134" s="188" t="s">
        <v>30</v>
      </c>
      <c r="C134" s="190" t="s">
        <v>23</v>
      </c>
      <c r="D134" s="215"/>
      <c r="E134" s="242">
        <v>14570713001</v>
      </c>
      <c r="F134" s="243" t="s">
        <v>128</v>
      </c>
      <c r="G134" s="211"/>
      <c r="H134" s="244" t="s">
        <v>65</v>
      </c>
      <c r="I134" s="244">
        <v>10</v>
      </c>
      <c r="J134" s="245">
        <v>12.48</v>
      </c>
      <c r="K134" s="212">
        <f t="shared" ref="K134:K138" si="164">ROUND((J134*$C$3),2)</f>
        <v>15.23</v>
      </c>
      <c r="L134" s="212">
        <f>K134*G134</f>
        <v>0</v>
      </c>
      <c r="M134" s="212">
        <f t="shared" ref="M134:M138" si="165">J134*(1-$E$5-$E$7)*(1-$E$9)*(1+$E$11)</f>
        <v>12.48</v>
      </c>
      <c r="N134" s="212">
        <f>M134*G134</f>
        <v>0</v>
      </c>
      <c r="O134" s="213">
        <f t="shared" ref="O134:O138" si="166">ROUND((M134*$C$3),2)</f>
        <v>15.23</v>
      </c>
      <c r="P134" s="213">
        <f>O134*G134</f>
        <v>0</v>
      </c>
      <c r="Q134" s="3"/>
      <c r="R134" s="222">
        <f t="shared" ref="R134:R138" si="167">ROUND(AK134,0)</f>
        <v>1218</v>
      </c>
      <c r="AK134" s="141">
        <f t="shared" ref="AK134:AK138" si="168">K134*$AK$11*(1-$AK$10)</f>
        <v>1218.4000000000001</v>
      </c>
    </row>
    <row r="135" spans="1:37" outlineLevel="1">
      <c r="A135" s="147"/>
      <c r="B135" s="188" t="s">
        <v>30</v>
      </c>
      <c r="C135" s="190" t="s">
        <v>23</v>
      </c>
      <c r="D135" s="215"/>
      <c r="E135" s="242">
        <v>14570723001</v>
      </c>
      <c r="F135" s="243" t="s">
        <v>129</v>
      </c>
      <c r="G135" s="211"/>
      <c r="H135" s="244" t="s">
        <v>65</v>
      </c>
      <c r="I135" s="244">
        <v>10</v>
      </c>
      <c r="J135" s="245">
        <v>18.36</v>
      </c>
      <c r="K135" s="212">
        <f t="shared" si="164"/>
        <v>22.4</v>
      </c>
      <c r="L135" s="212">
        <f>K135*G135</f>
        <v>0</v>
      </c>
      <c r="M135" s="212">
        <f t="shared" si="165"/>
        <v>18.36</v>
      </c>
      <c r="N135" s="212">
        <f>M135*G135</f>
        <v>0</v>
      </c>
      <c r="O135" s="213">
        <f t="shared" si="166"/>
        <v>22.4</v>
      </c>
      <c r="P135" s="213">
        <f>O135*G135</f>
        <v>0</v>
      </c>
      <c r="Q135" s="3"/>
      <c r="R135" s="222">
        <f t="shared" si="167"/>
        <v>1792</v>
      </c>
      <c r="AK135" s="141">
        <f t="shared" si="168"/>
        <v>1792</v>
      </c>
    </row>
    <row r="136" spans="1:37" outlineLevel="1">
      <c r="A136" s="147"/>
      <c r="B136" s="188" t="s">
        <v>30</v>
      </c>
      <c r="C136" s="190" t="s">
        <v>23</v>
      </c>
      <c r="D136" s="215"/>
      <c r="E136" s="242">
        <v>14570733001</v>
      </c>
      <c r="F136" s="243" t="s">
        <v>130</v>
      </c>
      <c r="G136" s="211"/>
      <c r="H136" s="244" t="s">
        <v>65</v>
      </c>
      <c r="I136" s="244">
        <v>10</v>
      </c>
      <c r="J136" s="245">
        <v>18.36</v>
      </c>
      <c r="K136" s="212">
        <f t="shared" si="164"/>
        <v>22.4</v>
      </c>
      <c r="L136" s="212">
        <f>K136*G136</f>
        <v>0</v>
      </c>
      <c r="M136" s="212">
        <f t="shared" si="165"/>
        <v>18.36</v>
      </c>
      <c r="N136" s="212">
        <f>M136*G136</f>
        <v>0</v>
      </c>
      <c r="O136" s="213">
        <f t="shared" si="166"/>
        <v>22.4</v>
      </c>
      <c r="P136" s="213">
        <f>O136*G136</f>
        <v>0</v>
      </c>
      <c r="Q136" s="3"/>
      <c r="R136" s="222">
        <f t="shared" si="167"/>
        <v>1792</v>
      </c>
      <c r="AK136" s="141">
        <f t="shared" si="168"/>
        <v>1792</v>
      </c>
    </row>
    <row r="137" spans="1:37" outlineLevel="1">
      <c r="A137" s="147"/>
      <c r="B137" s="188" t="s">
        <v>30</v>
      </c>
      <c r="C137" s="190" t="s">
        <v>23</v>
      </c>
      <c r="D137" s="215"/>
      <c r="E137" s="242">
        <v>14570743001</v>
      </c>
      <c r="F137" s="243" t="s">
        <v>131</v>
      </c>
      <c r="G137" s="211"/>
      <c r="H137" s="244" t="s">
        <v>65</v>
      </c>
      <c r="I137" s="244">
        <v>3</v>
      </c>
      <c r="J137" s="245">
        <v>32.340000000000003</v>
      </c>
      <c r="K137" s="212">
        <f t="shared" si="164"/>
        <v>39.450000000000003</v>
      </c>
      <c r="L137" s="212">
        <f>K137*G137</f>
        <v>0</v>
      </c>
      <c r="M137" s="212">
        <f t="shared" si="165"/>
        <v>32.340000000000003</v>
      </c>
      <c r="N137" s="212">
        <f>M137*G137</f>
        <v>0</v>
      </c>
      <c r="O137" s="213">
        <f t="shared" si="166"/>
        <v>39.450000000000003</v>
      </c>
      <c r="P137" s="213">
        <f>O137*G137</f>
        <v>0</v>
      </c>
      <c r="Q137" s="3"/>
      <c r="R137" s="222">
        <f t="shared" si="167"/>
        <v>3156</v>
      </c>
      <c r="AK137" s="141">
        <f t="shared" si="168"/>
        <v>3156.0000000000005</v>
      </c>
    </row>
    <row r="138" spans="1:37" outlineLevel="1">
      <c r="A138" s="147"/>
      <c r="B138" s="188" t="s">
        <v>30</v>
      </c>
      <c r="C138" s="190" t="s">
        <v>23</v>
      </c>
      <c r="D138" s="215"/>
      <c r="E138" s="242">
        <v>14570753001</v>
      </c>
      <c r="F138" s="243" t="s">
        <v>132</v>
      </c>
      <c r="G138" s="211"/>
      <c r="H138" s="244" t="s">
        <v>65</v>
      </c>
      <c r="I138" s="244">
        <v>3</v>
      </c>
      <c r="J138" s="245">
        <v>32.340000000000003</v>
      </c>
      <c r="K138" s="212">
        <f t="shared" si="164"/>
        <v>39.450000000000003</v>
      </c>
      <c r="L138" s="212">
        <f>K138*G138</f>
        <v>0</v>
      </c>
      <c r="M138" s="212">
        <f t="shared" si="165"/>
        <v>32.340000000000003</v>
      </c>
      <c r="N138" s="212">
        <f>M138*G138</f>
        <v>0</v>
      </c>
      <c r="O138" s="213">
        <f t="shared" si="166"/>
        <v>39.450000000000003</v>
      </c>
      <c r="P138" s="213">
        <f>O138*G138</f>
        <v>0</v>
      </c>
      <c r="Q138" s="3"/>
      <c r="R138" s="222">
        <f t="shared" si="167"/>
        <v>3156</v>
      </c>
      <c r="AK138" s="141">
        <f t="shared" si="168"/>
        <v>3156.0000000000005</v>
      </c>
    </row>
    <row r="139" spans="1:37" outlineLevel="1">
      <c r="A139" s="147"/>
      <c r="B139" s="188"/>
      <c r="C139" s="215"/>
      <c r="D139" s="215"/>
      <c r="E139" s="217"/>
      <c r="F139" s="249"/>
      <c r="G139" s="211"/>
      <c r="H139" s="215"/>
      <c r="I139" s="215"/>
      <c r="J139" s="220"/>
      <c r="K139" s="220"/>
      <c r="L139" s="220"/>
      <c r="M139" s="220"/>
      <c r="N139" s="220"/>
      <c r="O139" s="221"/>
      <c r="P139" s="221"/>
      <c r="Q139" s="3"/>
      <c r="R139" s="222"/>
      <c r="AK139" s="141"/>
    </row>
    <row r="140" spans="1:37" outlineLevel="1">
      <c r="A140" s="147"/>
      <c r="B140" s="188" t="s">
        <v>30</v>
      </c>
      <c r="C140" s="190" t="s">
        <v>23</v>
      </c>
      <c r="D140" s="238"/>
      <c r="E140" s="188">
        <v>11080711001</v>
      </c>
      <c r="F140" s="210" t="s">
        <v>133</v>
      </c>
      <c r="G140" s="211"/>
      <c r="H140" s="190" t="s">
        <v>65</v>
      </c>
      <c r="I140" s="190">
        <v>10</v>
      </c>
      <c r="J140" s="212">
        <v>7.95</v>
      </c>
      <c r="K140" s="212">
        <f t="shared" ref="K140:K144" si="169">ROUND((J140*$C$3),2)</f>
        <v>9.6999999999999993</v>
      </c>
      <c r="L140" s="212">
        <f>K140*G140</f>
        <v>0</v>
      </c>
      <c r="M140" s="212">
        <f t="shared" ref="M140:M144" si="170">J140*(1-$E$5-$E$7)*(1-$E$9)*(1+$E$11)</f>
        <v>7.95</v>
      </c>
      <c r="N140" s="212">
        <f>M140*G140</f>
        <v>0</v>
      </c>
      <c r="O140" s="213">
        <f t="shared" ref="O140:O144" si="171">ROUND((M140*$C$3),2)</f>
        <v>9.6999999999999993</v>
      </c>
      <c r="P140" s="213">
        <f>O140*G140</f>
        <v>0</v>
      </c>
      <c r="Q140" s="3"/>
      <c r="R140" s="222">
        <f>ROUND(AK140,0)</f>
        <v>776</v>
      </c>
      <c r="AK140" s="141">
        <f>K140*$AK$11*(1-$AK$10)</f>
        <v>776</v>
      </c>
    </row>
    <row r="141" spans="1:37" outlineLevel="1">
      <c r="A141" s="147"/>
      <c r="B141" s="188" t="s">
        <v>30</v>
      </c>
      <c r="C141" s="190" t="s">
        <v>23</v>
      </c>
      <c r="D141" s="238"/>
      <c r="E141" s="246">
        <v>11080721001</v>
      </c>
      <c r="F141" s="243" t="s">
        <v>134</v>
      </c>
      <c r="G141" s="211"/>
      <c r="H141" s="190" t="s">
        <v>65</v>
      </c>
      <c r="I141" s="190">
        <v>10</v>
      </c>
      <c r="J141" s="212">
        <v>10.8</v>
      </c>
      <c r="K141" s="212">
        <f t="shared" ref="K141" si="172">ROUND((J141*$C$3),2)</f>
        <v>13.18</v>
      </c>
      <c r="L141" s="212">
        <f>K141*G141</f>
        <v>0</v>
      </c>
      <c r="M141" s="212">
        <f t="shared" ref="M141" si="173">J141*(1-$E$5-$E$7)*(1-$E$9)*(1+$E$11)</f>
        <v>10.8</v>
      </c>
      <c r="N141" s="212">
        <f>M141*G141</f>
        <v>0</v>
      </c>
      <c r="O141" s="213">
        <f t="shared" ref="O141" si="174">ROUND((M141*$C$3),2)</f>
        <v>13.18</v>
      </c>
      <c r="P141" s="213">
        <f>O141*G141</f>
        <v>0</v>
      </c>
      <c r="Q141" s="3"/>
      <c r="R141" s="222">
        <f>ROUND(AK141,0)</f>
        <v>1054</v>
      </c>
      <c r="AK141" s="141">
        <f>K141*$AK$11*(1-$AK$10)</f>
        <v>1054.4000000000001</v>
      </c>
    </row>
    <row r="142" spans="1:37" outlineLevel="1">
      <c r="A142" s="147"/>
      <c r="B142" s="188" t="s">
        <v>30</v>
      </c>
      <c r="C142" s="190" t="s">
        <v>23</v>
      </c>
      <c r="D142" s="238"/>
      <c r="E142" s="188">
        <v>11080731001</v>
      </c>
      <c r="F142" s="210" t="s">
        <v>135</v>
      </c>
      <c r="G142" s="211"/>
      <c r="H142" s="190" t="s">
        <v>65</v>
      </c>
      <c r="I142" s="190">
        <v>10</v>
      </c>
      <c r="J142" s="212">
        <v>10.8</v>
      </c>
      <c r="K142" s="212">
        <f t="shared" si="169"/>
        <v>13.18</v>
      </c>
      <c r="L142" s="212">
        <f>K142*G142</f>
        <v>0</v>
      </c>
      <c r="M142" s="212">
        <f t="shared" si="170"/>
        <v>10.8</v>
      </c>
      <c r="N142" s="212">
        <f>M142*G142</f>
        <v>0</v>
      </c>
      <c r="O142" s="213">
        <f t="shared" si="171"/>
        <v>13.18</v>
      </c>
      <c r="P142" s="213">
        <f>O142*G142</f>
        <v>0</v>
      </c>
      <c r="Q142" s="3"/>
      <c r="R142" s="222">
        <f>ROUND(AK142,0)</f>
        <v>1054</v>
      </c>
      <c r="AK142" s="141">
        <f>K142*$AK$11*(1-$AK$10)</f>
        <v>1054.4000000000001</v>
      </c>
    </row>
    <row r="143" spans="1:37" outlineLevel="1">
      <c r="A143" s="147"/>
      <c r="B143" s="188" t="s">
        <v>30</v>
      </c>
      <c r="C143" s="190" t="s">
        <v>23</v>
      </c>
      <c r="D143" s="238"/>
      <c r="E143" s="256">
        <v>11080741001</v>
      </c>
      <c r="F143" s="243" t="s">
        <v>136</v>
      </c>
      <c r="G143" s="211"/>
      <c r="H143" s="190" t="s">
        <v>65</v>
      </c>
      <c r="I143" s="190">
        <v>3</v>
      </c>
      <c r="J143" s="212">
        <v>19.600000000000001</v>
      </c>
      <c r="K143" s="212">
        <f t="shared" si="169"/>
        <v>23.91</v>
      </c>
      <c r="L143" s="212">
        <f>K143*G143</f>
        <v>0</v>
      </c>
      <c r="M143" s="212">
        <f t="shared" si="170"/>
        <v>19.600000000000001</v>
      </c>
      <c r="N143" s="212">
        <f>M143*G143</f>
        <v>0</v>
      </c>
      <c r="O143" s="213">
        <f t="shared" si="171"/>
        <v>23.91</v>
      </c>
      <c r="P143" s="213">
        <f>O143*G143</f>
        <v>0</v>
      </c>
      <c r="Q143" s="3"/>
      <c r="R143" s="222">
        <f>ROUND(AK143,0)</f>
        <v>1913</v>
      </c>
      <c r="AK143" s="141">
        <f>K143*$AK$11*(1-$AK$10)</f>
        <v>1912.8000000000002</v>
      </c>
    </row>
    <row r="144" spans="1:37" outlineLevel="1">
      <c r="A144" s="147"/>
      <c r="B144" s="188" t="s">
        <v>30</v>
      </c>
      <c r="C144" s="190" t="s">
        <v>23</v>
      </c>
      <c r="D144" s="238"/>
      <c r="E144" s="256">
        <v>11080751001</v>
      </c>
      <c r="F144" s="243" t="s">
        <v>137</v>
      </c>
      <c r="G144" s="211"/>
      <c r="H144" s="190" t="s">
        <v>65</v>
      </c>
      <c r="I144" s="190">
        <v>3</v>
      </c>
      <c r="J144" s="212">
        <v>19.600000000000001</v>
      </c>
      <c r="K144" s="212">
        <f t="shared" si="169"/>
        <v>23.91</v>
      </c>
      <c r="L144" s="212">
        <f>K144*G144</f>
        <v>0</v>
      </c>
      <c r="M144" s="212">
        <f t="shared" si="170"/>
        <v>19.600000000000001</v>
      </c>
      <c r="N144" s="212">
        <f>M144*G144</f>
        <v>0</v>
      </c>
      <c r="O144" s="213">
        <f t="shared" si="171"/>
        <v>23.91</v>
      </c>
      <c r="P144" s="213">
        <f>O144*G144</f>
        <v>0</v>
      </c>
      <c r="Q144" s="3"/>
      <c r="R144" s="222">
        <f>ROUND(AK144,0)</f>
        <v>1913</v>
      </c>
      <c r="AK144" s="141">
        <f>K144*$AK$11*(1-$AK$10)</f>
        <v>1912.8000000000002</v>
      </c>
    </row>
    <row r="145" spans="1:37" outlineLevel="1">
      <c r="A145" s="147"/>
      <c r="B145" s="188"/>
      <c r="C145" s="215"/>
      <c r="D145" s="215"/>
      <c r="E145" s="217"/>
      <c r="F145" s="249"/>
      <c r="G145" s="211"/>
      <c r="H145" s="215"/>
      <c r="I145" s="215"/>
      <c r="J145" s="220"/>
      <c r="K145" s="220"/>
      <c r="L145" s="220"/>
      <c r="M145" s="220"/>
      <c r="N145" s="220"/>
      <c r="O145" s="221"/>
      <c r="P145" s="221"/>
      <c r="Q145" s="3"/>
      <c r="R145" s="222"/>
      <c r="AK145" s="141"/>
    </row>
    <row r="146" spans="1:37" ht="26.45" outlineLevel="1">
      <c r="A146" s="147"/>
      <c r="B146" s="188" t="s">
        <v>30</v>
      </c>
      <c r="C146" s="190" t="s">
        <v>23</v>
      </c>
      <c r="D146" s="215"/>
      <c r="E146" s="242">
        <v>14570813001</v>
      </c>
      <c r="F146" s="243" t="s">
        <v>138</v>
      </c>
      <c r="G146" s="211"/>
      <c r="H146" s="244" t="s">
        <v>65</v>
      </c>
      <c r="I146" s="244">
        <v>10</v>
      </c>
      <c r="J146" s="245">
        <v>10.9</v>
      </c>
      <c r="K146" s="212">
        <f t="shared" ref="K146:K155" si="175">ROUND((J146*$C$3),2)</f>
        <v>13.3</v>
      </c>
      <c r="L146" s="212">
        <f t="shared" ref="L146:L155" si="176">K146*G146</f>
        <v>0</v>
      </c>
      <c r="M146" s="212">
        <f t="shared" ref="M146:M155" si="177">J146*(1-$E$5-$E$7)*(1-$E$9)*(1+$E$11)</f>
        <v>10.9</v>
      </c>
      <c r="N146" s="212">
        <f t="shared" ref="N146:N155" si="178">M146*G146</f>
        <v>0</v>
      </c>
      <c r="O146" s="213">
        <f t="shared" ref="O146:O155" si="179">ROUND((M146*$C$3),2)</f>
        <v>13.3</v>
      </c>
      <c r="P146" s="213">
        <f t="shared" ref="P146:P155" si="180">O146*G146</f>
        <v>0</v>
      </c>
      <c r="Q146" s="3"/>
      <c r="R146" s="222">
        <f t="shared" ref="R146:R155" si="181">ROUND(AK146,0)</f>
        <v>1064</v>
      </c>
      <c r="AK146" s="141">
        <f t="shared" ref="AK146:AK155" si="182">K146*$AK$11*(1-$AK$10)</f>
        <v>1064</v>
      </c>
    </row>
    <row r="147" spans="1:37" ht="26.45" outlineLevel="1">
      <c r="A147" s="147"/>
      <c r="B147" s="188" t="s">
        <v>30</v>
      </c>
      <c r="C147" s="190" t="s">
        <v>23</v>
      </c>
      <c r="D147" s="215"/>
      <c r="E147" s="242">
        <v>14570823001</v>
      </c>
      <c r="F147" s="243" t="s">
        <v>139</v>
      </c>
      <c r="G147" s="211"/>
      <c r="H147" s="244" t="s">
        <v>65</v>
      </c>
      <c r="I147" s="244">
        <v>10</v>
      </c>
      <c r="J147" s="245">
        <v>11.94</v>
      </c>
      <c r="K147" s="212">
        <f t="shared" si="175"/>
        <v>14.57</v>
      </c>
      <c r="L147" s="212">
        <f t="shared" si="176"/>
        <v>0</v>
      </c>
      <c r="M147" s="212">
        <f t="shared" si="177"/>
        <v>11.94</v>
      </c>
      <c r="N147" s="212">
        <f t="shared" si="178"/>
        <v>0</v>
      </c>
      <c r="O147" s="213">
        <f t="shared" si="179"/>
        <v>14.57</v>
      </c>
      <c r="P147" s="213">
        <f t="shared" si="180"/>
        <v>0</v>
      </c>
      <c r="Q147" s="3"/>
      <c r="R147" s="222">
        <f t="shared" si="181"/>
        <v>1166</v>
      </c>
      <c r="AK147" s="141">
        <f t="shared" si="182"/>
        <v>1165.6000000000001</v>
      </c>
    </row>
    <row r="148" spans="1:37" ht="26.45" outlineLevel="1">
      <c r="A148" s="150"/>
      <c r="B148" s="188" t="s">
        <v>30</v>
      </c>
      <c r="C148" s="190" t="s">
        <v>23</v>
      </c>
      <c r="D148" s="215"/>
      <c r="E148" s="242">
        <v>14570833001</v>
      </c>
      <c r="F148" s="243" t="s">
        <v>140</v>
      </c>
      <c r="G148" s="211"/>
      <c r="H148" s="244" t="s">
        <v>65</v>
      </c>
      <c r="I148" s="244">
        <v>10</v>
      </c>
      <c r="J148" s="245">
        <v>13.93</v>
      </c>
      <c r="K148" s="212">
        <f t="shared" si="175"/>
        <v>16.989999999999998</v>
      </c>
      <c r="L148" s="212">
        <f t="shared" si="176"/>
        <v>0</v>
      </c>
      <c r="M148" s="212">
        <f t="shared" si="177"/>
        <v>13.93</v>
      </c>
      <c r="N148" s="212">
        <f t="shared" si="178"/>
        <v>0</v>
      </c>
      <c r="O148" s="213">
        <f t="shared" si="179"/>
        <v>16.989999999999998</v>
      </c>
      <c r="P148" s="213">
        <f t="shared" si="180"/>
        <v>0</v>
      </c>
      <c r="Q148" s="3"/>
      <c r="R148" s="222">
        <f t="shared" si="181"/>
        <v>1359</v>
      </c>
      <c r="AK148" s="141">
        <f t="shared" si="182"/>
        <v>1359.1999999999998</v>
      </c>
    </row>
    <row r="149" spans="1:37" ht="26.45" outlineLevel="1">
      <c r="A149" s="147"/>
      <c r="B149" s="188" t="s">
        <v>30</v>
      </c>
      <c r="C149" s="190" t="s">
        <v>23</v>
      </c>
      <c r="D149" s="215"/>
      <c r="E149" s="242">
        <v>14570843001</v>
      </c>
      <c r="F149" s="243" t="s">
        <v>141</v>
      </c>
      <c r="G149" s="211"/>
      <c r="H149" s="244" t="s">
        <v>65</v>
      </c>
      <c r="I149" s="244">
        <v>10</v>
      </c>
      <c r="J149" s="245">
        <v>15.28</v>
      </c>
      <c r="K149" s="212">
        <f t="shared" si="175"/>
        <v>18.64</v>
      </c>
      <c r="L149" s="212">
        <f t="shared" si="176"/>
        <v>0</v>
      </c>
      <c r="M149" s="212">
        <f t="shared" si="177"/>
        <v>15.28</v>
      </c>
      <c r="N149" s="212">
        <f t="shared" si="178"/>
        <v>0</v>
      </c>
      <c r="O149" s="213">
        <f t="shared" si="179"/>
        <v>18.64</v>
      </c>
      <c r="P149" s="213">
        <f t="shared" si="180"/>
        <v>0</v>
      </c>
      <c r="Q149" s="3"/>
      <c r="R149" s="222">
        <f t="shared" si="181"/>
        <v>1491</v>
      </c>
      <c r="AK149" s="141">
        <f t="shared" si="182"/>
        <v>1491.2</v>
      </c>
    </row>
    <row r="150" spans="1:37" ht="26.45" outlineLevel="1">
      <c r="A150" s="147"/>
      <c r="B150" s="188" t="s">
        <v>30</v>
      </c>
      <c r="C150" s="190" t="s">
        <v>23</v>
      </c>
      <c r="D150" s="215"/>
      <c r="E150" s="242">
        <v>14570853001</v>
      </c>
      <c r="F150" s="243" t="s">
        <v>142</v>
      </c>
      <c r="G150" s="211"/>
      <c r="H150" s="244" t="s">
        <v>65</v>
      </c>
      <c r="I150" s="244">
        <v>10</v>
      </c>
      <c r="J150" s="245">
        <v>15.28</v>
      </c>
      <c r="K150" s="212">
        <f t="shared" si="175"/>
        <v>18.64</v>
      </c>
      <c r="L150" s="212">
        <f t="shared" si="176"/>
        <v>0</v>
      </c>
      <c r="M150" s="212">
        <f t="shared" si="177"/>
        <v>15.28</v>
      </c>
      <c r="N150" s="212">
        <f t="shared" si="178"/>
        <v>0</v>
      </c>
      <c r="O150" s="213">
        <f t="shared" si="179"/>
        <v>18.64</v>
      </c>
      <c r="P150" s="213">
        <f t="shared" si="180"/>
        <v>0</v>
      </c>
      <c r="Q150" s="3"/>
      <c r="R150" s="222">
        <f t="shared" si="181"/>
        <v>1491</v>
      </c>
      <c r="AK150" s="141">
        <f t="shared" si="182"/>
        <v>1491.2</v>
      </c>
    </row>
    <row r="151" spans="1:37" ht="26.45" outlineLevel="1">
      <c r="A151" s="147"/>
      <c r="B151" s="188" t="s">
        <v>30</v>
      </c>
      <c r="C151" s="190" t="s">
        <v>23</v>
      </c>
      <c r="D151" s="215"/>
      <c r="E151" s="242">
        <v>14570863001</v>
      </c>
      <c r="F151" s="243" t="s">
        <v>143</v>
      </c>
      <c r="G151" s="211"/>
      <c r="H151" s="244" t="s">
        <v>65</v>
      </c>
      <c r="I151" s="244">
        <v>3</v>
      </c>
      <c r="J151" s="245">
        <v>30.77</v>
      </c>
      <c r="K151" s="212">
        <f t="shared" si="175"/>
        <v>37.54</v>
      </c>
      <c r="L151" s="212">
        <f t="shared" si="176"/>
        <v>0</v>
      </c>
      <c r="M151" s="212">
        <f t="shared" si="177"/>
        <v>30.77</v>
      </c>
      <c r="N151" s="212">
        <f t="shared" si="178"/>
        <v>0</v>
      </c>
      <c r="O151" s="213">
        <f t="shared" si="179"/>
        <v>37.54</v>
      </c>
      <c r="P151" s="213">
        <f t="shared" si="180"/>
        <v>0</v>
      </c>
      <c r="Q151" s="3"/>
      <c r="R151" s="222">
        <f t="shared" si="181"/>
        <v>3003</v>
      </c>
      <c r="AK151" s="141">
        <f t="shared" si="182"/>
        <v>3003.2000000000003</v>
      </c>
    </row>
    <row r="152" spans="1:37" ht="26.45" outlineLevel="1">
      <c r="A152" s="147"/>
      <c r="B152" s="188" t="s">
        <v>30</v>
      </c>
      <c r="C152" s="190" t="s">
        <v>23</v>
      </c>
      <c r="D152" s="215"/>
      <c r="E152" s="242">
        <v>14570873001</v>
      </c>
      <c r="F152" s="243" t="s">
        <v>144</v>
      </c>
      <c r="G152" s="211"/>
      <c r="H152" s="244" t="s">
        <v>65</v>
      </c>
      <c r="I152" s="244">
        <v>3</v>
      </c>
      <c r="J152" s="245">
        <v>30.77</v>
      </c>
      <c r="K152" s="212">
        <f t="shared" si="175"/>
        <v>37.54</v>
      </c>
      <c r="L152" s="212">
        <f t="shared" si="176"/>
        <v>0</v>
      </c>
      <c r="M152" s="212">
        <f t="shared" si="177"/>
        <v>30.77</v>
      </c>
      <c r="N152" s="212">
        <f t="shared" si="178"/>
        <v>0</v>
      </c>
      <c r="O152" s="213">
        <f t="shared" si="179"/>
        <v>37.54</v>
      </c>
      <c r="P152" s="213">
        <f t="shared" si="180"/>
        <v>0</v>
      </c>
      <c r="Q152" s="3"/>
      <c r="R152" s="222">
        <f t="shared" si="181"/>
        <v>3003</v>
      </c>
      <c r="AK152" s="141">
        <f t="shared" si="182"/>
        <v>3003.2000000000003</v>
      </c>
    </row>
    <row r="153" spans="1:37" ht="26.45" outlineLevel="1">
      <c r="A153" s="147"/>
      <c r="B153" s="188" t="s">
        <v>30</v>
      </c>
      <c r="C153" s="190" t="s">
        <v>23</v>
      </c>
      <c r="D153" s="215"/>
      <c r="E153" s="242">
        <v>14570893001</v>
      </c>
      <c r="F153" s="243" t="s">
        <v>145</v>
      </c>
      <c r="G153" s="211"/>
      <c r="H153" s="244" t="s">
        <v>65</v>
      </c>
      <c r="I153" s="244">
        <v>3</v>
      </c>
      <c r="J153" s="245">
        <v>30.77</v>
      </c>
      <c r="K153" s="212">
        <f t="shared" si="175"/>
        <v>37.54</v>
      </c>
      <c r="L153" s="212">
        <f t="shared" si="176"/>
        <v>0</v>
      </c>
      <c r="M153" s="212">
        <f t="shared" si="177"/>
        <v>30.77</v>
      </c>
      <c r="N153" s="212">
        <f t="shared" si="178"/>
        <v>0</v>
      </c>
      <c r="O153" s="213">
        <f t="shared" si="179"/>
        <v>37.54</v>
      </c>
      <c r="P153" s="213">
        <f t="shared" si="180"/>
        <v>0</v>
      </c>
      <c r="Q153" s="3"/>
      <c r="R153" s="222">
        <f t="shared" si="181"/>
        <v>3003</v>
      </c>
      <c r="AK153" s="141">
        <f t="shared" si="182"/>
        <v>3003.2000000000003</v>
      </c>
    </row>
    <row r="154" spans="1:37" ht="26.45" outlineLevel="1">
      <c r="A154" s="147"/>
      <c r="B154" s="188" t="s">
        <v>30</v>
      </c>
      <c r="C154" s="190" t="s">
        <v>23</v>
      </c>
      <c r="D154" s="215"/>
      <c r="E154" s="242">
        <v>14570913001</v>
      </c>
      <c r="F154" s="243" t="s">
        <v>146</v>
      </c>
      <c r="G154" s="211"/>
      <c r="H154" s="244" t="s">
        <v>65</v>
      </c>
      <c r="I154" s="244">
        <v>3</v>
      </c>
      <c r="J154" s="245">
        <v>30.77</v>
      </c>
      <c r="K154" s="212">
        <f t="shared" si="175"/>
        <v>37.54</v>
      </c>
      <c r="L154" s="212">
        <f t="shared" si="176"/>
        <v>0</v>
      </c>
      <c r="M154" s="212">
        <f t="shared" si="177"/>
        <v>30.77</v>
      </c>
      <c r="N154" s="212">
        <f t="shared" si="178"/>
        <v>0</v>
      </c>
      <c r="O154" s="213">
        <f t="shared" si="179"/>
        <v>37.54</v>
      </c>
      <c r="P154" s="213">
        <f t="shared" si="180"/>
        <v>0</v>
      </c>
      <c r="Q154" s="3"/>
      <c r="R154" s="222">
        <f t="shared" si="181"/>
        <v>3003</v>
      </c>
      <c r="AK154" s="141">
        <f t="shared" si="182"/>
        <v>3003.2000000000003</v>
      </c>
    </row>
    <row r="155" spans="1:37" ht="26.45" outlineLevel="1">
      <c r="A155" s="147"/>
      <c r="B155" s="188" t="s">
        <v>30</v>
      </c>
      <c r="C155" s="190" t="s">
        <v>23</v>
      </c>
      <c r="D155" s="215"/>
      <c r="E155" s="242">
        <v>14570923001</v>
      </c>
      <c r="F155" s="243" t="s">
        <v>147</v>
      </c>
      <c r="G155" s="211"/>
      <c r="H155" s="244" t="s">
        <v>65</v>
      </c>
      <c r="I155" s="244">
        <v>2</v>
      </c>
      <c r="J155" s="245">
        <v>58.99</v>
      </c>
      <c r="K155" s="212">
        <f t="shared" si="175"/>
        <v>71.97</v>
      </c>
      <c r="L155" s="212">
        <f t="shared" si="176"/>
        <v>0</v>
      </c>
      <c r="M155" s="212">
        <f t="shared" si="177"/>
        <v>58.99</v>
      </c>
      <c r="N155" s="212">
        <f t="shared" si="178"/>
        <v>0</v>
      </c>
      <c r="O155" s="213">
        <f t="shared" si="179"/>
        <v>71.97</v>
      </c>
      <c r="P155" s="213">
        <f t="shared" si="180"/>
        <v>0</v>
      </c>
      <c r="Q155" s="3"/>
      <c r="R155" s="222">
        <f t="shared" si="181"/>
        <v>5758</v>
      </c>
      <c r="AK155" s="141">
        <f t="shared" si="182"/>
        <v>5757.6</v>
      </c>
    </row>
    <row r="156" spans="1:37" outlineLevel="1">
      <c r="A156" s="147"/>
      <c r="B156" s="188"/>
      <c r="C156" s="215"/>
      <c r="D156" s="215"/>
      <c r="E156" s="217"/>
      <c r="F156" s="249"/>
      <c r="G156" s="211"/>
      <c r="H156" s="215"/>
      <c r="I156" s="215"/>
      <c r="J156" s="220"/>
      <c r="K156" s="220"/>
      <c r="L156" s="220"/>
      <c r="M156" s="220"/>
      <c r="N156" s="220"/>
      <c r="O156" s="221"/>
      <c r="P156" s="221"/>
      <c r="Q156" s="3"/>
      <c r="R156" s="222"/>
      <c r="AK156" s="141"/>
    </row>
    <row r="157" spans="1:37" outlineLevel="1">
      <c r="A157" s="147"/>
      <c r="B157" s="188" t="s">
        <v>30</v>
      </c>
      <c r="C157" s="190" t="s">
        <v>23</v>
      </c>
      <c r="D157" s="190"/>
      <c r="E157" s="188">
        <v>11080811001</v>
      </c>
      <c r="F157" s="210" t="s">
        <v>148</v>
      </c>
      <c r="G157" s="211"/>
      <c r="H157" s="190" t="s">
        <v>65</v>
      </c>
      <c r="I157" s="190">
        <v>10</v>
      </c>
      <c r="J157" s="212">
        <v>6.94</v>
      </c>
      <c r="K157" s="212">
        <f t="shared" ref="K157:K158" si="183">ROUND((J157*$C$3),2)</f>
        <v>8.4700000000000006</v>
      </c>
      <c r="L157" s="212">
        <f t="shared" ref="L157:L167" si="184">K157*G157</f>
        <v>0</v>
      </c>
      <c r="M157" s="212">
        <f t="shared" ref="M157:M158" si="185">J157*(1-$E$5-$E$7)*(1-$E$9)*(1+$E$11)</f>
        <v>6.94</v>
      </c>
      <c r="N157" s="212">
        <f t="shared" ref="N157:N167" si="186">M157*G157</f>
        <v>0</v>
      </c>
      <c r="O157" s="213">
        <f t="shared" ref="O157:O158" si="187">ROUND((M157*$C$3),2)</f>
        <v>8.4700000000000006</v>
      </c>
      <c r="P157" s="213">
        <f t="shared" ref="P157:P167" si="188">O157*G157</f>
        <v>0</v>
      </c>
      <c r="Q157" s="3"/>
      <c r="R157" s="222">
        <f t="shared" si="162"/>
        <v>678</v>
      </c>
      <c r="AK157" s="141">
        <f t="shared" si="163"/>
        <v>677.60000000000014</v>
      </c>
    </row>
    <row r="158" spans="1:37" outlineLevel="1">
      <c r="A158" s="147"/>
      <c r="B158" s="188" t="s">
        <v>30</v>
      </c>
      <c r="C158" s="190" t="s">
        <v>23</v>
      </c>
      <c r="D158" s="190"/>
      <c r="E158" s="188">
        <v>11080821001</v>
      </c>
      <c r="F158" s="210" t="s">
        <v>149</v>
      </c>
      <c r="G158" s="211"/>
      <c r="H158" s="190" t="s">
        <v>65</v>
      </c>
      <c r="I158" s="190">
        <v>10</v>
      </c>
      <c r="J158" s="212">
        <v>7.27</v>
      </c>
      <c r="K158" s="212">
        <f t="shared" si="183"/>
        <v>8.8699999999999992</v>
      </c>
      <c r="L158" s="212">
        <f t="shared" si="184"/>
        <v>0</v>
      </c>
      <c r="M158" s="212">
        <f t="shared" si="185"/>
        <v>7.27</v>
      </c>
      <c r="N158" s="212">
        <f t="shared" si="186"/>
        <v>0</v>
      </c>
      <c r="O158" s="213">
        <f t="shared" si="187"/>
        <v>8.8699999999999992</v>
      </c>
      <c r="P158" s="213">
        <f t="shared" si="188"/>
        <v>0</v>
      </c>
      <c r="Q158" s="3"/>
      <c r="R158" s="222">
        <f t="shared" si="162"/>
        <v>710</v>
      </c>
      <c r="AK158" s="141">
        <f t="shared" si="163"/>
        <v>709.59999999999991</v>
      </c>
    </row>
    <row r="159" spans="1:37" outlineLevel="1">
      <c r="A159" s="147"/>
      <c r="B159" s="188" t="s">
        <v>30</v>
      </c>
      <c r="C159" s="190" t="s">
        <v>23</v>
      </c>
      <c r="D159" s="190"/>
      <c r="E159" s="188">
        <v>11080831001</v>
      </c>
      <c r="F159" s="210" t="s">
        <v>150</v>
      </c>
      <c r="G159" s="211"/>
      <c r="H159" s="190" t="s">
        <v>65</v>
      </c>
      <c r="I159" s="190">
        <v>10</v>
      </c>
      <c r="J159" s="212">
        <v>8.8699999999999992</v>
      </c>
      <c r="K159" s="212">
        <f t="shared" ref="K159:K167" si="189">ROUND((J159*$C$3),2)</f>
        <v>10.82</v>
      </c>
      <c r="L159" s="212">
        <f t="shared" si="184"/>
        <v>0</v>
      </c>
      <c r="M159" s="212">
        <f t="shared" ref="M159:M167" si="190">J159*(1-$E$5-$E$7)*(1-$E$9)*(1+$E$11)</f>
        <v>8.8699999999999992</v>
      </c>
      <c r="N159" s="212">
        <f t="shared" si="186"/>
        <v>0</v>
      </c>
      <c r="O159" s="213">
        <f t="shared" ref="O159:O167" si="191">ROUND((M159*$C$3),2)</f>
        <v>10.82</v>
      </c>
      <c r="P159" s="213">
        <f t="shared" si="188"/>
        <v>0</v>
      </c>
      <c r="Q159" s="3"/>
      <c r="R159" s="222">
        <f t="shared" si="162"/>
        <v>866</v>
      </c>
      <c r="AK159" s="141">
        <f t="shared" si="163"/>
        <v>865.6</v>
      </c>
    </row>
    <row r="160" spans="1:37" outlineLevel="1">
      <c r="A160" s="147"/>
      <c r="B160" s="188" t="s">
        <v>30</v>
      </c>
      <c r="C160" s="190" t="s">
        <v>23</v>
      </c>
      <c r="D160" s="190"/>
      <c r="E160" s="256">
        <v>11080841001</v>
      </c>
      <c r="F160" s="243" t="s">
        <v>151</v>
      </c>
      <c r="G160" s="211"/>
      <c r="H160" s="190" t="s">
        <v>65</v>
      </c>
      <c r="I160" s="190">
        <v>10</v>
      </c>
      <c r="J160" s="212">
        <v>9.73</v>
      </c>
      <c r="K160" s="212">
        <f t="shared" si="189"/>
        <v>11.87</v>
      </c>
      <c r="L160" s="212">
        <f t="shared" si="184"/>
        <v>0</v>
      </c>
      <c r="M160" s="212">
        <f t="shared" si="190"/>
        <v>9.73</v>
      </c>
      <c r="N160" s="212">
        <f t="shared" si="186"/>
        <v>0</v>
      </c>
      <c r="O160" s="213">
        <f t="shared" si="191"/>
        <v>11.87</v>
      </c>
      <c r="P160" s="213">
        <f t="shared" si="188"/>
        <v>0</v>
      </c>
      <c r="Q160" s="3"/>
      <c r="R160" s="222">
        <f t="shared" si="162"/>
        <v>950</v>
      </c>
      <c r="AK160" s="141">
        <f t="shared" si="163"/>
        <v>949.6</v>
      </c>
    </row>
    <row r="161" spans="1:37" outlineLevel="1">
      <c r="A161" s="147"/>
      <c r="B161" s="188" t="s">
        <v>30</v>
      </c>
      <c r="C161" s="190" t="s">
        <v>23</v>
      </c>
      <c r="D161" s="190"/>
      <c r="E161" s="188">
        <v>11080851001</v>
      </c>
      <c r="F161" s="210" t="s">
        <v>152</v>
      </c>
      <c r="G161" s="211"/>
      <c r="H161" s="190" t="s">
        <v>65</v>
      </c>
      <c r="I161" s="190">
        <v>10</v>
      </c>
      <c r="J161" s="212">
        <v>9.73</v>
      </c>
      <c r="K161" s="212">
        <f t="shared" si="189"/>
        <v>11.87</v>
      </c>
      <c r="L161" s="212">
        <f t="shared" si="184"/>
        <v>0</v>
      </c>
      <c r="M161" s="212">
        <f t="shared" si="190"/>
        <v>9.73</v>
      </c>
      <c r="N161" s="212">
        <f t="shared" si="186"/>
        <v>0</v>
      </c>
      <c r="O161" s="213">
        <f t="shared" si="191"/>
        <v>11.87</v>
      </c>
      <c r="P161" s="213">
        <f t="shared" si="188"/>
        <v>0</v>
      </c>
      <c r="Q161" s="3"/>
      <c r="R161" s="222">
        <f t="shared" si="162"/>
        <v>950</v>
      </c>
      <c r="AK161" s="141">
        <f t="shared" si="163"/>
        <v>949.6</v>
      </c>
    </row>
    <row r="162" spans="1:37" outlineLevel="1">
      <c r="A162" s="147"/>
      <c r="B162" s="188" t="s">
        <v>30</v>
      </c>
      <c r="C162" s="190" t="s">
        <v>23</v>
      </c>
      <c r="D162" s="190"/>
      <c r="E162" s="256">
        <v>11080861001</v>
      </c>
      <c r="F162" s="243" t="s">
        <v>153</v>
      </c>
      <c r="G162" s="211"/>
      <c r="H162" s="190" t="s">
        <v>65</v>
      </c>
      <c r="I162" s="259">
        <v>3</v>
      </c>
      <c r="J162" s="212">
        <v>19.600000000000001</v>
      </c>
      <c r="K162" s="212">
        <f t="shared" si="189"/>
        <v>23.91</v>
      </c>
      <c r="L162" s="212">
        <f t="shared" si="184"/>
        <v>0</v>
      </c>
      <c r="M162" s="212">
        <f t="shared" si="190"/>
        <v>19.600000000000001</v>
      </c>
      <c r="N162" s="212">
        <f t="shared" si="186"/>
        <v>0</v>
      </c>
      <c r="O162" s="213">
        <f t="shared" si="191"/>
        <v>23.91</v>
      </c>
      <c r="P162" s="213">
        <f t="shared" si="188"/>
        <v>0</v>
      </c>
      <c r="Q162" s="3"/>
      <c r="R162" s="222">
        <f t="shared" si="162"/>
        <v>1913</v>
      </c>
      <c r="AK162" s="141">
        <f t="shared" si="163"/>
        <v>1912.8000000000002</v>
      </c>
    </row>
    <row r="163" spans="1:37" outlineLevel="1">
      <c r="A163" s="147"/>
      <c r="B163" s="188" t="s">
        <v>30</v>
      </c>
      <c r="C163" s="190" t="s">
        <v>23</v>
      </c>
      <c r="D163" s="190"/>
      <c r="E163" s="255">
        <v>11080871001</v>
      </c>
      <c r="F163" s="243" t="s">
        <v>154</v>
      </c>
      <c r="G163" s="211"/>
      <c r="H163" s="190" t="s">
        <v>65</v>
      </c>
      <c r="I163" s="259">
        <v>3</v>
      </c>
      <c r="J163" s="212">
        <v>19.600000000000001</v>
      </c>
      <c r="K163" s="212">
        <f t="shared" si="189"/>
        <v>23.91</v>
      </c>
      <c r="L163" s="212">
        <f t="shared" si="184"/>
        <v>0</v>
      </c>
      <c r="M163" s="212">
        <f t="shared" si="190"/>
        <v>19.600000000000001</v>
      </c>
      <c r="N163" s="212">
        <f t="shared" si="186"/>
        <v>0</v>
      </c>
      <c r="O163" s="213">
        <f t="shared" si="191"/>
        <v>23.91</v>
      </c>
      <c r="P163" s="213">
        <f t="shared" si="188"/>
        <v>0</v>
      </c>
      <c r="Q163" s="3"/>
      <c r="R163" s="222">
        <f t="shared" si="162"/>
        <v>1913</v>
      </c>
      <c r="AK163" s="141">
        <f t="shared" si="163"/>
        <v>1912.8000000000002</v>
      </c>
    </row>
    <row r="164" spans="1:37" outlineLevel="1">
      <c r="A164" s="147"/>
      <c r="B164" s="188" t="s">
        <v>30</v>
      </c>
      <c r="C164" s="190" t="s">
        <v>23</v>
      </c>
      <c r="D164" s="190"/>
      <c r="E164" s="255">
        <v>11080891001</v>
      </c>
      <c r="F164" s="243" t="s">
        <v>155</v>
      </c>
      <c r="G164" s="211"/>
      <c r="H164" s="190" t="s">
        <v>65</v>
      </c>
      <c r="I164" s="259">
        <v>3</v>
      </c>
      <c r="J164" s="212">
        <v>19.600000000000001</v>
      </c>
      <c r="K164" s="212">
        <f t="shared" ref="K164:K165" si="192">ROUND((J164*$C$3),2)</f>
        <v>23.91</v>
      </c>
      <c r="L164" s="212">
        <f t="shared" si="184"/>
        <v>0</v>
      </c>
      <c r="M164" s="212">
        <f t="shared" ref="M164:M165" si="193">J164*(1-$E$5-$E$7)*(1-$E$9)*(1+$E$11)</f>
        <v>19.600000000000001</v>
      </c>
      <c r="N164" s="212">
        <f t="shared" si="186"/>
        <v>0</v>
      </c>
      <c r="O164" s="213">
        <f t="shared" ref="O164:O165" si="194">ROUND((M164*$C$3),2)</f>
        <v>23.91</v>
      </c>
      <c r="P164" s="213">
        <f t="shared" si="188"/>
        <v>0</v>
      </c>
      <c r="Q164" s="3"/>
      <c r="R164" s="222">
        <f t="shared" ref="R164:R165" si="195">ROUND(AK164,0)</f>
        <v>1913</v>
      </c>
      <c r="AK164" s="141">
        <f t="shared" ref="AK164:AK165" si="196">K164*$AK$11*(1-$AK$10)</f>
        <v>1912.8000000000002</v>
      </c>
    </row>
    <row r="165" spans="1:37" outlineLevel="1">
      <c r="A165" s="147"/>
      <c r="B165" s="188" t="s">
        <v>30</v>
      </c>
      <c r="C165" s="190" t="s">
        <v>23</v>
      </c>
      <c r="D165" s="190"/>
      <c r="E165" s="255">
        <v>11080911001</v>
      </c>
      <c r="F165" s="243" t="s">
        <v>156</v>
      </c>
      <c r="G165" s="211"/>
      <c r="H165" s="190" t="s">
        <v>65</v>
      </c>
      <c r="I165" s="259">
        <v>3</v>
      </c>
      <c r="J165" s="212">
        <v>19.600000000000001</v>
      </c>
      <c r="K165" s="212">
        <f t="shared" si="192"/>
        <v>23.91</v>
      </c>
      <c r="L165" s="212">
        <f t="shared" si="184"/>
        <v>0</v>
      </c>
      <c r="M165" s="212">
        <f t="shared" si="193"/>
        <v>19.600000000000001</v>
      </c>
      <c r="N165" s="212">
        <f t="shared" si="186"/>
        <v>0</v>
      </c>
      <c r="O165" s="213">
        <f t="shared" si="194"/>
        <v>23.91</v>
      </c>
      <c r="P165" s="213">
        <f t="shared" si="188"/>
        <v>0</v>
      </c>
      <c r="Q165" s="3"/>
      <c r="R165" s="222">
        <f t="shared" si="195"/>
        <v>1913</v>
      </c>
      <c r="AK165" s="141">
        <f t="shared" si="196"/>
        <v>1912.8000000000002</v>
      </c>
    </row>
    <row r="166" spans="1:37" outlineLevel="1">
      <c r="A166" s="147"/>
      <c r="B166" s="188" t="s">
        <v>30</v>
      </c>
      <c r="C166" s="190" t="s">
        <v>23</v>
      </c>
      <c r="D166" s="190"/>
      <c r="E166" s="188">
        <v>11080921001</v>
      </c>
      <c r="F166" s="210" t="s">
        <v>157</v>
      </c>
      <c r="G166" s="211"/>
      <c r="H166" s="190" t="s">
        <v>65</v>
      </c>
      <c r="I166" s="190">
        <v>2</v>
      </c>
      <c r="J166" s="212">
        <v>40.68</v>
      </c>
      <c r="K166" s="212">
        <f t="shared" si="189"/>
        <v>49.63</v>
      </c>
      <c r="L166" s="212">
        <f t="shared" si="184"/>
        <v>0</v>
      </c>
      <c r="M166" s="212">
        <f t="shared" si="190"/>
        <v>40.68</v>
      </c>
      <c r="N166" s="212">
        <f t="shared" si="186"/>
        <v>0</v>
      </c>
      <c r="O166" s="213">
        <f t="shared" si="191"/>
        <v>49.63</v>
      </c>
      <c r="P166" s="213">
        <f t="shared" si="188"/>
        <v>0</v>
      </c>
      <c r="Q166" s="3"/>
      <c r="R166" s="222">
        <f t="shared" si="162"/>
        <v>3970</v>
      </c>
      <c r="AK166" s="141">
        <f t="shared" si="163"/>
        <v>3970.4</v>
      </c>
    </row>
    <row r="167" spans="1:37" outlineLevel="1">
      <c r="A167" s="147"/>
      <c r="B167" s="188" t="s">
        <v>30</v>
      </c>
      <c r="C167" s="190" t="s">
        <v>23</v>
      </c>
      <c r="D167" s="190"/>
      <c r="E167" s="256">
        <v>11092901001</v>
      </c>
      <c r="F167" s="243" t="s">
        <v>158</v>
      </c>
      <c r="G167" s="211"/>
      <c r="H167" s="190" t="s">
        <v>65</v>
      </c>
      <c r="I167" s="190">
        <v>1</v>
      </c>
      <c r="J167" s="212">
        <v>114.61</v>
      </c>
      <c r="K167" s="212">
        <f t="shared" si="189"/>
        <v>139.82</v>
      </c>
      <c r="L167" s="212">
        <f t="shared" si="184"/>
        <v>0</v>
      </c>
      <c r="M167" s="212">
        <f t="shared" si="190"/>
        <v>114.61</v>
      </c>
      <c r="N167" s="212">
        <f t="shared" si="186"/>
        <v>0</v>
      </c>
      <c r="O167" s="213">
        <f t="shared" si="191"/>
        <v>139.82</v>
      </c>
      <c r="P167" s="213">
        <f t="shared" si="188"/>
        <v>0</v>
      </c>
      <c r="Q167" s="3"/>
      <c r="R167" s="222">
        <f t="shared" si="162"/>
        <v>11186</v>
      </c>
      <c r="AK167" s="141">
        <f t="shared" si="163"/>
        <v>11185.6</v>
      </c>
    </row>
    <row r="168" spans="1:37" outlineLevel="1">
      <c r="A168" s="147"/>
      <c r="B168" s="188"/>
      <c r="C168" s="215"/>
      <c r="D168" s="215"/>
      <c r="E168" s="217"/>
      <c r="F168" s="249"/>
      <c r="G168" s="211"/>
      <c r="H168" s="215"/>
      <c r="I168" s="215"/>
      <c r="J168" s="220"/>
      <c r="K168" s="220"/>
      <c r="L168" s="220"/>
      <c r="M168" s="220"/>
      <c r="N168" s="220"/>
      <c r="O168" s="221"/>
      <c r="P168" s="221"/>
      <c r="Q168" s="3"/>
      <c r="R168" s="222"/>
      <c r="AK168" s="141"/>
    </row>
    <row r="169" spans="1:37" ht="30.6" outlineLevel="1">
      <c r="A169" s="148" t="s">
        <v>25</v>
      </c>
      <c r="B169" s="208" t="s">
        <v>26</v>
      </c>
      <c r="C169" s="190" t="s">
        <v>23</v>
      </c>
      <c r="D169" s="190"/>
      <c r="E169" s="188">
        <v>11600711001</v>
      </c>
      <c r="F169" s="210" t="s">
        <v>159</v>
      </c>
      <c r="G169" s="211"/>
      <c r="H169" s="190" t="s">
        <v>65</v>
      </c>
      <c r="I169" s="190">
        <v>10</v>
      </c>
      <c r="J169" s="212">
        <v>4.8199999999999994</v>
      </c>
      <c r="K169" s="212">
        <f t="shared" si="107"/>
        <v>5.88</v>
      </c>
      <c r="L169" s="212">
        <f>K169*G169</f>
        <v>0</v>
      </c>
      <c r="M169" s="212">
        <f t="shared" si="108"/>
        <v>4.8199999999999994</v>
      </c>
      <c r="N169" s="212">
        <f>M169*G169</f>
        <v>0</v>
      </c>
      <c r="O169" s="213">
        <f t="shared" si="109"/>
        <v>5.88</v>
      </c>
      <c r="P169" s="213">
        <f>O169*G169</f>
        <v>0</v>
      </c>
      <c r="Q169" s="3"/>
      <c r="R169" s="214">
        <f t="shared" si="162"/>
        <v>470</v>
      </c>
      <c r="AK169" s="141">
        <f t="shared" si="163"/>
        <v>470.40000000000003</v>
      </c>
    </row>
    <row r="170" spans="1:37" ht="30.6" outlineLevel="1">
      <c r="A170" s="148" t="s">
        <v>25</v>
      </c>
      <c r="B170" s="208" t="s">
        <v>26</v>
      </c>
      <c r="C170" s="190" t="s">
        <v>23</v>
      </c>
      <c r="D170" s="190"/>
      <c r="E170" s="188">
        <v>11600731001</v>
      </c>
      <c r="F170" s="210" t="s">
        <v>160</v>
      </c>
      <c r="G170" s="211"/>
      <c r="H170" s="190" t="s">
        <v>65</v>
      </c>
      <c r="I170" s="190">
        <v>10</v>
      </c>
      <c r="J170" s="212">
        <v>3.59</v>
      </c>
      <c r="K170" s="212">
        <f t="shared" si="107"/>
        <v>4.38</v>
      </c>
      <c r="L170" s="212">
        <f>K170*G170</f>
        <v>0</v>
      </c>
      <c r="M170" s="212">
        <f t="shared" si="108"/>
        <v>3.59</v>
      </c>
      <c r="N170" s="212">
        <f>M170*G170</f>
        <v>0</v>
      </c>
      <c r="O170" s="213">
        <f t="shared" si="109"/>
        <v>4.38</v>
      </c>
      <c r="P170" s="213">
        <f>O170*G170</f>
        <v>0</v>
      </c>
      <c r="Q170" s="3"/>
      <c r="R170" s="214">
        <f t="shared" si="162"/>
        <v>350</v>
      </c>
      <c r="AK170" s="141">
        <f t="shared" si="163"/>
        <v>350.40000000000003</v>
      </c>
    </row>
    <row r="171" spans="1:37" ht="30.6" outlineLevel="1">
      <c r="A171" s="148" t="s">
        <v>25</v>
      </c>
      <c r="B171" s="208" t="s">
        <v>26</v>
      </c>
      <c r="C171" s="190" t="s">
        <v>23</v>
      </c>
      <c r="D171" s="190"/>
      <c r="E171" s="188">
        <v>11600741001</v>
      </c>
      <c r="F171" s="210" t="s">
        <v>161</v>
      </c>
      <c r="G171" s="211"/>
      <c r="H171" s="190" t="s">
        <v>65</v>
      </c>
      <c r="I171" s="190">
        <v>3</v>
      </c>
      <c r="J171" s="212">
        <v>6.3999999999999995</v>
      </c>
      <c r="K171" s="212">
        <f t="shared" si="107"/>
        <v>7.81</v>
      </c>
      <c r="L171" s="212">
        <f>K171*G171</f>
        <v>0</v>
      </c>
      <c r="M171" s="212">
        <f t="shared" si="108"/>
        <v>6.3999999999999995</v>
      </c>
      <c r="N171" s="212">
        <f>M171*G171</f>
        <v>0</v>
      </c>
      <c r="O171" s="213">
        <f t="shared" si="109"/>
        <v>7.81</v>
      </c>
      <c r="P171" s="213">
        <f>O171*G171</f>
        <v>0</v>
      </c>
      <c r="Q171" s="3"/>
      <c r="R171" s="214">
        <f t="shared" si="162"/>
        <v>625</v>
      </c>
      <c r="AK171" s="141">
        <f t="shared" si="163"/>
        <v>624.80000000000007</v>
      </c>
    </row>
    <row r="172" spans="1:37" outlineLevel="1">
      <c r="A172" s="147"/>
      <c r="B172" s="260"/>
      <c r="C172" s="215"/>
      <c r="D172" s="215"/>
      <c r="E172" s="217"/>
      <c r="F172" s="218"/>
      <c r="G172" s="211"/>
      <c r="H172" s="215"/>
      <c r="I172" s="215"/>
      <c r="J172" s="220"/>
      <c r="K172" s="220"/>
      <c r="L172" s="220"/>
      <c r="M172" s="220"/>
      <c r="N172" s="220"/>
      <c r="O172" s="221"/>
      <c r="P172" s="221"/>
      <c r="Q172" s="3"/>
      <c r="R172" s="222"/>
      <c r="AK172" s="141"/>
    </row>
    <row r="173" spans="1:37" ht="30.6" outlineLevel="1">
      <c r="A173" s="148" t="s">
        <v>25</v>
      </c>
      <c r="B173" s="208" t="s">
        <v>26</v>
      </c>
      <c r="C173" s="190" t="s">
        <v>23</v>
      </c>
      <c r="D173" s="190"/>
      <c r="E173" s="261">
        <v>13777401001</v>
      </c>
      <c r="F173" s="258" t="s">
        <v>162</v>
      </c>
      <c r="G173" s="211"/>
      <c r="H173" s="190" t="s">
        <v>65</v>
      </c>
      <c r="I173" s="190">
        <v>10</v>
      </c>
      <c r="J173" s="212">
        <v>9.2200000000000006</v>
      </c>
      <c r="K173" s="212">
        <f t="shared" ref="K173:K255" si="197">ROUND((J173*$C$3),2)</f>
        <v>11.25</v>
      </c>
      <c r="L173" s="212">
        <f>K173*G173</f>
        <v>0</v>
      </c>
      <c r="M173" s="212">
        <f t="shared" ref="M173:M255" si="198">J173*(1-$E$5-$E$7)*(1-$E$9)*(1+$E$11)</f>
        <v>9.2200000000000006</v>
      </c>
      <c r="N173" s="212">
        <f>M173*G173</f>
        <v>0</v>
      </c>
      <c r="O173" s="213">
        <f t="shared" ref="O173:O255" si="199">ROUND((M173*$C$3),2)</f>
        <v>11.25</v>
      </c>
      <c r="P173" s="213">
        <f>O173*G173</f>
        <v>0</v>
      </c>
      <c r="Q173" s="3"/>
      <c r="R173" s="214">
        <f t="shared" si="162"/>
        <v>900</v>
      </c>
      <c r="AK173" s="141">
        <f t="shared" si="163"/>
        <v>900</v>
      </c>
    </row>
    <row r="174" spans="1:37" outlineLevel="1">
      <c r="A174" s="147"/>
      <c r="B174" s="188"/>
      <c r="C174" s="215"/>
      <c r="D174" s="215"/>
      <c r="E174" s="262"/>
      <c r="F174" s="249"/>
      <c r="G174" s="211"/>
      <c r="H174" s="215"/>
      <c r="I174" s="215"/>
      <c r="J174" s="220"/>
      <c r="K174" s="220"/>
      <c r="L174" s="220"/>
      <c r="M174" s="220"/>
      <c r="N174" s="220"/>
      <c r="O174" s="221"/>
      <c r="P174" s="221"/>
      <c r="Q174" s="3"/>
      <c r="R174" s="222"/>
      <c r="AK174" s="141"/>
    </row>
    <row r="175" spans="1:37" ht="30.6" outlineLevel="1">
      <c r="A175" s="148" t="s">
        <v>25</v>
      </c>
      <c r="B175" s="208" t="s">
        <v>26</v>
      </c>
      <c r="C175" s="190" t="s">
        <v>23</v>
      </c>
      <c r="D175" s="190"/>
      <c r="E175" s="188">
        <v>11600821001</v>
      </c>
      <c r="F175" s="210" t="s">
        <v>163</v>
      </c>
      <c r="G175" s="211"/>
      <c r="H175" s="190" t="s">
        <v>65</v>
      </c>
      <c r="I175" s="190">
        <v>10</v>
      </c>
      <c r="J175" s="212">
        <v>2.1999999999999997</v>
      </c>
      <c r="K175" s="212">
        <f t="shared" si="197"/>
        <v>2.68</v>
      </c>
      <c r="L175" s="212">
        <f>K175*G175</f>
        <v>0</v>
      </c>
      <c r="M175" s="212">
        <f t="shared" si="198"/>
        <v>2.1999999999999997</v>
      </c>
      <c r="N175" s="212">
        <f>M175*G175</f>
        <v>0</v>
      </c>
      <c r="O175" s="213">
        <f t="shared" si="199"/>
        <v>2.68</v>
      </c>
      <c r="P175" s="213">
        <f>O175*G175</f>
        <v>0</v>
      </c>
      <c r="Q175" s="3"/>
      <c r="R175" s="214">
        <f t="shared" si="162"/>
        <v>214</v>
      </c>
      <c r="AK175" s="141">
        <f t="shared" si="163"/>
        <v>214.4</v>
      </c>
    </row>
    <row r="176" spans="1:37" ht="30.6" outlineLevel="1">
      <c r="A176" s="148" t="s">
        <v>25</v>
      </c>
      <c r="B176" s="208" t="s">
        <v>26</v>
      </c>
      <c r="C176" s="190" t="s">
        <v>23</v>
      </c>
      <c r="D176" s="190"/>
      <c r="E176" s="188">
        <v>11600861001</v>
      </c>
      <c r="F176" s="210" t="s">
        <v>164</v>
      </c>
      <c r="G176" s="211"/>
      <c r="H176" s="190" t="s">
        <v>65</v>
      </c>
      <c r="I176" s="190">
        <v>3</v>
      </c>
      <c r="J176" s="212">
        <v>10.33</v>
      </c>
      <c r="K176" s="212">
        <f t="shared" si="197"/>
        <v>12.6</v>
      </c>
      <c r="L176" s="212">
        <f>K176*G176</f>
        <v>0</v>
      </c>
      <c r="M176" s="212">
        <f t="shared" si="198"/>
        <v>10.33</v>
      </c>
      <c r="N176" s="212">
        <f>M176*G176</f>
        <v>0</v>
      </c>
      <c r="O176" s="213">
        <f t="shared" si="199"/>
        <v>12.6</v>
      </c>
      <c r="P176" s="213">
        <f>O176*G176</f>
        <v>0</v>
      </c>
      <c r="Q176" s="3"/>
      <c r="R176" s="214">
        <f t="shared" si="162"/>
        <v>1008</v>
      </c>
      <c r="AK176" s="141">
        <f t="shared" si="163"/>
        <v>1008</v>
      </c>
    </row>
    <row r="177" spans="1:37" ht="30.6" outlineLevel="1">
      <c r="A177" s="148" t="s">
        <v>25</v>
      </c>
      <c r="B177" s="208" t="s">
        <v>26</v>
      </c>
      <c r="C177" s="190" t="s">
        <v>23</v>
      </c>
      <c r="D177" s="190"/>
      <c r="E177" s="188">
        <v>11600871001</v>
      </c>
      <c r="F177" s="210" t="s">
        <v>165</v>
      </c>
      <c r="G177" s="211"/>
      <c r="H177" s="190" t="s">
        <v>65</v>
      </c>
      <c r="I177" s="190">
        <v>3</v>
      </c>
      <c r="J177" s="212">
        <v>10.6</v>
      </c>
      <c r="K177" s="212">
        <f t="shared" si="197"/>
        <v>12.93</v>
      </c>
      <c r="L177" s="212">
        <f>K177*G177</f>
        <v>0</v>
      </c>
      <c r="M177" s="212">
        <f t="shared" si="198"/>
        <v>10.6</v>
      </c>
      <c r="N177" s="212">
        <f>M177*G177</f>
        <v>0</v>
      </c>
      <c r="O177" s="213">
        <f t="shared" si="199"/>
        <v>12.93</v>
      </c>
      <c r="P177" s="213">
        <f>O177*G177</f>
        <v>0</v>
      </c>
      <c r="Q177" s="3"/>
      <c r="R177" s="214">
        <f t="shared" si="162"/>
        <v>1034</v>
      </c>
      <c r="AK177" s="141">
        <f t="shared" si="163"/>
        <v>1034.4000000000001</v>
      </c>
    </row>
    <row r="178" spans="1:37" ht="30.6" outlineLevel="1">
      <c r="A178" s="148" t="s">
        <v>25</v>
      </c>
      <c r="B178" s="208" t="s">
        <v>26</v>
      </c>
      <c r="C178" s="190" t="s">
        <v>23</v>
      </c>
      <c r="D178" s="190"/>
      <c r="E178" s="188">
        <v>11600891001</v>
      </c>
      <c r="F178" s="210" t="s">
        <v>166</v>
      </c>
      <c r="G178" s="211"/>
      <c r="H178" s="190" t="s">
        <v>65</v>
      </c>
      <c r="I178" s="190">
        <v>3</v>
      </c>
      <c r="J178" s="212">
        <v>5.42</v>
      </c>
      <c r="K178" s="212">
        <f t="shared" si="197"/>
        <v>6.61</v>
      </c>
      <c r="L178" s="212">
        <f>K178*G178</f>
        <v>0</v>
      </c>
      <c r="M178" s="212">
        <f t="shared" si="198"/>
        <v>5.42</v>
      </c>
      <c r="N178" s="212">
        <f>M178*G178</f>
        <v>0</v>
      </c>
      <c r="O178" s="213">
        <f t="shared" si="199"/>
        <v>6.61</v>
      </c>
      <c r="P178" s="213">
        <f>O178*G178</f>
        <v>0</v>
      </c>
      <c r="Q178" s="3"/>
      <c r="R178" s="214">
        <f t="shared" si="162"/>
        <v>529</v>
      </c>
      <c r="AK178" s="141">
        <f t="shared" si="163"/>
        <v>528.80000000000007</v>
      </c>
    </row>
    <row r="179" spans="1:37" outlineLevel="1">
      <c r="A179" s="147"/>
      <c r="B179" s="240"/>
      <c r="C179" s="247"/>
      <c r="D179" s="238"/>
      <c r="E179" s="188"/>
      <c r="F179" s="210"/>
      <c r="G179" s="211"/>
      <c r="H179" s="190"/>
      <c r="I179" s="190"/>
      <c r="J179" s="212"/>
      <c r="K179" s="212"/>
      <c r="L179" s="212"/>
      <c r="M179" s="212"/>
      <c r="N179" s="212"/>
      <c r="O179" s="213"/>
      <c r="P179" s="213"/>
      <c r="Q179" s="3"/>
      <c r="R179" s="222"/>
      <c r="AK179" s="141"/>
    </row>
    <row r="180" spans="1:37" ht="30.6" outlineLevel="1">
      <c r="A180" s="148" t="s">
        <v>25</v>
      </c>
      <c r="B180" s="208" t="s">
        <v>26</v>
      </c>
      <c r="C180" s="238" t="s">
        <v>23</v>
      </c>
      <c r="D180" s="238">
        <v>13660121001</v>
      </c>
      <c r="E180" s="188">
        <v>14562901001</v>
      </c>
      <c r="F180" s="210" t="s">
        <v>167</v>
      </c>
      <c r="G180" s="211"/>
      <c r="H180" s="190" t="s">
        <v>65</v>
      </c>
      <c r="I180" s="190">
        <v>1</v>
      </c>
      <c r="J180" s="212">
        <v>138</v>
      </c>
      <c r="K180" s="212">
        <f t="shared" si="197"/>
        <v>168.36</v>
      </c>
      <c r="L180" s="212">
        <f>K180*G180</f>
        <v>0</v>
      </c>
      <c r="M180" s="212">
        <f t="shared" si="198"/>
        <v>138</v>
      </c>
      <c r="N180" s="212">
        <f>M180*G180</f>
        <v>0</v>
      </c>
      <c r="O180" s="213">
        <f t="shared" si="199"/>
        <v>168.36</v>
      </c>
      <c r="P180" s="213">
        <f>O180*G180</f>
        <v>0</v>
      </c>
      <c r="Q180" s="3"/>
      <c r="R180" s="214">
        <f t="shared" si="162"/>
        <v>13469</v>
      </c>
      <c r="AK180" s="141">
        <f t="shared" si="163"/>
        <v>13468.800000000001</v>
      </c>
    </row>
    <row r="181" spans="1:37" outlineLevel="1">
      <c r="A181" s="147"/>
      <c r="B181" s="240"/>
      <c r="C181" s="247"/>
      <c r="D181" s="238"/>
      <c r="E181" s="188"/>
      <c r="F181" s="210"/>
      <c r="G181" s="211"/>
      <c r="H181" s="190"/>
      <c r="I181" s="190"/>
      <c r="J181" s="212"/>
      <c r="K181" s="212"/>
      <c r="L181" s="212"/>
      <c r="M181" s="212"/>
      <c r="N181" s="212"/>
      <c r="O181" s="213"/>
      <c r="P181" s="213"/>
      <c r="Q181" s="3"/>
      <c r="R181" s="222"/>
      <c r="AK181" s="141"/>
    </row>
    <row r="182" spans="1:37" ht="30.6" outlineLevel="1">
      <c r="A182" s="148" t="s">
        <v>25</v>
      </c>
      <c r="B182" s="208" t="s">
        <v>26</v>
      </c>
      <c r="C182" s="190" t="s">
        <v>23</v>
      </c>
      <c r="D182" s="190"/>
      <c r="E182" s="188">
        <v>13777421001</v>
      </c>
      <c r="F182" s="210" t="s">
        <v>168</v>
      </c>
      <c r="G182" s="211"/>
      <c r="H182" s="190" t="s">
        <v>65</v>
      </c>
      <c r="I182" s="190">
        <v>10</v>
      </c>
      <c r="J182" s="212">
        <v>6.7</v>
      </c>
      <c r="K182" s="212">
        <f t="shared" si="197"/>
        <v>8.17</v>
      </c>
      <c r="L182" s="212">
        <f>K182*G182</f>
        <v>0</v>
      </c>
      <c r="M182" s="212">
        <f t="shared" si="198"/>
        <v>6.7</v>
      </c>
      <c r="N182" s="212">
        <f>M182*G182</f>
        <v>0</v>
      </c>
      <c r="O182" s="213">
        <f t="shared" si="199"/>
        <v>8.17</v>
      </c>
      <c r="P182" s="213">
        <f>O182*G182</f>
        <v>0</v>
      </c>
      <c r="Q182" s="3"/>
      <c r="R182" s="214">
        <f t="shared" si="162"/>
        <v>654</v>
      </c>
      <c r="AK182" s="141">
        <f t="shared" si="163"/>
        <v>653.6</v>
      </c>
    </row>
    <row r="183" spans="1:37" ht="30.6" outlineLevel="1">
      <c r="A183" s="148" t="s">
        <v>25</v>
      </c>
      <c r="B183" s="208" t="s">
        <v>26</v>
      </c>
      <c r="C183" s="190" t="s">
        <v>23</v>
      </c>
      <c r="D183" s="190"/>
      <c r="E183" s="188">
        <v>13777431001</v>
      </c>
      <c r="F183" s="210" t="s">
        <v>169</v>
      </c>
      <c r="G183" s="211"/>
      <c r="H183" s="190" t="s">
        <v>65</v>
      </c>
      <c r="I183" s="190">
        <v>10</v>
      </c>
      <c r="J183" s="212">
        <v>7.7</v>
      </c>
      <c r="K183" s="212">
        <f t="shared" si="197"/>
        <v>9.39</v>
      </c>
      <c r="L183" s="212">
        <f>K183*G183</f>
        <v>0</v>
      </c>
      <c r="M183" s="212">
        <f t="shared" si="198"/>
        <v>7.7</v>
      </c>
      <c r="N183" s="212">
        <f>M183*G183</f>
        <v>0</v>
      </c>
      <c r="O183" s="213">
        <f t="shared" si="199"/>
        <v>9.39</v>
      </c>
      <c r="P183" s="213">
        <f>O183*G183</f>
        <v>0</v>
      </c>
      <c r="Q183" s="3"/>
      <c r="R183" s="214">
        <f t="shared" si="162"/>
        <v>751</v>
      </c>
      <c r="AK183" s="141">
        <f t="shared" si="163"/>
        <v>751.2</v>
      </c>
    </row>
    <row r="184" spans="1:37" ht="30.6" outlineLevel="1">
      <c r="A184" s="148" t="s">
        <v>25</v>
      </c>
      <c r="B184" s="208" t="s">
        <v>26</v>
      </c>
      <c r="C184" s="190" t="s">
        <v>23</v>
      </c>
      <c r="D184" s="190"/>
      <c r="E184" s="188">
        <v>13777441001</v>
      </c>
      <c r="F184" s="210" t="s">
        <v>170</v>
      </c>
      <c r="G184" s="211"/>
      <c r="H184" s="190" t="s">
        <v>65</v>
      </c>
      <c r="I184" s="190">
        <v>10</v>
      </c>
      <c r="J184" s="212">
        <v>8.14</v>
      </c>
      <c r="K184" s="212">
        <f t="shared" si="197"/>
        <v>9.93</v>
      </c>
      <c r="L184" s="212">
        <f>K184*G184</f>
        <v>0</v>
      </c>
      <c r="M184" s="212">
        <f t="shared" si="198"/>
        <v>8.14</v>
      </c>
      <c r="N184" s="212">
        <f>M184*G184</f>
        <v>0</v>
      </c>
      <c r="O184" s="213">
        <f t="shared" si="199"/>
        <v>9.93</v>
      </c>
      <c r="P184" s="213">
        <f>O184*G184</f>
        <v>0</v>
      </c>
      <c r="Q184" s="3"/>
      <c r="R184" s="214">
        <f t="shared" si="162"/>
        <v>794</v>
      </c>
      <c r="AK184" s="141">
        <f t="shared" si="163"/>
        <v>794.40000000000009</v>
      </c>
    </row>
    <row r="185" spans="1:37" ht="30.6" outlineLevel="1">
      <c r="A185" s="148" t="s">
        <v>25</v>
      </c>
      <c r="B185" s="208" t="s">
        <v>26</v>
      </c>
      <c r="C185" s="190" t="s">
        <v>23</v>
      </c>
      <c r="D185" s="190"/>
      <c r="E185" s="188">
        <v>13777461001</v>
      </c>
      <c r="F185" s="210" t="s">
        <v>171</v>
      </c>
      <c r="G185" s="211"/>
      <c r="H185" s="190" t="s">
        <v>65</v>
      </c>
      <c r="I185" s="190">
        <v>3</v>
      </c>
      <c r="J185" s="212">
        <v>13.74</v>
      </c>
      <c r="K185" s="212">
        <f t="shared" si="197"/>
        <v>16.760000000000002</v>
      </c>
      <c r="L185" s="212">
        <f>K185*G185</f>
        <v>0</v>
      </c>
      <c r="M185" s="212">
        <f t="shared" si="198"/>
        <v>13.74</v>
      </c>
      <c r="N185" s="212">
        <f>M185*G185</f>
        <v>0</v>
      </c>
      <c r="O185" s="213">
        <f t="shared" si="199"/>
        <v>16.760000000000002</v>
      </c>
      <c r="P185" s="213">
        <f>O185*G185</f>
        <v>0</v>
      </c>
      <c r="Q185" s="3"/>
      <c r="R185" s="214">
        <f t="shared" si="162"/>
        <v>1341</v>
      </c>
      <c r="AK185" s="141">
        <f t="shared" si="163"/>
        <v>1340.8000000000002</v>
      </c>
    </row>
    <row r="186" spans="1:37" outlineLevel="1">
      <c r="A186" s="147"/>
      <c r="B186" s="188"/>
      <c r="C186" s="215"/>
      <c r="D186" s="215"/>
      <c r="E186" s="217"/>
      <c r="F186" s="218"/>
      <c r="G186" s="211"/>
      <c r="H186" s="215"/>
      <c r="I186" s="215"/>
      <c r="J186" s="220"/>
      <c r="K186" s="220"/>
      <c r="L186" s="220"/>
      <c r="M186" s="220"/>
      <c r="N186" s="220"/>
      <c r="O186" s="221"/>
      <c r="P186" s="221"/>
      <c r="Q186" s="3"/>
      <c r="R186" s="222"/>
      <c r="AK186" s="141"/>
    </row>
    <row r="187" spans="1:37" outlineLevel="1">
      <c r="A187" s="147"/>
      <c r="B187" s="188" t="s">
        <v>30</v>
      </c>
      <c r="C187" s="190" t="s">
        <v>23</v>
      </c>
      <c r="D187" s="215"/>
      <c r="E187" s="242">
        <v>14571013001</v>
      </c>
      <c r="F187" s="243" t="s">
        <v>172</v>
      </c>
      <c r="G187" s="211"/>
      <c r="H187" s="244" t="s">
        <v>65</v>
      </c>
      <c r="I187" s="244">
        <v>10</v>
      </c>
      <c r="J187" s="245">
        <v>10.06</v>
      </c>
      <c r="K187" s="212">
        <f t="shared" ref="K187:K191" si="200">ROUND((J187*$C$3),2)</f>
        <v>12.27</v>
      </c>
      <c r="L187" s="212">
        <f>K187*G187</f>
        <v>0</v>
      </c>
      <c r="M187" s="212">
        <f t="shared" ref="M187:M191" si="201">J187*(1-$E$5-$E$7)*(1-$E$9)*(1+$E$11)</f>
        <v>10.06</v>
      </c>
      <c r="N187" s="212">
        <f>M187*G187</f>
        <v>0</v>
      </c>
      <c r="O187" s="213">
        <f t="shared" ref="O187:O191" si="202">ROUND((M187*$C$3),2)</f>
        <v>12.27</v>
      </c>
      <c r="P187" s="213">
        <f>O187*G187</f>
        <v>0</v>
      </c>
      <c r="Q187" s="3"/>
      <c r="R187" s="222">
        <f t="shared" ref="R187:R191" si="203">ROUND(AK187,0)</f>
        <v>982</v>
      </c>
      <c r="AK187" s="141">
        <f t="shared" ref="AK187:AK191" si="204">K187*$AK$11*(1-$AK$10)</f>
        <v>981.6</v>
      </c>
    </row>
    <row r="188" spans="1:37" outlineLevel="1">
      <c r="A188" s="147"/>
      <c r="B188" s="188" t="s">
        <v>30</v>
      </c>
      <c r="C188" s="190" t="s">
        <v>23</v>
      </c>
      <c r="D188" s="215"/>
      <c r="E188" s="242">
        <v>14571023001</v>
      </c>
      <c r="F188" s="243" t="s">
        <v>173</v>
      </c>
      <c r="G188" s="211"/>
      <c r="H188" s="244" t="s">
        <v>65</v>
      </c>
      <c r="I188" s="244">
        <v>10</v>
      </c>
      <c r="J188" s="245">
        <v>15.31</v>
      </c>
      <c r="K188" s="212">
        <f t="shared" si="200"/>
        <v>18.68</v>
      </c>
      <c r="L188" s="212">
        <f>K188*G188</f>
        <v>0</v>
      </c>
      <c r="M188" s="212">
        <f t="shared" si="201"/>
        <v>15.31</v>
      </c>
      <c r="N188" s="212">
        <f>M188*G188</f>
        <v>0</v>
      </c>
      <c r="O188" s="213">
        <f t="shared" si="202"/>
        <v>18.68</v>
      </c>
      <c r="P188" s="213">
        <f>O188*G188</f>
        <v>0</v>
      </c>
      <c r="Q188" s="3"/>
      <c r="R188" s="222">
        <f t="shared" si="203"/>
        <v>1494</v>
      </c>
      <c r="AK188" s="141">
        <f t="shared" si="204"/>
        <v>1494.4</v>
      </c>
    </row>
    <row r="189" spans="1:37" outlineLevel="1">
      <c r="A189" s="147"/>
      <c r="B189" s="188" t="s">
        <v>30</v>
      </c>
      <c r="C189" s="190" t="s">
        <v>23</v>
      </c>
      <c r="D189" s="215"/>
      <c r="E189" s="242">
        <v>14571033001</v>
      </c>
      <c r="F189" s="243" t="s">
        <v>174</v>
      </c>
      <c r="G189" s="211"/>
      <c r="H189" s="244" t="s">
        <v>65</v>
      </c>
      <c r="I189" s="244">
        <v>10</v>
      </c>
      <c r="J189" s="245">
        <v>15.31</v>
      </c>
      <c r="K189" s="212">
        <f t="shared" si="200"/>
        <v>18.68</v>
      </c>
      <c r="L189" s="212">
        <f>K189*G189</f>
        <v>0</v>
      </c>
      <c r="M189" s="212">
        <f t="shared" si="201"/>
        <v>15.31</v>
      </c>
      <c r="N189" s="212">
        <f>M189*G189</f>
        <v>0</v>
      </c>
      <c r="O189" s="213">
        <f t="shared" si="202"/>
        <v>18.68</v>
      </c>
      <c r="P189" s="213">
        <f>O189*G189</f>
        <v>0</v>
      </c>
      <c r="Q189" s="3"/>
      <c r="R189" s="222">
        <f t="shared" si="203"/>
        <v>1494</v>
      </c>
      <c r="AK189" s="141">
        <f t="shared" si="204"/>
        <v>1494.4</v>
      </c>
    </row>
    <row r="190" spans="1:37" outlineLevel="1">
      <c r="A190" s="147"/>
      <c r="B190" s="188" t="s">
        <v>30</v>
      </c>
      <c r="C190" s="190" t="s">
        <v>23</v>
      </c>
      <c r="D190" s="215"/>
      <c r="E190" s="242">
        <v>14571043001</v>
      </c>
      <c r="F190" s="243" t="s">
        <v>175</v>
      </c>
      <c r="G190" s="211"/>
      <c r="H190" s="244" t="s">
        <v>65</v>
      </c>
      <c r="I190" s="244">
        <v>10</v>
      </c>
      <c r="J190" s="245">
        <v>15.31</v>
      </c>
      <c r="K190" s="212">
        <f t="shared" si="200"/>
        <v>18.68</v>
      </c>
      <c r="L190" s="212">
        <f>K190*G190</f>
        <v>0</v>
      </c>
      <c r="M190" s="212">
        <f t="shared" si="201"/>
        <v>15.31</v>
      </c>
      <c r="N190" s="212">
        <f>M190*G190</f>
        <v>0</v>
      </c>
      <c r="O190" s="213">
        <f t="shared" si="202"/>
        <v>18.68</v>
      </c>
      <c r="P190" s="213">
        <f>O190*G190</f>
        <v>0</v>
      </c>
      <c r="Q190" s="3"/>
      <c r="R190" s="222">
        <f t="shared" si="203"/>
        <v>1494</v>
      </c>
      <c r="AK190" s="141">
        <f t="shared" si="204"/>
        <v>1494.4</v>
      </c>
    </row>
    <row r="191" spans="1:37" outlineLevel="1">
      <c r="A191" s="150"/>
      <c r="B191" s="188" t="s">
        <v>30</v>
      </c>
      <c r="C191" s="190" t="s">
        <v>23</v>
      </c>
      <c r="D191" s="215"/>
      <c r="E191" s="242">
        <v>14571063001</v>
      </c>
      <c r="F191" s="243" t="s">
        <v>176</v>
      </c>
      <c r="G191" s="211"/>
      <c r="H191" s="244" t="s">
        <v>65</v>
      </c>
      <c r="I191" s="244">
        <v>3</v>
      </c>
      <c r="J191" s="245">
        <v>30.77</v>
      </c>
      <c r="K191" s="212">
        <f t="shared" si="200"/>
        <v>37.54</v>
      </c>
      <c r="L191" s="212">
        <f>K191*G191</f>
        <v>0</v>
      </c>
      <c r="M191" s="212">
        <f t="shared" si="201"/>
        <v>30.77</v>
      </c>
      <c r="N191" s="212">
        <f>M191*G191</f>
        <v>0</v>
      </c>
      <c r="O191" s="213">
        <f t="shared" si="202"/>
        <v>37.54</v>
      </c>
      <c r="P191" s="213">
        <f>O191*G191</f>
        <v>0</v>
      </c>
      <c r="Q191" s="3"/>
      <c r="R191" s="222">
        <f t="shared" si="203"/>
        <v>3003</v>
      </c>
      <c r="AK191" s="141">
        <f t="shared" si="204"/>
        <v>3003.2000000000003</v>
      </c>
    </row>
    <row r="192" spans="1:37" outlineLevel="1">
      <c r="A192" s="147"/>
      <c r="B192" s="188"/>
      <c r="C192" s="215"/>
      <c r="D192" s="215"/>
      <c r="E192" s="217"/>
      <c r="F192" s="218"/>
      <c r="G192" s="211"/>
      <c r="H192" s="215"/>
      <c r="I192" s="215"/>
      <c r="J192" s="220"/>
      <c r="K192" s="220"/>
      <c r="L192" s="220"/>
      <c r="M192" s="220"/>
      <c r="N192" s="220"/>
      <c r="O192" s="221"/>
      <c r="P192" s="221"/>
      <c r="Q192" s="3"/>
      <c r="R192" s="222"/>
      <c r="AK192" s="141"/>
    </row>
    <row r="193" spans="1:37" outlineLevel="1">
      <c r="A193" s="147"/>
      <c r="B193" s="188" t="s">
        <v>30</v>
      </c>
      <c r="C193" s="190" t="s">
        <v>23</v>
      </c>
      <c r="D193" s="190"/>
      <c r="E193" s="188">
        <v>11081011001</v>
      </c>
      <c r="F193" s="210" t="s">
        <v>177</v>
      </c>
      <c r="G193" s="211"/>
      <c r="H193" s="190" t="s">
        <v>65</v>
      </c>
      <c r="I193" s="190">
        <v>10</v>
      </c>
      <c r="J193" s="212">
        <v>6.41</v>
      </c>
      <c r="K193" s="212">
        <f t="shared" ref="K193:K197" si="205">ROUND((J193*$C$3),2)</f>
        <v>7.82</v>
      </c>
      <c r="L193" s="212">
        <f>K193*G193</f>
        <v>0</v>
      </c>
      <c r="M193" s="212">
        <f t="shared" ref="M193:M197" si="206">J193*(1-$E$5-$E$7)*(1-$E$9)*(1+$E$11)</f>
        <v>6.41</v>
      </c>
      <c r="N193" s="212">
        <f>M193*G193</f>
        <v>0</v>
      </c>
      <c r="O193" s="213">
        <f t="shared" ref="O193:O197" si="207">ROUND((M193*$C$3),2)</f>
        <v>7.82</v>
      </c>
      <c r="P193" s="213">
        <f>O193*G193</f>
        <v>0</v>
      </c>
      <c r="Q193" s="3"/>
      <c r="R193" s="222">
        <f t="shared" si="162"/>
        <v>626</v>
      </c>
      <c r="AK193" s="141">
        <f t="shared" si="163"/>
        <v>625.6</v>
      </c>
    </row>
    <row r="194" spans="1:37" outlineLevel="1">
      <c r="A194" s="147"/>
      <c r="B194" s="188" t="s">
        <v>30</v>
      </c>
      <c r="C194" s="190" t="s">
        <v>23</v>
      </c>
      <c r="D194" s="190"/>
      <c r="E194" s="255">
        <v>11081021001</v>
      </c>
      <c r="F194" s="243" t="s">
        <v>178</v>
      </c>
      <c r="G194" s="211"/>
      <c r="H194" s="190" t="s">
        <v>65</v>
      </c>
      <c r="I194" s="259">
        <v>10</v>
      </c>
      <c r="J194" s="212">
        <v>9.57</v>
      </c>
      <c r="K194" s="212">
        <f t="shared" ref="K194" si="208">ROUND((J194*$C$3),2)</f>
        <v>11.68</v>
      </c>
      <c r="L194" s="212">
        <f>K194*G194</f>
        <v>0</v>
      </c>
      <c r="M194" s="212">
        <f t="shared" ref="M194" si="209">J194*(1-$E$5-$E$7)*(1-$E$9)*(1+$E$11)</f>
        <v>9.57</v>
      </c>
      <c r="N194" s="212">
        <f>M194*G194</f>
        <v>0</v>
      </c>
      <c r="O194" s="213">
        <f t="shared" ref="O194" si="210">ROUND((M194*$C$3),2)</f>
        <v>11.68</v>
      </c>
      <c r="P194" s="213">
        <f>O194*G194</f>
        <v>0</v>
      </c>
      <c r="Q194" s="3"/>
      <c r="R194" s="222">
        <f t="shared" ref="R194" si="211">ROUND(AK194,0)</f>
        <v>934</v>
      </c>
      <c r="AK194" s="141">
        <f t="shared" si="163"/>
        <v>934.40000000000009</v>
      </c>
    </row>
    <row r="195" spans="1:37" outlineLevel="1">
      <c r="A195" s="147"/>
      <c r="B195" s="188" t="s">
        <v>30</v>
      </c>
      <c r="C195" s="190" t="s">
        <v>23</v>
      </c>
      <c r="D195" s="190"/>
      <c r="E195" s="256">
        <v>11081031001</v>
      </c>
      <c r="F195" s="243" t="s">
        <v>179</v>
      </c>
      <c r="G195" s="211"/>
      <c r="H195" s="190" t="s">
        <v>65</v>
      </c>
      <c r="I195" s="259">
        <v>10</v>
      </c>
      <c r="J195" s="212">
        <v>9.57</v>
      </c>
      <c r="K195" s="212">
        <f t="shared" ref="K195" si="212">ROUND((J195*$C$3),2)</f>
        <v>11.68</v>
      </c>
      <c r="L195" s="212">
        <f>K195*G195</f>
        <v>0</v>
      </c>
      <c r="M195" s="212">
        <f t="shared" ref="M195" si="213">J195*(1-$E$5-$E$7)*(1-$E$9)*(1+$E$11)</f>
        <v>9.57</v>
      </c>
      <c r="N195" s="212">
        <f>M195*G195</f>
        <v>0</v>
      </c>
      <c r="O195" s="213">
        <f t="shared" ref="O195" si="214">ROUND((M195*$C$3),2)</f>
        <v>11.68</v>
      </c>
      <c r="P195" s="213">
        <f>O195*G195</f>
        <v>0</v>
      </c>
      <c r="Q195" s="3"/>
      <c r="R195" s="222">
        <f t="shared" ref="R195" si="215">ROUND(AK195,0)</f>
        <v>934</v>
      </c>
      <c r="AK195" s="141">
        <f t="shared" si="163"/>
        <v>934.40000000000009</v>
      </c>
    </row>
    <row r="196" spans="1:37" outlineLevel="1">
      <c r="A196" s="147"/>
      <c r="B196" s="188" t="s">
        <v>30</v>
      </c>
      <c r="C196" s="190" t="s">
        <v>23</v>
      </c>
      <c r="D196" s="190"/>
      <c r="E196" s="188">
        <v>11081041001</v>
      </c>
      <c r="F196" s="210" t="s">
        <v>180</v>
      </c>
      <c r="G196" s="211"/>
      <c r="H196" s="190" t="s">
        <v>65</v>
      </c>
      <c r="I196" s="190">
        <v>10</v>
      </c>
      <c r="J196" s="212">
        <v>9.57</v>
      </c>
      <c r="K196" s="212">
        <f t="shared" si="205"/>
        <v>11.68</v>
      </c>
      <c r="L196" s="212">
        <f>K196*G196</f>
        <v>0</v>
      </c>
      <c r="M196" s="212">
        <f t="shared" si="206"/>
        <v>9.57</v>
      </c>
      <c r="N196" s="212">
        <f>M196*G196</f>
        <v>0</v>
      </c>
      <c r="O196" s="213">
        <f t="shared" si="207"/>
        <v>11.68</v>
      </c>
      <c r="P196" s="213">
        <f>O196*G196</f>
        <v>0</v>
      </c>
      <c r="Q196" s="3"/>
      <c r="R196" s="222">
        <f t="shared" si="162"/>
        <v>934</v>
      </c>
      <c r="AK196" s="141">
        <f t="shared" si="163"/>
        <v>934.40000000000009</v>
      </c>
    </row>
    <row r="197" spans="1:37" outlineLevel="1">
      <c r="A197" s="147"/>
      <c r="B197" s="188" t="s">
        <v>30</v>
      </c>
      <c r="C197" s="190" t="s">
        <v>23</v>
      </c>
      <c r="D197" s="190"/>
      <c r="E197" s="246">
        <v>11081061001</v>
      </c>
      <c r="F197" s="243" t="s">
        <v>181</v>
      </c>
      <c r="G197" s="211"/>
      <c r="H197" s="190" t="s">
        <v>65</v>
      </c>
      <c r="I197" s="259">
        <v>3</v>
      </c>
      <c r="J197" s="212">
        <v>19.600000000000001</v>
      </c>
      <c r="K197" s="212">
        <f t="shared" si="205"/>
        <v>23.91</v>
      </c>
      <c r="L197" s="212">
        <f>K197*G197</f>
        <v>0</v>
      </c>
      <c r="M197" s="212">
        <f t="shared" si="206"/>
        <v>19.600000000000001</v>
      </c>
      <c r="N197" s="212">
        <f>M197*G197</f>
        <v>0</v>
      </c>
      <c r="O197" s="213">
        <f t="shared" si="207"/>
        <v>23.91</v>
      </c>
      <c r="P197" s="213">
        <f>O197*G197</f>
        <v>0</v>
      </c>
      <c r="Q197" s="3"/>
      <c r="R197" s="222">
        <f t="shared" si="162"/>
        <v>1913</v>
      </c>
      <c r="AK197" s="141">
        <f t="shared" si="163"/>
        <v>1912.8000000000002</v>
      </c>
    </row>
    <row r="198" spans="1:37" outlineLevel="1">
      <c r="A198" s="147"/>
      <c r="B198" s="188"/>
      <c r="C198" s="190"/>
      <c r="D198" s="190"/>
      <c r="E198" s="259"/>
      <c r="F198" s="243"/>
      <c r="G198" s="211"/>
      <c r="H198" s="190"/>
      <c r="I198" s="190"/>
      <c r="J198" s="212"/>
      <c r="K198" s="212"/>
      <c r="L198" s="212"/>
      <c r="M198" s="212"/>
      <c r="N198" s="212"/>
      <c r="O198" s="213"/>
      <c r="P198" s="213"/>
      <c r="Q198" s="3"/>
      <c r="R198" s="222"/>
      <c r="AK198" s="141"/>
    </row>
    <row r="199" spans="1:37" ht="30.6" outlineLevel="1">
      <c r="A199" s="148" t="s">
        <v>25</v>
      </c>
      <c r="B199" s="208" t="s">
        <v>26</v>
      </c>
      <c r="C199" s="190" t="s">
        <v>23</v>
      </c>
      <c r="D199" s="190"/>
      <c r="E199" s="188">
        <v>11601031001</v>
      </c>
      <c r="F199" s="210" t="s">
        <v>182</v>
      </c>
      <c r="G199" s="211"/>
      <c r="H199" s="190" t="s">
        <v>65</v>
      </c>
      <c r="I199" s="190">
        <v>10</v>
      </c>
      <c r="J199" s="212">
        <v>7.17</v>
      </c>
      <c r="K199" s="212">
        <f t="shared" si="197"/>
        <v>8.75</v>
      </c>
      <c r="L199" s="212">
        <f>K199*G199</f>
        <v>0</v>
      </c>
      <c r="M199" s="212">
        <f t="shared" si="198"/>
        <v>7.17</v>
      </c>
      <c r="N199" s="212">
        <f>M199*G199</f>
        <v>0</v>
      </c>
      <c r="O199" s="213">
        <f t="shared" si="199"/>
        <v>8.75</v>
      </c>
      <c r="P199" s="213">
        <f>O199*G199</f>
        <v>0</v>
      </c>
      <c r="Q199" s="3"/>
      <c r="R199" s="214">
        <f t="shared" ref="R199:R260" si="216">ROUND(AK199,0)</f>
        <v>700</v>
      </c>
      <c r="AK199" s="141">
        <f t="shared" ref="AK199:AK260" si="217">K199*$AK$11*(1-$AK$10)</f>
        <v>700</v>
      </c>
    </row>
    <row r="200" spans="1:37" ht="30.6" outlineLevel="1">
      <c r="A200" s="148" t="s">
        <v>25</v>
      </c>
      <c r="B200" s="208" t="s">
        <v>26</v>
      </c>
      <c r="C200" s="190" t="s">
        <v>23</v>
      </c>
      <c r="D200" s="190"/>
      <c r="E200" s="188">
        <v>11601041001</v>
      </c>
      <c r="F200" s="210" t="s">
        <v>183</v>
      </c>
      <c r="G200" s="211"/>
      <c r="H200" s="190" t="s">
        <v>65</v>
      </c>
      <c r="I200" s="190">
        <v>10</v>
      </c>
      <c r="J200" s="212">
        <v>3.71</v>
      </c>
      <c r="K200" s="212">
        <f t="shared" si="197"/>
        <v>4.53</v>
      </c>
      <c r="L200" s="212">
        <f>K200*G200</f>
        <v>0</v>
      </c>
      <c r="M200" s="212">
        <f t="shared" si="198"/>
        <v>3.71</v>
      </c>
      <c r="N200" s="212">
        <f>M200*G200</f>
        <v>0</v>
      </c>
      <c r="O200" s="213">
        <f t="shared" si="199"/>
        <v>4.53</v>
      </c>
      <c r="P200" s="213">
        <f>O200*G200</f>
        <v>0</v>
      </c>
      <c r="Q200" s="3"/>
      <c r="R200" s="214">
        <f t="shared" si="216"/>
        <v>362</v>
      </c>
      <c r="AK200" s="141">
        <f t="shared" si="217"/>
        <v>362.40000000000003</v>
      </c>
    </row>
    <row r="201" spans="1:37" outlineLevel="1">
      <c r="A201" s="147"/>
      <c r="B201" s="260"/>
      <c r="C201" s="215"/>
      <c r="D201" s="215"/>
      <c r="E201" s="217"/>
      <c r="F201" s="218"/>
      <c r="G201" s="211"/>
      <c r="H201" s="215"/>
      <c r="I201" s="215"/>
      <c r="J201" s="220"/>
      <c r="K201" s="220"/>
      <c r="L201" s="220"/>
      <c r="M201" s="220"/>
      <c r="N201" s="220"/>
      <c r="O201" s="221"/>
      <c r="P201" s="221"/>
      <c r="Q201" s="3"/>
      <c r="R201" s="222"/>
      <c r="AK201" s="141"/>
    </row>
    <row r="202" spans="1:37" outlineLevel="1">
      <c r="A202" s="147"/>
      <c r="B202" s="188" t="s">
        <v>30</v>
      </c>
      <c r="C202" s="190" t="s">
        <v>23</v>
      </c>
      <c r="D202" s="248">
        <v>14562911001</v>
      </c>
      <c r="E202" s="242">
        <v>14562913001</v>
      </c>
      <c r="F202" s="243" t="s">
        <v>184</v>
      </c>
      <c r="G202" s="211"/>
      <c r="H202" s="244" t="s">
        <v>65</v>
      </c>
      <c r="I202" s="244">
        <v>10</v>
      </c>
      <c r="J202" s="245">
        <v>17.559999999999999</v>
      </c>
      <c r="K202" s="212">
        <f t="shared" ref="K202" si="218">ROUND((J202*$C$3),2)</f>
        <v>21.42</v>
      </c>
      <c r="L202" s="212">
        <f>K202*G202</f>
        <v>0</v>
      </c>
      <c r="M202" s="212">
        <f t="shared" ref="M202" si="219">J202*(1-$E$5-$E$7)*(1-$E$9)*(1+$E$11)</f>
        <v>17.559999999999999</v>
      </c>
      <c r="N202" s="212">
        <f>M202*G202</f>
        <v>0</v>
      </c>
      <c r="O202" s="213">
        <f t="shared" ref="O202" si="220">ROUND((M202*$C$3),2)</f>
        <v>21.42</v>
      </c>
      <c r="P202" s="213">
        <f>O202*G202</f>
        <v>0</v>
      </c>
      <c r="Q202" s="3"/>
      <c r="R202" s="222">
        <f t="shared" ref="R202" si="221">ROUND(AK202,0)</f>
        <v>1714</v>
      </c>
      <c r="AK202" s="141">
        <f t="shared" ref="AK202" si="222">K202*$AK$11*(1-$AK$10)</f>
        <v>1713.6000000000001</v>
      </c>
    </row>
    <row r="203" spans="1:37" outlineLevel="1">
      <c r="A203" s="147"/>
      <c r="B203" s="188" t="s">
        <v>30</v>
      </c>
      <c r="C203" s="190" t="s">
        <v>23</v>
      </c>
      <c r="D203" s="248">
        <v>14562941001</v>
      </c>
      <c r="E203" s="242">
        <v>14562943001</v>
      </c>
      <c r="F203" s="243" t="s">
        <v>185</v>
      </c>
      <c r="G203" s="211"/>
      <c r="H203" s="244" t="s">
        <v>65</v>
      </c>
      <c r="I203" s="244">
        <v>10</v>
      </c>
      <c r="J203" s="245">
        <v>18.239999999999998</v>
      </c>
      <c r="K203" s="212">
        <f t="shared" ref="K203" si="223">ROUND((J203*$C$3),2)</f>
        <v>22.25</v>
      </c>
      <c r="L203" s="212">
        <f>K203*G203</f>
        <v>0</v>
      </c>
      <c r="M203" s="212">
        <f t="shared" ref="M203" si="224">J203*(1-$E$5-$E$7)*(1-$E$9)*(1+$E$11)</f>
        <v>18.239999999999998</v>
      </c>
      <c r="N203" s="212">
        <f>M203*G203</f>
        <v>0</v>
      </c>
      <c r="O203" s="213">
        <f t="shared" ref="O203" si="225">ROUND((M203*$C$3),2)</f>
        <v>22.25</v>
      </c>
      <c r="P203" s="213">
        <f>O203*G203</f>
        <v>0</v>
      </c>
      <c r="Q203" s="3"/>
      <c r="R203" s="222">
        <f t="shared" ref="R203" si="226">ROUND(AK203,0)</f>
        <v>1780</v>
      </c>
      <c r="AK203" s="141">
        <f t="shared" ref="AK203" si="227">K203*$AK$11*(1-$AK$10)</f>
        <v>1780</v>
      </c>
    </row>
    <row r="204" spans="1:37" outlineLevel="1">
      <c r="A204" s="147"/>
      <c r="B204" s="188"/>
      <c r="C204" s="215"/>
      <c r="D204" s="215"/>
      <c r="E204" s="217"/>
      <c r="F204" s="218"/>
      <c r="G204" s="211"/>
      <c r="H204" s="215"/>
      <c r="I204" s="215"/>
      <c r="J204" s="220"/>
      <c r="K204" s="220"/>
      <c r="L204" s="220"/>
      <c r="M204" s="220"/>
      <c r="N204" s="220"/>
      <c r="O204" s="221"/>
      <c r="P204" s="221"/>
      <c r="Q204" s="3"/>
      <c r="R204" s="222"/>
      <c r="AK204" s="141"/>
    </row>
    <row r="205" spans="1:37" outlineLevel="1">
      <c r="A205" s="147"/>
      <c r="B205" s="188" t="s">
        <v>30</v>
      </c>
      <c r="C205" s="190" t="s">
        <v>23</v>
      </c>
      <c r="D205" s="215"/>
      <c r="E205" s="188">
        <v>11092911001</v>
      </c>
      <c r="F205" s="210" t="s">
        <v>186</v>
      </c>
      <c r="G205" s="211"/>
      <c r="H205" s="190" t="s">
        <v>65</v>
      </c>
      <c r="I205" s="190">
        <v>10</v>
      </c>
      <c r="J205" s="212">
        <v>15.11</v>
      </c>
      <c r="K205" s="212">
        <f t="shared" ref="K205" si="228">ROUND((J205*$C$3),2)</f>
        <v>18.43</v>
      </c>
      <c r="L205" s="212">
        <f>K205*G205</f>
        <v>0</v>
      </c>
      <c r="M205" s="212">
        <f t="shared" ref="M205" si="229">J205*(1-$E$5-$E$7)*(1-$E$9)*(1+$E$11)</f>
        <v>15.11</v>
      </c>
      <c r="N205" s="212">
        <f>M205*G205</f>
        <v>0</v>
      </c>
      <c r="O205" s="213">
        <f t="shared" ref="O205" si="230">ROUND((M205*$C$3),2)</f>
        <v>18.43</v>
      </c>
      <c r="P205" s="213">
        <f>O205*G205</f>
        <v>0</v>
      </c>
      <c r="Q205" s="3"/>
      <c r="R205" s="222">
        <f t="shared" ref="R205" si="231">ROUND(AK205,0)</f>
        <v>1474</v>
      </c>
      <c r="AK205" s="141">
        <f t="shared" si="217"/>
        <v>1474.4</v>
      </c>
    </row>
    <row r="206" spans="1:37" outlineLevel="1">
      <c r="A206" s="147"/>
      <c r="B206" s="188" t="s">
        <v>30</v>
      </c>
      <c r="C206" s="190" t="s">
        <v>23</v>
      </c>
      <c r="D206" s="215"/>
      <c r="E206" s="188">
        <v>11092941001</v>
      </c>
      <c r="F206" s="243" t="s">
        <v>187</v>
      </c>
      <c r="G206" s="211"/>
      <c r="H206" s="190" t="s">
        <v>65</v>
      </c>
      <c r="I206" s="190">
        <v>10</v>
      </c>
      <c r="J206" s="259">
        <v>15.94</v>
      </c>
      <c r="K206" s="212">
        <f t="shared" ref="K206" si="232">ROUND((J206*$C$3),2)</f>
        <v>19.45</v>
      </c>
      <c r="L206" s="212">
        <f>K206*G206</f>
        <v>0</v>
      </c>
      <c r="M206" s="212">
        <f t="shared" ref="M206" si="233">J206*(1-$E$5-$E$7)*(1-$E$9)*(1+$E$11)</f>
        <v>15.94</v>
      </c>
      <c r="N206" s="212">
        <f>M206*G206</f>
        <v>0</v>
      </c>
      <c r="O206" s="213">
        <f t="shared" ref="O206" si="234">ROUND((M206*$C$3),2)</f>
        <v>19.45</v>
      </c>
      <c r="P206" s="213">
        <f>O206*G206</f>
        <v>0</v>
      </c>
      <c r="Q206" s="3"/>
      <c r="R206" s="222">
        <f t="shared" ref="R206" si="235">ROUND(AK206,0)</f>
        <v>1556</v>
      </c>
      <c r="AK206" s="141">
        <f t="shared" si="217"/>
        <v>1556</v>
      </c>
    </row>
    <row r="207" spans="1:37" outlineLevel="1">
      <c r="A207" s="147"/>
      <c r="B207" s="188"/>
      <c r="C207" s="215"/>
      <c r="D207" s="215"/>
      <c r="E207" s="217"/>
      <c r="F207" s="218"/>
      <c r="G207" s="211"/>
      <c r="H207" s="215"/>
      <c r="I207" s="215"/>
      <c r="J207" s="220"/>
      <c r="K207" s="220"/>
      <c r="L207" s="220"/>
      <c r="M207" s="220"/>
      <c r="N207" s="220"/>
      <c r="O207" s="221"/>
      <c r="P207" s="221"/>
      <c r="Q207" s="3"/>
      <c r="R207" s="222"/>
      <c r="AK207" s="141"/>
    </row>
    <row r="208" spans="1:37" outlineLevel="1">
      <c r="A208" s="147"/>
      <c r="B208" s="188" t="s">
        <v>30</v>
      </c>
      <c r="C208" s="190" t="s">
        <v>23</v>
      </c>
      <c r="D208" s="248">
        <v>14564141001</v>
      </c>
      <c r="E208" s="242">
        <v>14564143001</v>
      </c>
      <c r="F208" s="243" t="s">
        <v>188</v>
      </c>
      <c r="G208" s="211"/>
      <c r="H208" s="244" t="s">
        <v>65</v>
      </c>
      <c r="I208" s="244">
        <v>10</v>
      </c>
      <c r="J208" s="245">
        <v>21.91</v>
      </c>
      <c r="K208" s="212">
        <f t="shared" ref="K208:K211" si="236">ROUND((J208*$C$3),2)</f>
        <v>26.73</v>
      </c>
      <c r="L208" s="212">
        <f>K208*G208</f>
        <v>0</v>
      </c>
      <c r="M208" s="212">
        <f t="shared" ref="M208:M211" si="237">J208*(1-$E$5-$E$7)*(1-$E$9)*(1+$E$11)</f>
        <v>21.91</v>
      </c>
      <c r="N208" s="212">
        <f>M208*G208</f>
        <v>0</v>
      </c>
      <c r="O208" s="213">
        <f t="shared" ref="O208:O211" si="238">ROUND((M208*$C$3),2)</f>
        <v>26.73</v>
      </c>
      <c r="P208" s="213">
        <f>O208*G208</f>
        <v>0</v>
      </c>
      <c r="Q208" s="3"/>
      <c r="R208" s="222">
        <f t="shared" ref="R208:R211" si="239">ROUND(AK208,0)</f>
        <v>2138</v>
      </c>
      <c r="AK208" s="141">
        <f t="shared" ref="AK208:AK211" si="240">K208*$AK$11*(1-$AK$10)</f>
        <v>2138.4</v>
      </c>
    </row>
    <row r="209" spans="1:37" outlineLevel="1">
      <c r="A209" s="147"/>
      <c r="B209" s="188" t="s">
        <v>30</v>
      </c>
      <c r="C209" s="190" t="s">
        <v>23</v>
      </c>
      <c r="D209" s="248">
        <v>14562961001</v>
      </c>
      <c r="E209" s="242">
        <v>14562963001</v>
      </c>
      <c r="F209" s="243" t="s">
        <v>189</v>
      </c>
      <c r="G209" s="211"/>
      <c r="H209" s="244" t="s">
        <v>65</v>
      </c>
      <c r="I209" s="244">
        <v>10</v>
      </c>
      <c r="J209" s="245">
        <v>21.91</v>
      </c>
      <c r="K209" s="212">
        <f t="shared" si="236"/>
        <v>26.73</v>
      </c>
      <c r="L209" s="212">
        <f>K209*G209</f>
        <v>0</v>
      </c>
      <c r="M209" s="212">
        <f t="shared" si="237"/>
        <v>21.91</v>
      </c>
      <c r="N209" s="212">
        <f>M209*G209</f>
        <v>0</v>
      </c>
      <c r="O209" s="213">
        <f t="shared" si="238"/>
        <v>26.73</v>
      </c>
      <c r="P209" s="213">
        <f>O209*G209</f>
        <v>0</v>
      </c>
      <c r="Q209" s="3"/>
      <c r="R209" s="222">
        <f t="shared" si="239"/>
        <v>2138</v>
      </c>
      <c r="AK209" s="141">
        <f t="shared" si="240"/>
        <v>2138.4</v>
      </c>
    </row>
    <row r="210" spans="1:37" outlineLevel="1">
      <c r="A210" s="147"/>
      <c r="B210" s="188" t="s">
        <v>30</v>
      </c>
      <c r="C210" s="190" t="s">
        <v>23</v>
      </c>
      <c r="D210" s="248">
        <v>14562971001</v>
      </c>
      <c r="E210" s="242">
        <v>14562973001</v>
      </c>
      <c r="F210" s="243" t="s">
        <v>190</v>
      </c>
      <c r="G210" s="211"/>
      <c r="H210" s="244" t="s">
        <v>65</v>
      </c>
      <c r="I210" s="244">
        <v>3</v>
      </c>
      <c r="J210" s="245">
        <v>47.84</v>
      </c>
      <c r="K210" s="212">
        <f t="shared" si="236"/>
        <v>58.36</v>
      </c>
      <c r="L210" s="212">
        <f>K210*G210</f>
        <v>0</v>
      </c>
      <c r="M210" s="212">
        <f t="shared" si="237"/>
        <v>47.84</v>
      </c>
      <c r="N210" s="212">
        <f>M210*G210</f>
        <v>0</v>
      </c>
      <c r="O210" s="213">
        <f t="shared" si="238"/>
        <v>58.36</v>
      </c>
      <c r="P210" s="213">
        <f>O210*G210</f>
        <v>0</v>
      </c>
      <c r="Q210" s="3"/>
      <c r="R210" s="222">
        <f t="shared" si="239"/>
        <v>4669</v>
      </c>
      <c r="AK210" s="141">
        <f t="shared" si="240"/>
        <v>4668.8</v>
      </c>
    </row>
    <row r="211" spans="1:37" outlineLevel="1">
      <c r="A211" s="147"/>
      <c r="B211" s="188" t="s">
        <v>30</v>
      </c>
      <c r="C211" s="190" t="s">
        <v>23</v>
      </c>
      <c r="D211" s="248">
        <v>14563001001</v>
      </c>
      <c r="E211" s="242">
        <v>14563003001</v>
      </c>
      <c r="F211" s="243" t="s">
        <v>191</v>
      </c>
      <c r="G211" s="211"/>
      <c r="H211" s="244" t="s">
        <v>65</v>
      </c>
      <c r="I211" s="244">
        <v>1</v>
      </c>
      <c r="J211" s="245">
        <v>62.68</v>
      </c>
      <c r="K211" s="212">
        <f t="shared" si="236"/>
        <v>76.47</v>
      </c>
      <c r="L211" s="212">
        <f>K211*G211</f>
        <v>0</v>
      </c>
      <c r="M211" s="212">
        <f t="shared" si="237"/>
        <v>62.68</v>
      </c>
      <c r="N211" s="212">
        <f>M211*G211</f>
        <v>0</v>
      </c>
      <c r="O211" s="213">
        <f t="shared" si="238"/>
        <v>76.47</v>
      </c>
      <c r="P211" s="213">
        <f>O211*G211</f>
        <v>0</v>
      </c>
      <c r="Q211" s="3"/>
      <c r="R211" s="222">
        <f t="shared" si="239"/>
        <v>6118</v>
      </c>
      <c r="AK211" s="141">
        <f t="shared" si="240"/>
        <v>6117.6</v>
      </c>
    </row>
    <row r="212" spans="1:37" outlineLevel="1">
      <c r="A212" s="147"/>
      <c r="B212" s="240"/>
      <c r="C212" s="238"/>
      <c r="D212" s="238"/>
      <c r="E212" s="188"/>
      <c r="F212" s="210"/>
      <c r="G212" s="211"/>
      <c r="H212" s="190"/>
      <c r="I212" s="190"/>
      <c r="J212" s="212"/>
      <c r="K212" s="212"/>
      <c r="L212" s="212"/>
      <c r="M212" s="212"/>
      <c r="N212" s="212"/>
      <c r="O212" s="213"/>
      <c r="P212" s="213"/>
      <c r="Q212" s="3"/>
      <c r="R212" s="222"/>
      <c r="AK212" s="141"/>
    </row>
    <row r="213" spans="1:37" outlineLevel="1">
      <c r="A213" s="147"/>
      <c r="B213" s="188" t="s">
        <v>30</v>
      </c>
      <c r="C213" s="190" t="s">
        <v>23</v>
      </c>
      <c r="D213" s="238"/>
      <c r="E213" s="256">
        <v>11092961001</v>
      </c>
      <c r="F213" s="243" t="s">
        <v>192</v>
      </c>
      <c r="G213" s="211"/>
      <c r="H213" s="190" t="s">
        <v>65</v>
      </c>
      <c r="I213" s="190">
        <v>10</v>
      </c>
      <c r="J213" s="259">
        <v>16.96</v>
      </c>
      <c r="K213" s="212">
        <f t="shared" ref="K213" si="241">ROUND((J213*$C$3),2)</f>
        <v>20.69</v>
      </c>
      <c r="L213" s="212">
        <f>K213*G213</f>
        <v>0</v>
      </c>
      <c r="M213" s="212">
        <f t="shared" ref="M213" si="242">J213*(1-$E$5-$E$7)*(1-$E$9)*(1+$E$11)</f>
        <v>16.96</v>
      </c>
      <c r="N213" s="212">
        <f>M213*G213</f>
        <v>0</v>
      </c>
      <c r="O213" s="213">
        <f t="shared" ref="O213" si="243">ROUND((M213*$C$3),2)</f>
        <v>20.69</v>
      </c>
      <c r="P213" s="213">
        <f>O213*G213</f>
        <v>0</v>
      </c>
      <c r="Q213" s="3"/>
      <c r="R213" s="222">
        <f t="shared" ref="R213" si="244">ROUND(AK213,0)</f>
        <v>1655</v>
      </c>
      <c r="AK213" s="141">
        <f t="shared" ref="AK213" si="245">K213*$AK$11*(1-$AK$10)</f>
        <v>1655.2</v>
      </c>
    </row>
    <row r="214" spans="1:37" outlineLevel="1">
      <c r="A214" s="147"/>
      <c r="B214" s="188" t="s">
        <v>30</v>
      </c>
      <c r="C214" s="190" t="s">
        <v>23</v>
      </c>
      <c r="D214" s="238"/>
      <c r="E214" s="256">
        <v>11092971001</v>
      </c>
      <c r="F214" s="243" t="s">
        <v>193</v>
      </c>
      <c r="G214" s="211"/>
      <c r="H214" s="190" t="s">
        <v>65</v>
      </c>
      <c r="I214" s="190">
        <v>3</v>
      </c>
      <c r="J214" s="259">
        <v>35.659999999999997</v>
      </c>
      <c r="K214" s="212">
        <f t="shared" ref="K214:K215" si="246">ROUND((J214*$C$3),2)</f>
        <v>43.51</v>
      </c>
      <c r="L214" s="212">
        <f>K214*G214</f>
        <v>0</v>
      </c>
      <c r="M214" s="212">
        <f t="shared" ref="M214:M215" si="247">J214*(1-$E$5-$E$7)*(1-$E$9)*(1+$E$11)</f>
        <v>35.659999999999997</v>
      </c>
      <c r="N214" s="212">
        <f>M214*G214</f>
        <v>0</v>
      </c>
      <c r="O214" s="213">
        <f t="shared" ref="O214:O215" si="248">ROUND((M214*$C$3),2)</f>
        <v>43.51</v>
      </c>
      <c r="P214" s="213">
        <f>O214*G214</f>
        <v>0</v>
      </c>
      <c r="Q214" s="3"/>
      <c r="R214" s="222">
        <f t="shared" ref="R214:R215" si="249">ROUND(AK214,0)</f>
        <v>3481</v>
      </c>
      <c r="AK214" s="141">
        <f t="shared" ref="AK214:AK215" si="250">K214*$AK$11*(1-$AK$10)</f>
        <v>3480.8</v>
      </c>
    </row>
    <row r="215" spans="1:37" outlineLevel="1">
      <c r="A215" s="147"/>
      <c r="B215" s="188" t="s">
        <v>30</v>
      </c>
      <c r="C215" s="190" t="s">
        <v>23</v>
      </c>
      <c r="D215" s="238"/>
      <c r="E215" s="256">
        <v>11093001001</v>
      </c>
      <c r="F215" s="243" t="s">
        <v>194</v>
      </c>
      <c r="G215" s="211"/>
      <c r="H215" s="190" t="s">
        <v>65</v>
      </c>
      <c r="I215" s="190">
        <v>1</v>
      </c>
      <c r="J215" s="263">
        <v>49.4</v>
      </c>
      <c r="K215" s="212">
        <f t="shared" si="246"/>
        <v>60.27</v>
      </c>
      <c r="L215" s="212">
        <f>K215*G215</f>
        <v>0</v>
      </c>
      <c r="M215" s="212">
        <f t="shared" si="247"/>
        <v>49.4</v>
      </c>
      <c r="N215" s="212">
        <f>M215*G215</f>
        <v>0</v>
      </c>
      <c r="O215" s="213">
        <f t="shared" si="248"/>
        <v>60.27</v>
      </c>
      <c r="P215" s="213">
        <f>O215*G215</f>
        <v>0</v>
      </c>
      <c r="Q215" s="3"/>
      <c r="R215" s="222">
        <f t="shared" si="249"/>
        <v>4822</v>
      </c>
      <c r="AK215" s="141">
        <f t="shared" si="250"/>
        <v>4821.6000000000004</v>
      </c>
    </row>
    <row r="216" spans="1:37" outlineLevel="1">
      <c r="A216" s="147"/>
      <c r="B216" s="240"/>
      <c r="C216" s="238"/>
      <c r="D216" s="238"/>
      <c r="E216" s="188"/>
      <c r="F216" s="210"/>
      <c r="G216" s="211"/>
      <c r="H216" s="190"/>
      <c r="I216" s="190"/>
      <c r="J216" s="212"/>
      <c r="K216" s="212"/>
      <c r="L216" s="212"/>
      <c r="M216" s="212"/>
      <c r="N216" s="212"/>
      <c r="O216" s="213"/>
      <c r="P216" s="213"/>
      <c r="Q216" s="3"/>
      <c r="R216" s="222"/>
      <c r="AK216" s="141"/>
    </row>
    <row r="217" spans="1:37" ht="30.6" outlineLevel="1">
      <c r="A217" s="148" t="s">
        <v>25</v>
      </c>
      <c r="B217" s="208" t="s">
        <v>26</v>
      </c>
      <c r="C217" s="238" t="s">
        <v>23</v>
      </c>
      <c r="D217" s="238">
        <v>13660211001</v>
      </c>
      <c r="E217" s="188">
        <v>14562971001</v>
      </c>
      <c r="F217" s="210" t="s">
        <v>195</v>
      </c>
      <c r="G217" s="211"/>
      <c r="H217" s="190" t="s">
        <v>65</v>
      </c>
      <c r="I217" s="190">
        <v>3</v>
      </c>
      <c r="J217" s="212">
        <v>21.42</v>
      </c>
      <c r="K217" s="212">
        <f t="shared" si="197"/>
        <v>26.13</v>
      </c>
      <c r="L217" s="212">
        <f>K217*G217</f>
        <v>0</v>
      </c>
      <c r="M217" s="212">
        <f t="shared" si="198"/>
        <v>21.42</v>
      </c>
      <c r="N217" s="212">
        <f>M217*G217</f>
        <v>0</v>
      </c>
      <c r="O217" s="213">
        <f t="shared" si="199"/>
        <v>26.13</v>
      </c>
      <c r="P217" s="213">
        <f>O217*G217</f>
        <v>0</v>
      </c>
      <c r="Q217" s="3"/>
      <c r="R217" s="214">
        <f t="shared" si="216"/>
        <v>2090</v>
      </c>
      <c r="AK217" s="141">
        <f t="shared" si="217"/>
        <v>2090.4</v>
      </c>
    </row>
    <row r="218" spans="1:37" outlineLevel="1">
      <c r="A218" s="147"/>
      <c r="B218" s="240"/>
      <c r="C218" s="247"/>
      <c r="D218" s="238"/>
      <c r="E218" s="188"/>
      <c r="F218" s="210"/>
      <c r="G218" s="211"/>
      <c r="H218" s="190"/>
      <c r="I218" s="190"/>
      <c r="J218" s="212"/>
      <c r="K218" s="212"/>
      <c r="L218" s="212"/>
      <c r="M218" s="212"/>
      <c r="N218" s="212"/>
      <c r="O218" s="213"/>
      <c r="P218" s="213"/>
      <c r="Q218" s="3"/>
      <c r="R218" s="222"/>
      <c r="AK218" s="141"/>
    </row>
    <row r="219" spans="1:37" outlineLevel="1">
      <c r="A219" s="147"/>
      <c r="B219" s="188" t="s">
        <v>30</v>
      </c>
      <c r="C219" s="190" t="s">
        <v>23</v>
      </c>
      <c r="D219" s="190"/>
      <c r="E219" s="242">
        <v>14570113001</v>
      </c>
      <c r="F219" s="243" t="s">
        <v>196</v>
      </c>
      <c r="G219" s="211"/>
      <c r="H219" s="244" t="s">
        <v>65</v>
      </c>
      <c r="I219" s="244">
        <v>10</v>
      </c>
      <c r="J219" s="245">
        <v>4.05</v>
      </c>
      <c r="K219" s="212">
        <f t="shared" ref="K219:K223" si="251">ROUND((J219*$C$3),2)</f>
        <v>4.9400000000000004</v>
      </c>
      <c r="L219" s="212">
        <f>K219*G219</f>
        <v>0</v>
      </c>
      <c r="M219" s="212">
        <f t="shared" ref="M219:M223" si="252">J219*(1-$E$5-$E$7)*(1-$E$9)*(1+$E$11)</f>
        <v>4.05</v>
      </c>
      <c r="N219" s="212">
        <f>M219*G219</f>
        <v>0</v>
      </c>
      <c r="O219" s="213">
        <f t="shared" ref="O219:O223" si="253">ROUND((M219*$C$3),2)</f>
        <v>4.9400000000000004</v>
      </c>
      <c r="P219" s="213">
        <f>O219*G219</f>
        <v>0</v>
      </c>
      <c r="Q219" s="3"/>
      <c r="R219" s="222">
        <f t="shared" ref="R219:R223" si="254">ROUND(AK219,0)</f>
        <v>395</v>
      </c>
      <c r="AK219" s="141">
        <f t="shared" ref="AK219:AK223" si="255">K219*$AK$11*(1-$AK$10)</f>
        <v>395.20000000000005</v>
      </c>
    </row>
    <row r="220" spans="1:37" outlineLevel="1">
      <c r="A220" s="147"/>
      <c r="B220" s="188" t="s">
        <v>30</v>
      </c>
      <c r="C220" s="190" t="s">
        <v>23</v>
      </c>
      <c r="D220" s="190"/>
      <c r="E220" s="242">
        <v>14570123001</v>
      </c>
      <c r="F220" s="243" t="s">
        <v>197</v>
      </c>
      <c r="G220" s="211"/>
      <c r="H220" s="244" t="s">
        <v>65</v>
      </c>
      <c r="I220" s="244">
        <v>10</v>
      </c>
      <c r="J220" s="245">
        <v>6</v>
      </c>
      <c r="K220" s="212">
        <f t="shared" si="251"/>
        <v>7.32</v>
      </c>
      <c r="L220" s="212">
        <f>K220*G220</f>
        <v>0</v>
      </c>
      <c r="M220" s="212">
        <f t="shared" si="252"/>
        <v>6</v>
      </c>
      <c r="N220" s="212">
        <f>M220*G220</f>
        <v>0</v>
      </c>
      <c r="O220" s="213">
        <f t="shared" si="253"/>
        <v>7.32</v>
      </c>
      <c r="P220" s="213">
        <f>O220*G220</f>
        <v>0</v>
      </c>
      <c r="Q220" s="3"/>
      <c r="R220" s="222">
        <f t="shared" si="254"/>
        <v>586</v>
      </c>
      <c r="AK220" s="141">
        <f t="shared" si="255"/>
        <v>585.6</v>
      </c>
    </row>
    <row r="221" spans="1:37" outlineLevel="1">
      <c r="A221" s="147"/>
      <c r="B221" s="188" t="s">
        <v>30</v>
      </c>
      <c r="C221" s="190" t="s">
        <v>23</v>
      </c>
      <c r="D221" s="190"/>
      <c r="E221" s="242">
        <v>14570133001</v>
      </c>
      <c r="F221" s="243" t="s">
        <v>198</v>
      </c>
      <c r="G221" s="211"/>
      <c r="H221" s="244" t="s">
        <v>65</v>
      </c>
      <c r="I221" s="244">
        <v>10</v>
      </c>
      <c r="J221" s="245">
        <v>10.07</v>
      </c>
      <c r="K221" s="212">
        <f t="shared" si="251"/>
        <v>12.29</v>
      </c>
      <c r="L221" s="212">
        <f>K221*G221</f>
        <v>0</v>
      </c>
      <c r="M221" s="212">
        <f t="shared" si="252"/>
        <v>10.07</v>
      </c>
      <c r="N221" s="212">
        <f>M221*G221</f>
        <v>0</v>
      </c>
      <c r="O221" s="213">
        <f t="shared" si="253"/>
        <v>12.29</v>
      </c>
      <c r="P221" s="213">
        <f>O221*G221</f>
        <v>0</v>
      </c>
      <c r="Q221" s="3"/>
      <c r="R221" s="222">
        <f t="shared" si="254"/>
        <v>983</v>
      </c>
      <c r="AK221" s="141">
        <f t="shared" si="255"/>
        <v>983.2</v>
      </c>
    </row>
    <row r="222" spans="1:37" outlineLevel="1">
      <c r="A222" s="147"/>
      <c r="B222" s="188" t="s">
        <v>30</v>
      </c>
      <c r="C222" s="190" t="s">
        <v>23</v>
      </c>
      <c r="D222" s="190"/>
      <c r="E222" s="242">
        <v>14570143001</v>
      </c>
      <c r="F222" s="243" t="s">
        <v>199</v>
      </c>
      <c r="G222" s="211"/>
      <c r="H222" s="244" t="s">
        <v>65</v>
      </c>
      <c r="I222" s="244">
        <v>3</v>
      </c>
      <c r="J222" s="245">
        <v>17.579999999999998</v>
      </c>
      <c r="K222" s="212">
        <f t="shared" si="251"/>
        <v>21.45</v>
      </c>
      <c r="L222" s="212">
        <f>K222*G222</f>
        <v>0</v>
      </c>
      <c r="M222" s="212">
        <f t="shared" si="252"/>
        <v>17.579999999999998</v>
      </c>
      <c r="N222" s="212">
        <f>M222*G222</f>
        <v>0</v>
      </c>
      <c r="O222" s="213">
        <f t="shared" si="253"/>
        <v>21.45</v>
      </c>
      <c r="P222" s="213">
        <f>O222*G222</f>
        <v>0</v>
      </c>
      <c r="Q222" s="3"/>
      <c r="R222" s="222">
        <f t="shared" si="254"/>
        <v>1716</v>
      </c>
      <c r="AK222" s="141">
        <f t="shared" si="255"/>
        <v>1716</v>
      </c>
    </row>
    <row r="223" spans="1:37" outlineLevel="1">
      <c r="A223" s="150"/>
      <c r="B223" s="188" t="s">
        <v>30</v>
      </c>
      <c r="C223" s="190" t="s">
        <v>23</v>
      </c>
      <c r="D223" s="190"/>
      <c r="E223" s="242">
        <v>14570153001</v>
      </c>
      <c r="F223" s="243" t="s">
        <v>200</v>
      </c>
      <c r="G223" s="211"/>
      <c r="H223" s="244" t="s">
        <v>65</v>
      </c>
      <c r="I223" s="244">
        <v>4</v>
      </c>
      <c r="J223" s="245">
        <v>38.15</v>
      </c>
      <c r="K223" s="212">
        <f t="shared" si="251"/>
        <v>46.54</v>
      </c>
      <c r="L223" s="212">
        <f>K223*G223</f>
        <v>0</v>
      </c>
      <c r="M223" s="212">
        <f t="shared" si="252"/>
        <v>38.15</v>
      </c>
      <c r="N223" s="212">
        <f>M223*G223</f>
        <v>0</v>
      </c>
      <c r="O223" s="213">
        <f t="shared" si="253"/>
        <v>46.54</v>
      </c>
      <c r="P223" s="213">
        <f>O223*G223</f>
        <v>0</v>
      </c>
      <c r="Q223" s="3"/>
      <c r="R223" s="222">
        <f t="shared" si="254"/>
        <v>3723</v>
      </c>
      <c r="AK223" s="141">
        <f t="shared" si="255"/>
        <v>3723.2000000000003</v>
      </c>
    </row>
    <row r="224" spans="1:37" outlineLevel="1">
      <c r="A224" s="147"/>
      <c r="B224" s="240"/>
      <c r="C224" s="247"/>
      <c r="D224" s="238"/>
      <c r="E224" s="188"/>
      <c r="F224" s="210"/>
      <c r="G224" s="211"/>
      <c r="H224" s="190"/>
      <c r="I224" s="190"/>
      <c r="J224" s="212"/>
      <c r="K224" s="212"/>
      <c r="L224" s="212"/>
      <c r="M224" s="212"/>
      <c r="N224" s="212"/>
      <c r="O224" s="213"/>
      <c r="P224" s="213"/>
      <c r="Q224" s="3"/>
      <c r="R224" s="222"/>
      <c r="AK224" s="141"/>
    </row>
    <row r="225" spans="1:37" outlineLevel="1">
      <c r="A225" s="147"/>
      <c r="B225" s="188" t="s">
        <v>30</v>
      </c>
      <c r="C225" s="190" t="s">
        <v>23</v>
      </c>
      <c r="D225" s="238"/>
      <c r="E225" s="188">
        <v>11080111001</v>
      </c>
      <c r="F225" s="210" t="s">
        <v>201</v>
      </c>
      <c r="G225" s="211"/>
      <c r="H225" s="190" t="s">
        <v>65</v>
      </c>
      <c r="I225" s="190">
        <v>10</v>
      </c>
      <c r="J225" s="212">
        <v>2.58</v>
      </c>
      <c r="K225" s="212">
        <f t="shared" ref="K225:K226" si="256">ROUND((J225*$C$3),2)</f>
        <v>3.15</v>
      </c>
      <c r="L225" s="212">
        <f t="shared" ref="L225:L231" si="257">K225*G225</f>
        <v>0</v>
      </c>
      <c r="M225" s="212">
        <f t="shared" ref="M225:M226" si="258">J225*(1-$E$5-$E$7)*(1-$E$9)*(1+$E$11)</f>
        <v>2.58</v>
      </c>
      <c r="N225" s="212">
        <f t="shared" ref="N225:N231" si="259">M225*G225</f>
        <v>0</v>
      </c>
      <c r="O225" s="213">
        <f t="shared" ref="O225:O226" si="260">ROUND((M225*$C$3),2)</f>
        <v>3.15</v>
      </c>
      <c r="P225" s="213">
        <f t="shared" ref="P225:P231" si="261">O225*G225</f>
        <v>0</v>
      </c>
      <c r="Q225" s="3"/>
      <c r="R225" s="222">
        <f t="shared" si="216"/>
        <v>252</v>
      </c>
      <c r="AK225" s="141">
        <f t="shared" si="217"/>
        <v>252</v>
      </c>
    </row>
    <row r="226" spans="1:37" outlineLevel="1">
      <c r="A226" s="147"/>
      <c r="B226" s="188" t="s">
        <v>30</v>
      </c>
      <c r="C226" s="190" t="s">
        <v>23</v>
      </c>
      <c r="D226" s="238"/>
      <c r="E226" s="188">
        <v>11080121001</v>
      </c>
      <c r="F226" s="210" t="s">
        <v>202</v>
      </c>
      <c r="G226" s="211"/>
      <c r="H226" s="190" t="s">
        <v>65</v>
      </c>
      <c r="I226" s="190">
        <v>10</v>
      </c>
      <c r="J226" s="212">
        <v>3.82</v>
      </c>
      <c r="K226" s="212">
        <f t="shared" si="256"/>
        <v>4.66</v>
      </c>
      <c r="L226" s="212">
        <f t="shared" si="257"/>
        <v>0</v>
      </c>
      <c r="M226" s="212">
        <f t="shared" si="258"/>
        <v>3.82</v>
      </c>
      <c r="N226" s="212">
        <f t="shared" si="259"/>
        <v>0</v>
      </c>
      <c r="O226" s="213">
        <f t="shared" si="260"/>
        <v>4.66</v>
      </c>
      <c r="P226" s="213">
        <f t="shared" si="261"/>
        <v>0</v>
      </c>
      <c r="Q226" s="3"/>
      <c r="R226" s="222">
        <f t="shared" si="216"/>
        <v>373</v>
      </c>
      <c r="AK226" s="141">
        <f t="shared" si="217"/>
        <v>372.8</v>
      </c>
    </row>
    <row r="227" spans="1:37" outlineLevel="1">
      <c r="A227" s="147"/>
      <c r="B227" s="188" t="s">
        <v>30</v>
      </c>
      <c r="C227" s="190" t="s">
        <v>23</v>
      </c>
      <c r="D227" s="238"/>
      <c r="E227" s="188">
        <v>11080131001</v>
      </c>
      <c r="F227" s="210" t="s">
        <v>203</v>
      </c>
      <c r="G227" s="211"/>
      <c r="H227" s="190" t="s">
        <v>65</v>
      </c>
      <c r="I227" s="190">
        <v>10</v>
      </c>
      <c r="J227" s="212">
        <v>6.08</v>
      </c>
      <c r="K227" s="212">
        <f t="shared" ref="K227:K228" si="262">ROUND((J227*$C$3),2)</f>
        <v>7.42</v>
      </c>
      <c r="L227" s="212">
        <f t="shared" si="257"/>
        <v>0</v>
      </c>
      <c r="M227" s="212">
        <f t="shared" ref="M227:M228" si="263">J227*(1-$E$5-$E$7)*(1-$E$9)*(1+$E$11)</f>
        <v>6.08</v>
      </c>
      <c r="N227" s="212">
        <f t="shared" si="259"/>
        <v>0</v>
      </c>
      <c r="O227" s="213">
        <f t="shared" ref="O227:O228" si="264">ROUND((M227*$C$3),2)</f>
        <v>7.42</v>
      </c>
      <c r="P227" s="213">
        <f t="shared" si="261"/>
        <v>0</v>
      </c>
      <c r="Q227" s="3"/>
      <c r="R227" s="222">
        <f t="shared" si="216"/>
        <v>594</v>
      </c>
      <c r="AK227" s="141">
        <f t="shared" si="217"/>
        <v>593.6</v>
      </c>
    </row>
    <row r="228" spans="1:37" outlineLevel="1">
      <c r="A228" s="147"/>
      <c r="B228" s="188" t="s">
        <v>30</v>
      </c>
      <c r="C228" s="190" t="s">
        <v>23</v>
      </c>
      <c r="D228" s="238"/>
      <c r="E228" s="188">
        <v>11080141001</v>
      </c>
      <c r="F228" s="210" t="s">
        <v>204</v>
      </c>
      <c r="G228" s="211"/>
      <c r="H228" s="190" t="s">
        <v>65</v>
      </c>
      <c r="I228" s="190">
        <v>3</v>
      </c>
      <c r="J228" s="212">
        <v>11.2</v>
      </c>
      <c r="K228" s="212">
        <f t="shared" si="262"/>
        <v>13.66</v>
      </c>
      <c r="L228" s="212">
        <f t="shared" si="257"/>
        <v>0</v>
      </c>
      <c r="M228" s="212">
        <f t="shared" si="263"/>
        <v>11.2</v>
      </c>
      <c r="N228" s="212">
        <f t="shared" si="259"/>
        <v>0</v>
      </c>
      <c r="O228" s="213">
        <f t="shared" si="264"/>
        <v>13.66</v>
      </c>
      <c r="P228" s="213">
        <f t="shared" si="261"/>
        <v>0</v>
      </c>
      <c r="Q228" s="3"/>
      <c r="R228" s="222">
        <f t="shared" si="216"/>
        <v>1093</v>
      </c>
      <c r="AK228" s="141">
        <f t="shared" si="217"/>
        <v>1092.8</v>
      </c>
    </row>
    <row r="229" spans="1:37" outlineLevel="1">
      <c r="A229" s="147"/>
      <c r="B229" s="188" t="s">
        <v>30</v>
      </c>
      <c r="C229" s="190" t="s">
        <v>23</v>
      </c>
      <c r="D229" s="238"/>
      <c r="E229" s="188">
        <v>11080151001</v>
      </c>
      <c r="F229" s="210" t="s">
        <v>205</v>
      </c>
      <c r="G229" s="211"/>
      <c r="H229" s="190" t="s">
        <v>65</v>
      </c>
      <c r="I229" s="190">
        <v>4</v>
      </c>
      <c r="J229" s="212">
        <v>24.3</v>
      </c>
      <c r="K229" s="212">
        <f t="shared" ref="K229:K231" si="265">ROUND((J229*$C$3),2)</f>
        <v>29.65</v>
      </c>
      <c r="L229" s="212">
        <f t="shared" si="257"/>
        <v>0</v>
      </c>
      <c r="M229" s="212">
        <f t="shared" ref="M229:M231" si="266">J229*(1-$E$5-$E$7)*(1-$E$9)*(1+$E$11)</f>
        <v>24.3</v>
      </c>
      <c r="N229" s="212">
        <f t="shared" si="259"/>
        <v>0</v>
      </c>
      <c r="O229" s="213">
        <f t="shared" ref="O229:O231" si="267">ROUND((M229*$C$3),2)</f>
        <v>29.65</v>
      </c>
      <c r="P229" s="213">
        <f t="shared" si="261"/>
        <v>0</v>
      </c>
      <c r="Q229" s="3"/>
      <c r="R229" s="222">
        <f t="shared" ref="R229:R231" si="268">ROUND(AK229,0)</f>
        <v>2372</v>
      </c>
      <c r="AK229" s="141">
        <f t="shared" ref="AK229:AK231" si="269">K229*$AK$11*(1-$AK$10)</f>
        <v>2372</v>
      </c>
    </row>
    <row r="230" spans="1:37" outlineLevel="1">
      <c r="A230" s="147"/>
      <c r="B230" s="188" t="s">
        <v>30</v>
      </c>
      <c r="C230" s="190" t="s">
        <v>23</v>
      </c>
      <c r="D230" s="238"/>
      <c r="E230" s="246">
        <v>11093021001</v>
      </c>
      <c r="F230" s="243" t="s">
        <v>206</v>
      </c>
      <c r="G230" s="211"/>
      <c r="H230" s="190" t="s">
        <v>65</v>
      </c>
      <c r="I230" s="190">
        <v>1</v>
      </c>
      <c r="J230" s="212">
        <v>51.44</v>
      </c>
      <c r="K230" s="212">
        <f t="shared" si="265"/>
        <v>62.76</v>
      </c>
      <c r="L230" s="212">
        <f t="shared" si="257"/>
        <v>0</v>
      </c>
      <c r="M230" s="212">
        <f t="shared" si="266"/>
        <v>51.44</v>
      </c>
      <c r="N230" s="212">
        <f t="shared" si="259"/>
        <v>0</v>
      </c>
      <c r="O230" s="213">
        <f t="shared" si="267"/>
        <v>62.76</v>
      </c>
      <c r="P230" s="213">
        <f t="shared" si="261"/>
        <v>0</v>
      </c>
      <c r="Q230" s="3"/>
      <c r="R230" s="222">
        <f t="shared" si="268"/>
        <v>5021</v>
      </c>
      <c r="AK230" s="141">
        <f t="shared" si="269"/>
        <v>5020.8</v>
      </c>
    </row>
    <row r="231" spans="1:37" outlineLevel="1">
      <c r="A231" s="147"/>
      <c r="B231" s="188" t="s">
        <v>30</v>
      </c>
      <c r="C231" s="190" t="s">
        <v>23</v>
      </c>
      <c r="D231" s="238"/>
      <c r="E231" s="246">
        <v>11093031001</v>
      </c>
      <c r="F231" s="243" t="s">
        <v>207</v>
      </c>
      <c r="G231" s="211"/>
      <c r="H231" s="190" t="s">
        <v>65</v>
      </c>
      <c r="I231" s="190">
        <v>1</v>
      </c>
      <c r="J231" s="212">
        <v>78.58</v>
      </c>
      <c r="K231" s="212">
        <f t="shared" si="265"/>
        <v>95.87</v>
      </c>
      <c r="L231" s="212">
        <f t="shared" si="257"/>
        <v>0</v>
      </c>
      <c r="M231" s="212">
        <f t="shared" si="266"/>
        <v>78.58</v>
      </c>
      <c r="N231" s="212">
        <f t="shared" si="259"/>
        <v>0</v>
      </c>
      <c r="O231" s="213">
        <f t="shared" si="267"/>
        <v>95.87</v>
      </c>
      <c r="P231" s="213">
        <f t="shared" si="261"/>
        <v>0</v>
      </c>
      <c r="Q231" s="3"/>
      <c r="R231" s="222">
        <f t="shared" si="268"/>
        <v>7670</v>
      </c>
      <c r="AK231" s="141">
        <f t="shared" si="269"/>
        <v>7669.6</v>
      </c>
    </row>
    <row r="232" spans="1:37" outlineLevel="1">
      <c r="A232" s="147"/>
      <c r="B232" s="240"/>
      <c r="C232" s="247"/>
      <c r="D232" s="238"/>
      <c r="E232" s="188"/>
      <c r="F232" s="210"/>
      <c r="G232" s="211"/>
      <c r="H232" s="190"/>
      <c r="I232" s="190"/>
      <c r="J232" s="212"/>
      <c r="K232" s="212"/>
      <c r="L232" s="212"/>
      <c r="M232" s="212"/>
      <c r="N232" s="212"/>
      <c r="O232" s="213"/>
      <c r="P232" s="213"/>
      <c r="Q232" s="3"/>
      <c r="R232" s="222"/>
      <c r="AK232" s="141"/>
    </row>
    <row r="233" spans="1:37" ht="30.6" outlineLevel="1">
      <c r="A233" s="148" t="s">
        <v>25</v>
      </c>
      <c r="B233" s="208" t="s">
        <v>26</v>
      </c>
      <c r="C233" s="190" t="s">
        <v>23</v>
      </c>
      <c r="D233" s="190"/>
      <c r="E233" s="188">
        <v>11600131001</v>
      </c>
      <c r="F233" s="210" t="s">
        <v>208</v>
      </c>
      <c r="G233" s="211"/>
      <c r="H233" s="190" t="s">
        <v>65</v>
      </c>
      <c r="I233" s="190">
        <v>10</v>
      </c>
      <c r="J233" s="212">
        <v>5.72</v>
      </c>
      <c r="K233" s="212">
        <f t="shared" si="197"/>
        <v>6.98</v>
      </c>
      <c r="L233" s="212">
        <f>K233*G233</f>
        <v>0</v>
      </c>
      <c r="M233" s="212">
        <f t="shared" si="198"/>
        <v>5.72</v>
      </c>
      <c r="N233" s="212">
        <f>M233*G233</f>
        <v>0</v>
      </c>
      <c r="O233" s="213">
        <f t="shared" si="199"/>
        <v>6.98</v>
      </c>
      <c r="P233" s="213">
        <f>O233*G233</f>
        <v>0</v>
      </c>
      <c r="Q233" s="3"/>
      <c r="R233" s="214">
        <f t="shared" si="216"/>
        <v>558</v>
      </c>
      <c r="AK233" s="141">
        <f t="shared" si="217"/>
        <v>558.4</v>
      </c>
    </row>
    <row r="234" spans="1:37" s="73" customFormat="1" ht="30.6" outlineLevel="1">
      <c r="A234" s="148" t="s">
        <v>25</v>
      </c>
      <c r="B234" s="208" t="s">
        <v>26</v>
      </c>
      <c r="C234" s="238" t="s">
        <v>23</v>
      </c>
      <c r="D234" s="238">
        <v>13660361001</v>
      </c>
      <c r="E234" s="188">
        <v>14563031001</v>
      </c>
      <c r="F234" s="210" t="s">
        <v>209</v>
      </c>
      <c r="G234" s="211"/>
      <c r="H234" s="190" t="s">
        <v>65</v>
      </c>
      <c r="I234" s="190">
        <v>1</v>
      </c>
      <c r="J234" s="212">
        <v>92.92</v>
      </c>
      <c r="K234" s="212">
        <f t="shared" si="197"/>
        <v>113.36</v>
      </c>
      <c r="L234" s="212">
        <f>K234*G234</f>
        <v>0</v>
      </c>
      <c r="M234" s="212">
        <f t="shared" si="198"/>
        <v>92.92</v>
      </c>
      <c r="N234" s="212">
        <f>M234*G234</f>
        <v>0</v>
      </c>
      <c r="O234" s="213">
        <f t="shared" si="199"/>
        <v>113.36</v>
      </c>
      <c r="P234" s="213">
        <f>O234*G234</f>
        <v>0</v>
      </c>
      <c r="Q234" s="3"/>
      <c r="R234" s="214">
        <f t="shared" si="216"/>
        <v>9069</v>
      </c>
      <c r="AK234" s="141">
        <f t="shared" si="217"/>
        <v>9068.8000000000011</v>
      </c>
    </row>
    <row r="235" spans="1:37" outlineLevel="1">
      <c r="A235" s="147"/>
      <c r="B235" s="240"/>
      <c r="C235" s="247"/>
      <c r="D235" s="238"/>
      <c r="E235" s="188"/>
      <c r="F235" s="210"/>
      <c r="G235" s="211"/>
      <c r="H235" s="190"/>
      <c r="I235" s="190"/>
      <c r="J235" s="212"/>
      <c r="K235" s="212"/>
      <c r="L235" s="212"/>
      <c r="M235" s="212"/>
      <c r="N235" s="212"/>
      <c r="O235" s="213"/>
      <c r="P235" s="213"/>
      <c r="Q235" s="3"/>
      <c r="R235" s="222"/>
      <c r="AK235" s="141"/>
    </row>
    <row r="236" spans="1:37" ht="30.6" outlineLevel="1">
      <c r="A236" s="148" t="s">
        <v>25</v>
      </c>
      <c r="B236" s="208" t="s">
        <v>26</v>
      </c>
      <c r="C236" s="190" t="s">
        <v>23</v>
      </c>
      <c r="D236" s="190"/>
      <c r="E236" s="188">
        <v>13777141001</v>
      </c>
      <c r="F236" s="210" t="s">
        <v>210</v>
      </c>
      <c r="G236" s="211"/>
      <c r="H236" s="190" t="s">
        <v>65</v>
      </c>
      <c r="I236" s="190">
        <v>10</v>
      </c>
      <c r="J236" s="212">
        <v>4.25</v>
      </c>
      <c r="K236" s="212">
        <f t="shared" si="197"/>
        <v>5.19</v>
      </c>
      <c r="L236" s="212">
        <f>K236*G236</f>
        <v>0</v>
      </c>
      <c r="M236" s="212">
        <f t="shared" si="198"/>
        <v>4.25</v>
      </c>
      <c r="N236" s="212">
        <f>M236*G236</f>
        <v>0</v>
      </c>
      <c r="O236" s="213">
        <f t="shared" si="199"/>
        <v>5.19</v>
      </c>
      <c r="P236" s="213">
        <f>O236*G236</f>
        <v>0</v>
      </c>
      <c r="Q236" s="3"/>
      <c r="R236" s="214">
        <f t="shared" si="216"/>
        <v>415</v>
      </c>
      <c r="AK236" s="141">
        <f t="shared" si="217"/>
        <v>415.20000000000005</v>
      </c>
    </row>
    <row r="237" spans="1:37" outlineLevel="1">
      <c r="A237" s="147"/>
      <c r="B237" s="188"/>
      <c r="C237" s="215"/>
      <c r="D237" s="215"/>
      <c r="E237" s="217"/>
      <c r="F237" s="218"/>
      <c r="G237" s="211"/>
      <c r="H237" s="215"/>
      <c r="I237" s="215"/>
      <c r="J237" s="220"/>
      <c r="K237" s="220"/>
      <c r="L237" s="220"/>
      <c r="M237" s="220"/>
      <c r="N237" s="220"/>
      <c r="O237" s="221"/>
      <c r="P237" s="221"/>
      <c r="Q237" s="3"/>
      <c r="R237" s="222"/>
      <c r="AK237" s="141"/>
    </row>
    <row r="238" spans="1:37" outlineLevel="1">
      <c r="A238" s="147"/>
      <c r="B238" s="188" t="s">
        <v>30</v>
      </c>
      <c r="C238" s="190" t="s">
        <v>23</v>
      </c>
      <c r="D238" s="215"/>
      <c r="E238" s="242">
        <v>14570413001</v>
      </c>
      <c r="F238" s="243" t="s">
        <v>211</v>
      </c>
      <c r="G238" s="211"/>
      <c r="H238" s="244" t="s">
        <v>65</v>
      </c>
      <c r="I238" s="244">
        <v>10</v>
      </c>
      <c r="J238" s="245">
        <v>5.75</v>
      </c>
      <c r="K238" s="212">
        <f t="shared" ref="K238:K243" si="270">ROUND((J238*$C$3),2)</f>
        <v>7.02</v>
      </c>
      <c r="L238" s="212">
        <f t="shared" ref="L238:L243" si="271">K238*G238</f>
        <v>0</v>
      </c>
      <c r="M238" s="212">
        <f t="shared" ref="M238:M243" si="272">J238*(1-$E$5-$E$7)*(1-$E$9)*(1+$E$11)</f>
        <v>5.75</v>
      </c>
      <c r="N238" s="212">
        <f t="shared" ref="N238:N243" si="273">M238*G238</f>
        <v>0</v>
      </c>
      <c r="O238" s="213">
        <f t="shared" ref="O238:O243" si="274">ROUND((M238*$C$3),2)</f>
        <v>7.02</v>
      </c>
      <c r="P238" s="213">
        <f t="shared" ref="P238:P243" si="275">O238*G238</f>
        <v>0</v>
      </c>
      <c r="Q238" s="3"/>
      <c r="R238" s="222">
        <f t="shared" ref="R238:R243" si="276">ROUND(AK238,0)</f>
        <v>562</v>
      </c>
      <c r="AK238" s="141">
        <f t="shared" ref="AK238:AK243" si="277">K238*$AK$11*(1-$AK$10)</f>
        <v>561.6</v>
      </c>
    </row>
    <row r="239" spans="1:37" outlineLevel="1">
      <c r="A239" s="150"/>
      <c r="B239" s="188" t="s">
        <v>30</v>
      </c>
      <c r="C239" s="190" t="s">
        <v>23</v>
      </c>
      <c r="D239" s="215"/>
      <c r="E239" s="242">
        <v>14570423001</v>
      </c>
      <c r="F239" s="243" t="s">
        <v>212</v>
      </c>
      <c r="G239" s="211"/>
      <c r="H239" s="244" t="s">
        <v>65</v>
      </c>
      <c r="I239" s="244">
        <v>10</v>
      </c>
      <c r="J239" s="245">
        <v>8.09</v>
      </c>
      <c r="K239" s="212">
        <f t="shared" si="270"/>
        <v>9.8699999999999992</v>
      </c>
      <c r="L239" s="212">
        <f t="shared" si="271"/>
        <v>0</v>
      </c>
      <c r="M239" s="212">
        <f t="shared" si="272"/>
        <v>8.09</v>
      </c>
      <c r="N239" s="212">
        <f t="shared" si="273"/>
        <v>0</v>
      </c>
      <c r="O239" s="213">
        <f t="shared" si="274"/>
        <v>9.8699999999999992</v>
      </c>
      <c r="P239" s="213">
        <f t="shared" si="275"/>
        <v>0</v>
      </c>
      <c r="Q239" s="3"/>
      <c r="R239" s="222">
        <f t="shared" si="276"/>
        <v>790</v>
      </c>
      <c r="AK239" s="141">
        <f t="shared" si="277"/>
        <v>789.59999999999991</v>
      </c>
    </row>
    <row r="240" spans="1:37" outlineLevel="1">
      <c r="A240" s="147"/>
      <c r="B240" s="188" t="s">
        <v>30</v>
      </c>
      <c r="C240" s="190" t="s">
        <v>23</v>
      </c>
      <c r="D240" s="215"/>
      <c r="E240" s="242">
        <v>14570433001</v>
      </c>
      <c r="F240" s="243" t="s">
        <v>213</v>
      </c>
      <c r="G240" s="211"/>
      <c r="H240" s="244" t="s">
        <v>65</v>
      </c>
      <c r="I240" s="244">
        <v>10</v>
      </c>
      <c r="J240" s="245">
        <v>8.99</v>
      </c>
      <c r="K240" s="212">
        <f t="shared" si="270"/>
        <v>10.97</v>
      </c>
      <c r="L240" s="212">
        <f t="shared" si="271"/>
        <v>0</v>
      </c>
      <c r="M240" s="212">
        <f t="shared" si="272"/>
        <v>8.99</v>
      </c>
      <c r="N240" s="212">
        <f t="shared" si="273"/>
        <v>0</v>
      </c>
      <c r="O240" s="213">
        <f t="shared" si="274"/>
        <v>10.97</v>
      </c>
      <c r="P240" s="213">
        <f t="shared" si="275"/>
        <v>0</v>
      </c>
      <c r="Q240" s="3"/>
      <c r="R240" s="222">
        <f t="shared" si="276"/>
        <v>878</v>
      </c>
      <c r="AK240" s="141">
        <f t="shared" si="277"/>
        <v>877.6</v>
      </c>
    </row>
    <row r="241" spans="1:37" outlineLevel="1">
      <c r="A241" s="150"/>
      <c r="B241" s="188" t="s">
        <v>30</v>
      </c>
      <c r="C241" s="190" t="s">
        <v>23</v>
      </c>
      <c r="D241" s="215"/>
      <c r="E241" s="242">
        <v>14570443001</v>
      </c>
      <c r="F241" s="243" t="s">
        <v>214</v>
      </c>
      <c r="G241" s="211"/>
      <c r="H241" s="244" t="s">
        <v>65</v>
      </c>
      <c r="I241" s="244">
        <v>3</v>
      </c>
      <c r="J241" s="245">
        <v>15.32</v>
      </c>
      <c r="K241" s="212">
        <f t="shared" si="270"/>
        <v>18.690000000000001</v>
      </c>
      <c r="L241" s="212">
        <f t="shared" si="271"/>
        <v>0</v>
      </c>
      <c r="M241" s="212">
        <f t="shared" si="272"/>
        <v>15.32</v>
      </c>
      <c r="N241" s="212">
        <f t="shared" si="273"/>
        <v>0</v>
      </c>
      <c r="O241" s="213">
        <f t="shared" si="274"/>
        <v>18.690000000000001</v>
      </c>
      <c r="P241" s="213">
        <f t="shared" si="275"/>
        <v>0</v>
      </c>
      <c r="Q241" s="3"/>
      <c r="R241" s="222">
        <f t="shared" si="276"/>
        <v>1495</v>
      </c>
      <c r="AK241" s="141">
        <f t="shared" si="277"/>
        <v>1495.2000000000003</v>
      </c>
    </row>
    <row r="242" spans="1:37" outlineLevel="1">
      <c r="A242" s="147"/>
      <c r="B242" s="188" t="s">
        <v>30</v>
      </c>
      <c r="C242" s="190" t="s">
        <v>23</v>
      </c>
      <c r="D242" s="215"/>
      <c r="E242" s="242">
        <v>14573953001</v>
      </c>
      <c r="F242" s="243" t="s">
        <v>215</v>
      </c>
      <c r="G242" s="211"/>
      <c r="H242" s="244" t="s">
        <v>65</v>
      </c>
      <c r="I242" s="244">
        <v>5</v>
      </c>
      <c r="J242" s="245">
        <v>39.96</v>
      </c>
      <c r="K242" s="212">
        <f t="shared" si="270"/>
        <v>48.75</v>
      </c>
      <c r="L242" s="212">
        <f t="shared" si="271"/>
        <v>0</v>
      </c>
      <c r="M242" s="212">
        <f t="shared" si="272"/>
        <v>39.96</v>
      </c>
      <c r="N242" s="212">
        <f t="shared" si="273"/>
        <v>0</v>
      </c>
      <c r="O242" s="213">
        <f t="shared" si="274"/>
        <v>48.75</v>
      </c>
      <c r="P242" s="213">
        <f t="shared" si="275"/>
        <v>0</v>
      </c>
      <c r="Q242" s="3"/>
      <c r="R242" s="222">
        <f t="shared" si="276"/>
        <v>3900</v>
      </c>
      <c r="AK242" s="141">
        <f t="shared" si="277"/>
        <v>3900</v>
      </c>
    </row>
    <row r="243" spans="1:37" outlineLevel="1">
      <c r="A243" s="150"/>
      <c r="B243" s="188" t="s">
        <v>30</v>
      </c>
      <c r="C243" s="190" t="s">
        <v>23</v>
      </c>
      <c r="D243" s="215"/>
      <c r="E243" s="242">
        <v>14570473001</v>
      </c>
      <c r="F243" s="243" t="s">
        <v>216</v>
      </c>
      <c r="G243" s="211"/>
      <c r="H243" s="244" t="s">
        <v>65</v>
      </c>
      <c r="I243" s="244">
        <v>4</v>
      </c>
      <c r="J243" s="245">
        <v>49.73</v>
      </c>
      <c r="K243" s="212">
        <f t="shared" si="270"/>
        <v>60.67</v>
      </c>
      <c r="L243" s="212">
        <f t="shared" si="271"/>
        <v>0</v>
      </c>
      <c r="M243" s="212">
        <f t="shared" si="272"/>
        <v>49.73</v>
      </c>
      <c r="N243" s="212">
        <f t="shared" si="273"/>
        <v>0</v>
      </c>
      <c r="O243" s="213">
        <f t="shared" si="274"/>
        <v>60.67</v>
      </c>
      <c r="P243" s="213">
        <f t="shared" si="275"/>
        <v>0</v>
      </c>
      <c r="Q243" s="3"/>
      <c r="R243" s="222">
        <f t="shared" si="276"/>
        <v>4854</v>
      </c>
      <c r="AK243" s="141">
        <f t="shared" si="277"/>
        <v>4853.6000000000004</v>
      </c>
    </row>
    <row r="244" spans="1:37" outlineLevel="1">
      <c r="A244" s="147"/>
      <c r="B244" s="188"/>
      <c r="C244" s="215"/>
      <c r="D244" s="215"/>
      <c r="E244" s="217"/>
      <c r="F244" s="218"/>
      <c r="G244" s="211"/>
      <c r="H244" s="215"/>
      <c r="I244" s="215"/>
      <c r="J244" s="220"/>
      <c r="K244" s="220"/>
      <c r="L244" s="220"/>
      <c r="M244" s="220"/>
      <c r="N244" s="220"/>
      <c r="O244" s="221"/>
      <c r="P244" s="221"/>
      <c r="Q244" s="3"/>
      <c r="R244" s="222"/>
      <c r="AK244" s="141"/>
    </row>
    <row r="245" spans="1:37" outlineLevel="1">
      <c r="A245" s="147"/>
      <c r="B245" s="188" t="s">
        <v>30</v>
      </c>
      <c r="C245" s="190" t="s">
        <v>23</v>
      </c>
      <c r="D245" s="190"/>
      <c r="E245" s="188">
        <v>11080411001</v>
      </c>
      <c r="F245" s="210" t="s">
        <v>217</v>
      </c>
      <c r="G245" s="211"/>
      <c r="H245" s="190" t="s">
        <v>65</v>
      </c>
      <c r="I245" s="190">
        <v>10</v>
      </c>
      <c r="J245" s="212">
        <v>3.23</v>
      </c>
      <c r="K245" s="212">
        <f t="shared" ref="K245:K248" si="278">ROUND((J245*$C$3),2)</f>
        <v>3.94</v>
      </c>
      <c r="L245" s="212">
        <f t="shared" ref="L245:L253" si="279">K245*G245</f>
        <v>0</v>
      </c>
      <c r="M245" s="212">
        <f t="shared" ref="M245:M248" si="280">J245*(1-$E$5-$E$7)*(1-$E$9)*(1+$E$11)</f>
        <v>3.23</v>
      </c>
      <c r="N245" s="212">
        <f t="shared" ref="N245:N253" si="281">M245*G245</f>
        <v>0</v>
      </c>
      <c r="O245" s="213">
        <f t="shared" ref="O245:O248" si="282">ROUND((M245*$C$3),2)</f>
        <v>3.94</v>
      </c>
      <c r="P245" s="213">
        <f t="shared" ref="P245:P253" si="283">O245*G245</f>
        <v>0</v>
      </c>
      <c r="Q245" s="3"/>
      <c r="R245" s="222">
        <f t="shared" si="216"/>
        <v>315</v>
      </c>
      <c r="AK245" s="141">
        <f t="shared" si="217"/>
        <v>315.20000000000005</v>
      </c>
    </row>
    <row r="246" spans="1:37" outlineLevel="1">
      <c r="A246" s="147"/>
      <c r="B246" s="188" t="s">
        <v>30</v>
      </c>
      <c r="C246" s="190" t="s">
        <v>23</v>
      </c>
      <c r="D246" s="190"/>
      <c r="E246" s="188">
        <v>11080421001</v>
      </c>
      <c r="F246" s="210" t="s">
        <v>218</v>
      </c>
      <c r="G246" s="211"/>
      <c r="H246" s="190" t="s">
        <v>65</v>
      </c>
      <c r="I246" s="190">
        <v>10</v>
      </c>
      <c r="J246" s="212">
        <v>5.15</v>
      </c>
      <c r="K246" s="212">
        <f t="shared" ref="K246" si="284">ROUND((J246*$C$3),2)</f>
        <v>6.28</v>
      </c>
      <c r="L246" s="212">
        <f t="shared" si="279"/>
        <v>0</v>
      </c>
      <c r="M246" s="212">
        <f t="shared" ref="M246" si="285">J246*(1-$E$5-$E$7)*(1-$E$9)*(1+$E$11)</f>
        <v>5.15</v>
      </c>
      <c r="N246" s="212">
        <f t="shared" si="281"/>
        <v>0</v>
      </c>
      <c r="O246" s="213">
        <f t="shared" ref="O246" si="286">ROUND((M246*$C$3),2)</f>
        <v>6.28</v>
      </c>
      <c r="P246" s="213">
        <f t="shared" si="283"/>
        <v>0</v>
      </c>
      <c r="Q246" s="3"/>
      <c r="R246" s="222">
        <f t="shared" ref="R246" si="287">ROUND(AK246,0)</f>
        <v>502</v>
      </c>
      <c r="AK246" s="141">
        <f t="shared" ref="AK246" si="288">K246*$AK$11*(1-$AK$10)</f>
        <v>502.40000000000003</v>
      </c>
    </row>
    <row r="247" spans="1:37" outlineLevel="1">
      <c r="A247" s="147"/>
      <c r="B247" s="188" t="s">
        <v>30</v>
      </c>
      <c r="C247" s="190" t="s">
        <v>23</v>
      </c>
      <c r="D247" s="190"/>
      <c r="E247" s="188">
        <v>11080431001</v>
      </c>
      <c r="F247" s="210" t="s">
        <v>219</v>
      </c>
      <c r="G247" s="211"/>
      <c r="H247" s="190" t="s">
        <v>65</v>
      </c>
      <c r="I247" s="190">
        <v>10</v>
      </c>
      <c r="J247" s="212">
        <v>5.15</v>
      </c>
      <c r="K247" s="212">
        <f t="shared" si="278"/>
        <v>6.28</v>
      </c>
      <c r="L247" s="212">
        <f t="shared" si="279"/>
        <v>0</v>
      </c>
      <c r="M247" s="212">
        <f t="shared" si="280"/>
        <v>5.15</v>
      </c>
      <c r="N247" s="212">
        <f t="shared" si="281"/>
        <v>0</v>
      </c>
      <c r="O247" s="213">
        <f t="shared" si="282"/>
        <v>6.28</v>
      </c>
      <c r="P247" s="213">
        <f t="shared" si="283"/>
        <v>0</v>
      </c>
      <c r="Q247" s="3"/>
      <c r="R247" s="222">
        <f t="shared" si="216"/>
        <v>502</v>
      </c>
      <c r="AK247" s="141">
        <f t="shared" si="217"/>
        <v>502.40000000000003</v>
      </c>
    </row>
    <row r="248" spans="1:37" outlineLevel="1">
      <c r="A248" s="147"/>
      <c r="B248" s="188" t="s">
        <v>30</v>
      </c>
      <c r="C248" s="190" t="s">
        <v>23</v>
      </c>
      <c r="D248" s="190"/>
      <c r="E248" s="188">
        <v>11080441001</v>
      </c>
      <c r="F248" s="210" t="s">
        <v>220</v>
      </c>
      <c r="G248" s="211"/>
      <c r="H248" s="190" t="s">
        <v>65</v>
      </c>
      <c r="I248" s="190">
        <v>3</v>
      </c>
      <c r="J248" s="212">
        <v>9.76</v>
      </c>
      <c r="K248" s="212">
        <f t="shared" si="278"/>
        <v>11.91</v>
      </c>
      <c r="L248" s="212">
        <f t="shared" si="279"/>
        <v>0</v>
      </c>
      <c r="M248" s="212">
        <f t="shared" si="280"/>
        <v>9.76</v>
      </c>
      <c r="N248" s="212">
        <f t="shared" si="281"/>
        <v>0</v>
      </c>
      <c r="O248" s="213">
        <f t="shared" si="282"/>
        <v>11.91</v>
      </c>
      <c r="P248" s="213">
        <f t="shared" si="283"/>
        <v>0</v>
      </c>
      <c r="Q248" s="3"/>
      <c r="R248" s="222">
        <f t="shared" si="216"/>
        <v>953</v>
      </c>
      <c r="AK248" s="141">
        <f t="shared" si="217"/>
        <v>952.80000000000007</v>
      </c>
    </row>
    <row r="249" spans="1:37" outlineLevel="1">
      <c r="A249" s="147"/>
      <c r="B249" s="188" t="s">
        <v>30</v>
      </c>
      <c r="C249" s="190" t="s">
        <v>23</v>
      </c>
      <c r="D249" s="190"/>
      <c r="E249" s="188">
        <v>11093951001</v>
      </c>
      <c r="F249" s="210" t="s">
        <v>221</v>
      </c>
      <c r="G249" s="211"/>
      <c r="H249" s="190" t="s">
        <v>65</v>
      </c>
      <c r="I249" s="190">
        <v>5</v>
      </c>
      <c r="J249" s="212">
        <v>29.6</v>
      </c>
      <c r="K249" s="212">
        <f t="shared" ref="K249" si="289">ROUND((J249*$C$3),2)</f>
        <v>36.11</v>
      </c>
      <c r="L249" s="212">
        <f t="shared" si="279"/>
        <v>0</v>
      </c>
      <c r="M249" s="212">
        <f t="shared" ref="M249" si="290">J249*(1-$E$5-$E$7)*(1-$E$9)*(1+$E$11)</f>
        <v>29.6</v>
      </c>
      <c r="N249" s="212">
        <f t="shared" si="281"/>
        <v>0</v>
      </c>
      <c r="O249" s="213">
        <f t="shared" ref="O249" si="291">ROUND((M249*$C$3),2)</f>
        <v>36.11</v>
      </c>
      <c r="P249" s="213">
        <f t="shared" si="283"/>
        <v>0</v>
      </c>
      <c r="Q249" s="3"/>
      <c r="R249" s="222">
        <f t="shared" ref="R249" si="292">ROUND(AK249,0)</f>
        <v>2889</v>
      </c>
      <c r="AK249" s="141">
        <f t="shared" ref="AK249" si="293">K249*$AK$11*(1-$AK$10)</f>
        <v>2888.8</v>
      </c>
    </row>
    <row r="250" spans="1:37" outlineLevel="1">
      <c r="A250" s="147"/>
      <c r="B250" s="188" t="s">
        <v>30</v>
      </c>
      <c r="C250" s="190" t="s">
        <v>23</v>
      </c>
      <c r="D250" s="190"/>
      <c r="E250" s="188">
        <v>11080471001</v>
      </c>
      <c r="F250" s="210" t="s">
        <v>222</v>
      </c>
      <c r="G250" s="211"/>
      <c r="H250" s="190" t="s">
        <v>65</v>
      </c>
      <c r="I250" s="190">
        <v>4</v>
      </c>
      <c r="J250" s="212">
        <v>36.840000000000003</v>
      </c>
      <c r="K250" s="212">
        <f t="shared" ref="K250:K251" si="294">ROUND((J250*$C$3),2)</f>
        <v>44.94</v>
      </c>
      <c r="L250" s="212">
        <f t="shared" si="279"/>
        <v>0</v>
      </c>
      <c r="M250" s="212">
        <f t="shared" ref="M250:M251" si="295">J250*(1-$E$5-$E$7)*(1-$E$9)*(1+$E$11)</f>
        <v>36.840000000000003</v>
      </c>
      <c r="N250" s="212">
        <f t="shared" si="281"/>
        <v>0</v>
      </c>
      <c r="O250" s="213">
        <f t="shared" ref="O250:O251" si="296">ROUND((M250*$C$3),2)</f>
        <v>44.94</v>
      </c>
      <c r="P250" s="213">
        <f t="shared" si="283"/>
        <v>0</v>
      </c>
      <c r="Q250" s="3"/>
      <c r="R250" s="222">
        <f t="shared" ref="R250:R251" si="297">ROUND(AK250,0)</f>
        <v>3595</v>
      </c>
      <c r="AK250" s="141">
        <f t="shared" ref="AK250:AK251" si="298">K250*$AK$11*(1-$AK$10)</f>
        <v>3595.2000000000003</v>
      </c>
    </row>
    <row r="251" spans="1:37" outlineLevel="1">
      <c r="A251" s="147"/>
      <c r="B251" s="188" t="s">
        <v>30</v>
      </c>
      <c r="C251" s="190" t="s">
        <v>23</v>
      </c>
      <c r="D251" s="190"/>
      <c r="E251" s="188">
        <v>11093041001</v>
      </c>
      <c r="F251" s="210" t="s">
        <v>223</v>
      </c>
      <c r="G251" s="211"/>
      <c r="H251" s="190" t="s">
        <v>65</v>
      </c>
      <c r="I251" s="190">
        <v>5</v>
      </c>
      <c r="J251" s="212">
        <v>57.7</v>
      </c>
      <c r="K251" s="212">
        <f t="shared" si="294"/>
        <v>70.39</v>
      </c>
      <c r="L251" s="212">
        <f t="shared" si="279"/>
        <v>0</v>
      </c>
      <c r="M251" s="212">
        <f t="shared" si="295"/>
        <v>57.7</v>
      </c>
      <c r="N251" s="212">
        <f t="shared" si="281"/>
        <v>0</v>
      </c>
      <c r="O251" s="213">
        <f t="shared" si="296"/>
        <v>70.39</v>
      </c>
      <c r="P251" s="213">
        <f t="shared" si="283"/>
        <v>0</v>
      </c>
      <c r="Q251" s="3"/>
      <c r="R251" s="222">
        <f t="shared" si="297"/>
        <v>5631</v>
      </c>
      <c r="AK251" s="141">
        <f t="shared" si="298"/>
        <v>5631.2000000000007</v>
      </c>
    </row>
    <row r="252" spans="1:37" outlineLevel="1">
      <c r="A252" s="147"/>
      <c r="B252" s="188" t="s">
        <v>30</v>
      </c>
      <c r="C252" s="190" t="s">
        <v>23</v>
      </c>
      <c r="D252" s="190"/>
      <c r="E252" s="188">
        <v>11093051001</v>
      </c>
      <c r="F252" s="239" t="s">
        <v>224</v>
      </c>
      <c r="G252" s="211"/>
      <c r="H252" s="190" t="s">
        <v>65</v>
      </c>
      <c r="I252" s="190">
        <v>1</v>
      </c>
      <c r="J252" s="212">
        <v>58.22</v>
      </c>
      <c r="K252" s="212">
        <f t="shared" ref="K252:K253" si="299">ROUND((J252*$C$3),2)</f>
        <v>71.03</v>
      </c>
      <c r="L252" s="212">
        <f t="shared" si="279"/>
        <v>0</v>
      </c>
      <c r="M252" s="212">
        <f t="shared" ref="M252:M253" si="300">J252*(1-$E$5-$E$7)*(1-$E$9)*(1+$E$11)</f>
        <v>58.22</v>
      </c>
      <c r="N252" s="212">
        <f t="shared" si="281"/>
        <v>0</v>
      </c>
      <c r="O252" s="213">
        <f t="shared" ref="O252:O253" si="301">ROUND((M252*$C$3),2)</f>
        <v>71.03</v>
      </c>
      <c r="P252" s="213">
        <f t="shared" si="283"/>
        <v>0</v>
      </c>
      <c r="Q252" s="3"/>
      <c r="R252" s="222">
        <f t="shared" ref="R252:R253" si="302">ROUND(AK252,0)</f>
        <v>5682</v>
      </c>
      <c r="AK252" s="141">
        <f t="shared" si="217"/>
        <v>5682.4000000000005</v>
      </c>
    </row>
    <row r="253" spans="1:37" outlineLevel="1">
      <c r="A253" s="147"/>
      <c r="B253" s="188" t="s">
        <v>30</v>
      </c>
      <c r="C253" s="190" t="s">
        <v>23</v>
      </c>
      <c r="D253" s="190"/>
      <c r="E253" s="188">
        <v>11093061001</v>
      </c>
      <c r="F253" s="239" t="s">
        <v>225</v>
      </c>
      <c r="G253" s="211"/>
      <c r="H253" s="190" t="s">
        <v>65</v>
      </c>
      <c r="I253" s="190">
        <v>1</v>
      </c>
      <c r="J253" s="212">
        <v>78.95</v>
      </c>
      <c r="K253" s="212">
        <f t="shared" si="299"/>
        <v>96.32</v>
      </c>
      <c r="L253" s="212">
        <f t="shared" si="279"/>
        <v>0</v>
      </c>
      <c r="M253" s="212">
        <f t="shared" si="300"/>
        <v>78.95</v>
      </c>
      <c r="N253" s="212">
        <f t="shared" si="281"/>
        <v>0</v>
      </c>
      <c r="O253" s="213">
        <f t="shared" si="301"/>
        <v>96.32</v>
      </c>
      <c r="P253" s="213">
        <f t="shared" si="283"/>
        <v>0</v>
      </c>
      <c r="Q253" s="3"/>
      <c r="R253" s="222">
        <f t="shared" si="302"/>
        <v>7706</v>
      </c>
      <c r="AK253" s="141">
        <f t="shared" si="217"/>
        <v>7705.6</v>
      </c>
    </row>
    <row r="254" spans="1:37" outlineLevel="1">
      <c r="A254" s="147"/>
      <c r="B254" s="188"/>
      <c r="C254" s="215"/>
      <c r="D254" s="215"/>
      <c r="E254" s="217"/>
      <c r="F254" s="218"/>
      <c r="G254" s="211"/>
      <c r="H254" s="215"/>
      <c r="I254" s="215"/>
      <c r="J254" s="220"/>
      <c r="K254" s="220"/>
      <c r="L254" s="220"/>
      <c r="M254" s="220"/>
      <c r="N254" s="220"/>
      <c r="O254" s="221"/>
      <c r="P254" s="221"/>
      <c r="Q254" s="3"/>
      <c r="R254" s="222"/>
      <c r="AK254" s="141"/>
    </row>
    <row r="255" spans="1:37" ht="30.6" outlineLevel="1">
      <c r="A255" s="148" t="s">
        <v>25</v>
      </c>
      <c r="B255" s="208" t="s">
        <v>26</v>
      </c>
      <c r="C255" s="190" t="s">
        <v>23</v>
      </c>
      <c r="D255" s="190"/>
      <c r="E255" s="188">
        <v>11600431001</v>
      </c>
      <c r="F255" s="210" t="s">
        <v>226</v>
      </c>
      <c r="G255" s="211"/>
      <c r="H255" s="190" t="s">
        <v>65</v>
      </c>
      <c r="I255" s="190">
        <v>10</v>
      </c>
      <c r="J255" s="212">
        <v>5.31</v>
      </c>
      <c r="K255" s="212">
        <f t="shared" si="197"/>
        <v>6.48</v>
      </c>
      <c r="L255" s="212">
        <f>K255*G255</f>
        <v>0</v>
      </c>
      <c r="M255" s="212">
        <f t="shared" si="198"/>
        <v>5.31</v>
      </c>
      <c r="N255" s="212">
        <f>M255*G255</f>
        <v>0</v>
      </c>
      <c r="O255" s="213">
        <f t="shared" si="199"/>
        <v>6.48</v>
      </c>
      <c r="P255" s="213">
        <f>O255*G255</f>
        <v>0</v>
      </c>
      <c r="Q255" s="3"/>
      <c r="R255" s="214">
        <f t="shared" si="216"/>
        <v>518</v>
      </c>
      <c r="AK255" s="141">
        <f t="shared" si="217"/>
        <v>518.4</v>
      </c>
    </row>
    <row r="256" spans="1:37" outlineLevel="1">
      <c r="A256" s="147"/>
      <c r="B256" s="240"/>
      <c r="C256" s="247"/>
      <c r="D256" s="238"/>
      <c r="E256" s="188"/>
      <c r="F256" s="210"/>
      <c r="G256" s="211"/>
      <c r="H256" s="190"/>
      <c r="I256" s="190"/>
      <c r="J256" s="212"/>
      <c r="K256" s="212"/>
      <c r="L256" s="212"/>
      <c r="M256" s="212"/>
      <c r="N256" s="212"/>
      <c r="O256" s="213"/>
      <c r="P256" s="213"/>
      <c r="Q256" s="3"/>
      <c r="R256" s="222"/>
      <c r="AK256" s="141"/>
    </row>
    <row r="257" spans="1:37" ht="30.6" outlineLevel="1">
      <c r="A257" s="148" t="s">
        <v>25</v>
      </c>
      <c r="B257" s="208" t="s">
        <v>26</v>
      </c>
      <c r="C257" s="190" t="s">
        <v>23</v>
      </c>
      <c r="D257" s="190"/>
      <c r="E257" s="188">
        <v>13777181001</v>
      </c>
      <c r="F257" s="258" t="s">
        <v>227</v>
      </c>
      <c r="G257" s="211"/>
      <c r="H257" s="190" t="s">
        <v>65</v>
      </c>
      <c r="I257" s="190">
        <v>10</v>
      </c>
      <c r="J257" s="212">
        <v>2.3499999999999996</v>
      </c>
      <c r="K257" s="212">
        <f t="shared" ref="K257:K349" si="303">ROUND((J257*$C$3),2)</f>
        <v>2.87</v>
      </c>
      <c r="L257" s="212">
        <f>K257*G257</f>
        <v>0</v>
      </c>
      <c r="M257" s="212">
        <f t="shared" ref="M257:M349" si="304">J257*(1-$E$5-$E$7)*(1-$E$9)*(1+$E$11)</f>
        <v>2.3499999999999996</v>
      </c>
      <c r="N257" s="212">
        <f>M257*G257</f>
        <v>0</v>
      </c>
      <c r="O257" s="213">
        <f t="shared" ref="O257:O349" si="305">ROUND((M257*$C$3),2)</f>
        <v>2.87</v>
      </c>
      <c r="P257" s="213">
        <f>O257*G257</f>
        <v>0</v>
      </c>
      <c r="Q257" s="3"/>
      <c r="R257" s="214">
        <f t="shared" si="216"/>
        <v>230</v>
      </c>
      <c r="AK257" s="141">
        <f t="shared" si="217"/>
        <v>229.60000000000002</v>
      </c>
    </row>
    <row r="258" spans="1:37" ht="30.6" outlineLevel="1">
      <c r="A258" s="148" t="s">
        <v>25</v>
      </c>
      <c r="B258" s="208" t="s">
        <v>26</v>
      </c>
      <c r="C258" s="190" t="s">
        <v>23</v>
      </c>
      <c r="D258" s="190"/>
      <c r="E258" s="188">
        <v>13777191001</v>
      </c>
      <c r="F258" s="258" t="s">
        <v>228</v>
      </c>
      <c r="G258" s="211"/>
      <c r="H258" s="190" t="s">
        <v>65</v>
      </c>
      <c r="I258" s="190">
        <v>10</v>
      </c>
      <c r="J258" s="212">
        <v>4.0599999999999996</v>
      </c>
      <c r="K258" s="212">
        <f t="shared" si="303"/>
        <v>4.95</v>
      </c>
      <c r="L258" s="212">
        <f>K258*G258</f>
        <v>0</v>
      </c>
      <c r="M258" s="212">
        <f t="shared" si="304"/>
        <v>4.0599999999999996</v>
      </c>
      <c r="N258" s="212">
        <f>M258*G258</f>
        <v>0</v>
      </c>
      <c r="O258" s="213">
        <f t="shared" si="305"/>
        <v>4.95</v>
      </c>
      <c r="P258" s="213">
        <f>O258*G258</f>
        <v>0</v>
      </c>
      <c r="Q258" s="3"/>
      <c r="R258" s="214">
        <f t="shared" si="216"/>
        <v>396</v>
      </c>
      <c r="AK258" s="141">
        <f t="shared" si="217"/>
        <v>396</v>
      </c>
    </row>
    <row r="259" spans="1:37" ht="30.6" outlineLevel="1">
      <c r="A259" s="148" t="s">
        <v>25</v>
      </c>
      <c r="B259" s="208" t="s">
        <v>26</v>
      </c>
      <c r="C259" s="190" t="s">
        <v>23</v>
      </c>
      <c r="D259" s="190"/>
      <c r="E259" s="188">
        <v>13777201001</v>
      </c>
      <c r="F259" s="258" t="s">
        <v>229</v>
      </c>
      <c r="G259" s="211"/>
      <c r="H259" s="190" t="s">
        <v>65</v>
      </c>
      <c r="I259" s="190">
        <v>10</v>
      </c>
      <c r="J259" s="212">
        <v>4.59</v>
      </c>
      <c r="K259" s="212">
        <f t="shared" si="303"/>
        <v>5.6</v>
      </c>
      <c r="L259" s="212">
        <f>K259*G259</f>
        <v>0</v>
      </c>
      <c r="M259" s="212">
        <f t="shared" si="304"/>
        <v>4.59</v>
      </c>
      <c r="N259" s="212">
        <f>M259*G259</f>
        <v>0</v>
      </c>
      <c r="O259" s="213">
        <f t="shared" si="305"/>
        <v>5.6</v>
      </c>
      <c r="P259" s="213">
        <f>O259*G259</f>
        <v>0</v>
      </c>
      <c r="Q259" s="3"/>
      <c r="R259" s="214">
        <f t="shared" si="216"/>
        <v>448</v>
      </c>
      <c r="AK259" s="141">
        <f t="shared" si="217"/>
        <v>448</v>
      </c>
    </row>
    <row r="260" spans="1:37" ht="30.6" outlineLevel="1">
      <c r="A260" s="148" t="s">
        <v>25</v>
      </c>
      <c r="B260" s="208" t="s">
        <v>26</v>
      </c>
      <c r="C260" s="190" t="s">
        <v>23</v>
      </c>
      <c r="D260" s="190"/>
      <c r="E260" s="264">
        <v>13777221001</v>
      </c>
      <c r="F260" s="258" t="s">
        <v>230</v>
      </c>
      <c r="G260" s="211"/>
      <c r="H260" s="190" t="s">
        <v>65</v>
      </c>
      <c r="I260" s="190">
        <v>10</v>
      </c>
      <c r="J260" s="212">
        <v>5.55</v>
      </c>
      <c r="K260" s="212">
        <f t="shared" si="303"/>
        <v>6.77</v>
      </c>
      <c r="L260" s="212">
        <f>K260*G260</f>
        <v>0</v>
      </c>
      <c r="M260" s="212">
        <f t="shared" si="304"/>
        <v>5.55</v>
      </c>
      <c r="N260" s="212">
        <f>M260*G260</f>
        <v>0</v>
      </c>
      <c r="O260" s="213">
        <f t="shared" si="305"/>
        <v>6.77</v>
      </c>
      <c r="P260" s="213">
        <f>O260*G260</f>
        <v>0</v>
      </c>
      <c r="Q260" s="3"/>
      <c r="R260" s="214">
        <f t="shared" si="216"/>
        <v>542</v>
      </c>
      <c r="AK260" s="141">
        <f t="shared" si="217"/>
        <v>541.6</v>
      </c>
    </row>
    <row r="261" spans="1:37" outlineLevel="1">
      <c r="A261" s="147"/>
      <c r="B261" s="188"/>
      <c r="C261" s="215"/>
      <c r="D261" s="215"/>
      <c r="E261" s="265"/>
      <c r="F261" s="249"/>
      <c r="G261" s="211"/>
      <c r="H261" s="215"/>
      <c r="I261" s="215"/>
      <c r="J261" s="220"/>
      <c r="K261" s="220"/>
      <c r="L261" s="220"/>
      <c r="M261" s="220"/>
      <c r="N261" s="220"/>
      <c r="O261" s="221"/>
      <c r="P261" s="221"/>
      <c r="Q261" s="3"/>
      <c r="R261" s="222"/>
      <c r="AK261" s="141"/>
    </row>
    <row r="262" spans="1:37" outlineLevel="1">
      <c r="A262" s="147"/>
      <c r="B262" s="188" t="s">
        <v>30</v>
      </c>
      <c r="C262" s="190" t="s">
        <v>23</v>
      </c>
      <c r="D262" s="248">
        <v>14563111001</v>
      </c>
      <c r="E262" s="242">
        <v>14563113001</v>
      </c>
      <c r="F262" s="243" t="s">
        <v>231</v>
      </c>
      <c r="G262" s="211"/>
      <c r="H262" s="244" t="s">
        <v>65</v>
      </c>
      <c r="I262" s="244">
        <v>10</v>
      </c>
      <c r="J262" s="245">
        <v>4.97</v>
      </c>
      <c r="K262" s="212">
        <f t="shared" ref="K262:K274" si="306">ROUND((J262*$C$3),2)</f>
        <v>6.06</v>
      </c>
      <c r="L262" s="212">
        <f t="shared" ref="L262:L274" si="307">K262*G262</f>
        <v>0</v>
      </c>
      <c r="M262" s="212">
        <f t="shared" ref="M262:M274" si="308">J262*(1-$E$5-$E$7)*(1-$E$9)*(1+$E$11)</f>
        <v>4.97</v>
      </c>
      <c r="N262" s="212">
        <f t="shared" ref="N262:N274" si="309">M262*G262</f>
        <v>0</v>
      </c>
      <c r="O262" s="213">
        <f t="shared" ref="O262:O274" si="310">ROUND((M262*$C$3),2)</f>
        <v>6.06</v>
      </c>
      <c r="P262" s="213">
        <f t="shared" ref="P262:P274" si="311">O262*G262</f>
        <v>0</v>
      </c>
      <c r="Q262" s="3"/>
      <c r="R262" s="222">
        <f t="shared" ref="R262:R274" si="312">ROUND(AK262,0)</f>
        <v>485</v>
      </c>
      <c r="AK262" s="141">
        <f t="shared" ref="AK262:AK274" si="313">K262*$AK$11*(1-$AK$10)</f>
        <v>484.8</v>
      </c>
    </row>
    <row r="263" spans="1:37" outlineLevel="1">
      <c r="A263" s="147"/>
      <c r="B263" s="188" t="s">
        <v>30</v>
      </c>
      <c r="C263" s="190" t="s">
        <v>23</v>
      </c>
      <c r="D263" s="248">
        <v>14563121001</v>
      </c>
      <c r="E263" s="242">
        <v>14563123001</v>
      </c>
      <c r="F263" s="243" t="s">
        <v>232</v>
      </c>
      <c r="G263" s="211"/>
      <c r="H263" s="244" t="s">
        <v>65</v>
      </c>
      <c r="I263" s="244">
        <v>10</v>
      </c>
      <c r="J263" s="245">
        <v>6.91</v>
      </c>
      <c r="K263" s="212">
        <f t="shared" si="306"/>
        <v>8.43</v>
      </c>
      <c r="L263" s="212">
        <f t="shared" si="307"/>
        <v>0</v>
      </c>
      <c r="M263" s="212">
        <f t="shared" si="308"/>
        <v>6.91</v>
      </c>
      <c r="N263" s="212">
        <f t="shared" si="309"/>
        <v>0</v>
      </c>
      <c r="O263" s="213">
        <f t="shared" si="310"/>
        <v>8.43</v>
      </c>
      <c r="P263" s="213">
        <f t="shared" si="311"/>
        <v>0</v>
      </c>
      <c r="Q263" s="3"/>
      <c r="R263" s="222">
        <f t="shared" si="312"/>
        <v>674</v>
      </c>
      <c r="AK263" s="141">
        <f t="shared" si="313"/>
        <v>674.40000000000009</v>
      </c>
    </row>
    <row r="264" spans="1:37" outlineLevel="1">
      <c r="A264" s="147"/>
      <c r="B264" s="188" t="s">
        <v>30</v>
      </c>
      <c r="C264" s="190" t="s">
        <v>23</v>
      </c>
      <c r="D264" s="248">
        <v>14563131001</v>
      </c>
      <c r="E264" s="242">
        <v>14563133001</v>
      </c>
      <c r="F264" s="243" t="s">
        <v>233</v>
      </c>
      <c r="G264" s="211"/>
      <c r="H264" s="244" t="s">
        <v>65</v>
      </c>
      <c r="I264" s="244">
        <v>5</v>
      </c>
      <c r="J264" s="245">
        <v>14.89</v>
      </c>
      <c r="K264" s="212">
        <f t="shared" si="306"/>
        <v>18.170000000000002</v>
      </c>
      <c r="L264" s="212">
        <f t="shared" si="307"/>
        <v>0</v>
      </c>
      <c r="M264" s="212">
        <f t="shared" si="308"/>
        <v>14.89</v>
      </c>
      <c r="N264" s="212">
        <f t="shared" si="309"/>
        <v>0</v>
      </c>
      <c r="O264" s="213">
        <f t="shared" si="310"/>
        <v>18.170000000000002</v>
      </c>
      <c r="P264" s="213">
        <f t="shared" si="311"/>
        <v>0</v>
      </c>
      <c r="Q264" s="3"/>
      <c r="R264" s="222">
        <f t="shared" si="312"/>
        <v>1454</v>
      </c>
      <c r="AK264" s="141">
        <f t="shared" si="313"/>
        <v>1453.6000000000004</v>
      </c>
    </row>
    <row r="265" spans="1:37" outlineLevel="1">
      <c r="A265" s="147"/>
      <c r="B265" s="188" t="s">
        <v>30</v>
      </c>
      <c r="C265" s="190" t="s">
        <v>23</v>
      </c>
      <c r="D265" s="248">
        <v>14563141001</v>
      </c>
      <c r="E265" s="242">
        <v>14563143001</v>
      </c>
      <c r="F265" s="243" t="s">
        <v>234</v>
      </c>
      <c r="G265" s="211"/>
      <c r="H265" s="244" t="s">
        <v>65</v>
      </c>
      <c r="I265" s="244">
        <v>10</v>
      </c>
      <c r="J265" s="245">
        <v>5.89</v>
      </c>
      <c r="K265" s="212">
        <f t="shared" si="306"/>
        <v>7.19</v>
      </c>
      <c r="L265" s="212">
        <f t="shared" si="307"/>
        <v>0</v>
      </c>
      <c r="M265" s="212">
        <f t="shared" si="308"/>
        <v>5.89</v>
      </c>
      <c r="N265" s="212">
        <f t="shared" si="309"/>
        <v>0</v>
      </c>
      <c r="O265" s="213">
        <f t="shared" si="310"/>
        <v>7.19</v>
      </c>
      <c r="P265" s="213">
        <f t="shared" si="311"/>
        <v>0</v>
      </c>
      <c r="Q265" s="3"/>
      <c r="R265" s="222">
        <f t="shared" si="312"/>
        <v>575</v>
      </c>
      <c r="AK265" s="141">
        <f t="shared" si="313"/>
        <v>575.20000000000005</v>
      </c>
    </row>
    <row r="266" spans="1:37" outlineLevel="1">
      <c r="A266" s="147"/>
      <c r="B266" s="188" t="s">
        <v>30</v>
      </c>
      <c r="C266" s="190" t="s">
        <v>23</v>
      </c>
      <c r="D266" s="248">
        <v>14563151001</v>
      </c>
      <c r="E266" s="242">
        <v>14563153001</v>
      </c>
      <c r="F266" s="243" t="s">
        <v>235</v>
      </c>
      <c r="G266" s="211"/>
      <c r="H266" s="244" t="s">
        <v>65</v>
      </c>
      <c r="I266" s="244">
        <v>10</v>
      </c>
      <c r="J266" s="245">
        <v>8.2899999999999991</v>
      </c>
      <c r="K266" s="212">
        <f t="shared" si="306"/>
        <v>10.11</v>
      </c>
      <c r="L266" s="212">
        <f t="shared" si="307"/>
        <v>0</v>
      </c>
      <c r="M266" s="212">
        <f t="shared" si="308"/>
        <v>8.2899999999999991</v>
      </c>
      <c r="N266" s="212">
        <f t="shared" si="309"/>
        <v>0</v>
      </c>
      <c r="O266" s="213">
        <f t="shared" si="310"/>
        <v>10.11</v>
      </c>
      <c r="P266" s="213">
        <f t="shared" si="311"/>
        <v>0</v>
      </c>
      <c r="Q266" s="3"/>
      <c r="R266" s="222">
        <f t="shared" si="312"/>
        <v>809</v>
      </c>
      <c r="AK266" s="141">
        <f t="shared" si="313"/>
        <v>808.80000000000007</v>
      </c>
    </row>
    <row r="267" spans="1:37" outlineLevel="1">
      <c r="A267" s="147"/>
      <c r="B267" s="188" t="s">
        <v>30</v>
      </c>
      <c r="C267" s="190" t="s">
        <v>23</v>
      </c>
      <c r="D267" s="248">
        <v>14563161001</v>
      </c>
      <c r="E267" s="242">
        <v>14563163001</v>
      </c>
      <c r="F267" s="243" t="s">
        <v>236</v>
      </c>
      <c r="G267" s="211"/>
      <c r="H267" s="244" t="s">
        <v>65</v>
      </c>
      <c r="I267" s="244">
        <v>5</v>
      </c>
      <c r="J267" s="245">
        <v>15.33</v>
      </c>
      <c r="K267" s="212">
        <f t="shared" si="306"/>
        <v>18.7</v>
      </c>
      <c r="L267" s="212">
        <f t="shared" si="307"/>
        <v>0</v>
      </c>
      <c r="M267" s="212">
        <f t="shared" si="308"/>
        <v>15.33</v>
      </c>
      <c r="N267" s="212">
        <f t="shared" si="309"/>
        <v>0</v>
      </c>
      <c r="O267" s="213">
        <f t="shared" si="310"/>
        <v>18.7</v>
      </c>
      <c r="P267" s="213">
        <f t="shared" si="311"/>
        <v>0</v>
      </c>
      <c r="Q267" s="3"/>
      <c r="R267" s="222">
        <f t="shared" si="312"/>
        <v>1496</v>
      </c>
      <c r="AK267" s="141">
        <f t="shared" si="313"/>
        <v>1496</v>
      </c>
    </row>
    <row r="268" spans="1:37" outlineLevel="1">
      <c r="A268" s="147"/>
      <c r="B268" s="188" t="s">
        <v>30</v>
      </c>
      <c r="C268" s="190" t="s">
        <v>23</v>
      </c>
      <c r="D268" s="248">
        <v>14563191001</v>
      </c>
      <c r="E268" s="242">
        <v>14563193001</v>
      </c>
      <c r="F268" s="243" t="s">
        <v>237</v>
      </c>
      <c r="G268" s="211"/>
      <c r="H268" s="244" t="s">
        <v>65</v>
      </c>
      <c r="I268" s="244">
        <v>10</v>
      </c>
      <c r="J268" s="245">
        <v>14.04</v>
      </c>
      <c r="K268" s="212">
        <f t="shared" si="306"/>
        <v>17.13</v>
      </c>
      <c r="L268" s="212">
        <f t="shared" si="307"/>
        <v>0</v>
      </c>
      <c r="M268" s="212">
        <f t="shared" si="308"/>
        <v>14.04</v>
      </c>
      <c r="N268" s="212">
        <f t="shared" si="309"/>
        <v>0</v>
      </c>
      <c r="O268" s="213">
        <f t="shared" si="310"/>
        <v>17.13</v>
      </c>
      <c r="P268" s="213">
        <f t="shared" si="311"/>
        <v>0</v>
      </c>
      <c r="Q268" s="3"/>
      <c r="R268" s="222">
        <f t="shared" si="312"/>
        <v>1370</v>
      </c>
      <c r="AK268" s="141">
        <f t="shared" si="313"/>
        <v>1370.4</v>
      </c>
    </row>
    <row r="269" spans="1:37" outlineLevel="1">
      <c r="A269" s="147"/>
      <c r="B269" s="188" t="s">
        <v>30</v>
      </c>
      <c r="C269" s="190" t="s">
        <v>23</v>
      </c>
      <c r="D269" s="248">
        <v>14563171001</v>
      </c>
      <c r="E269" s="246">
        <v>14563173001</v>
      </c>
      <c r="F269" s="243" t="s">
        <v>238</v>
      </c>
      <c r="G269" s="211"/>
      <c r="H269" s="244" t="s">
        <v>65</v>
      </c>
      <c r="I269" s="244">
        <v>10</v>
      </c>
      <c r="J269" s="245">
        <v>8.6199999999999992</v>
      </c>
      <c r="K269" s="212">
        <f t="shared" si="306"/>
        <v>10.52</v>
      </c>
      <c r="L269" s="212">
        <f t="shared" si="307"/>
        <v>0</v>
      </c>
      <c r="M269" s="212">
        <f t="shared" si="308"/>
        <v>8.6199999999999992</v>
      </c>
      <c r="N269" s="212">
        <f t="shared" si="309"/>
        <v>0</v>
      </c>
      <c r="O269" s="213">
        <f t="shared" si="310"/>
        <v>10.52</v>
      </c>
      <c r="P269" s="213">
        <f t="shared" si="311"/>
        <v>0</v>
      </c>
      <c r="Q269" s="3"/>
      <c r="R269" s="222">
        <f t="shared" si="312"/>
        <v>842</v>
      </c>
      <c r="AK269" s="141">
        <f t="shared" si="313"/>
        <v>841.6</v>
      </c>
    </row>
    <row r="270" spans="1:37" outlineLevel="1">
      <c r="A270" s="147"/>
      <c r="B270" s="188" t="s">
        <v>30</v>
      </c>
      <c r="C270" s="190" t="s">
        <v>23</v>
      </c>
      <c r="D270" s="248">
        <v>14563181001</v>
      </c>
      <c r="E270" s="242">
        <v>14563183001</v>
      </c>
      <c r="F270" s="243" t="s">
        <v>239</v>
      </c>
      <c r="G270" s="211"/>
      <c r="H270" s="244" t="s">
        <v>65</v>
      </c>
      <c r="I270" s="244">
        <v>10</v>
      </c>
      <c r="J270" s="245">
        <v>9.1999999999999993</v>
      </c>
      <c r="K270" s="212">
        <f t="shared" si="306"/>
        <v>11.22</v>
      </c>
      <c r="L270" s="212">
        <f t="shared" si="307"/>
        <v>0</v>
      </c>
      <c r="M270" s="212">
        <f t="shared" si="308"/>
        <v>9.1999999999999993</v>
      </c>
      <c r="N270" s="212">
        <f t="shared" si="309"/>
        <v>0</v>
      </c>
      <c r="O270" s="213">
        <f t="shared" si="310"/>
        <v>11.22</v>
      </c>
      <c r="P270" s="213">
        <f t="shared" si="311"/>
        <v>0</v>
      </c>
      <c r="Q270" s="3"/>
      <c r="R270" s="222">
        <f t="shared" si="312"/>
        <v>898</v>
      </c>
      <c r="AK270" s="141">
        <f t="shared" si="313"/>
        <v>897.6</v>
      </c>
    </row>
    <row r="271" spans="1:37" outlineLevel="1">
      <c r="A271" s="147"/>
      <c r="B271" s="188" t="s">
        <v>30</v>
      </c>
      <c r="C271" s="190" t="s">
        <v>23</v>
      </c>
      <c r="D271" s="248">
        <v>14563201001</v>
      </c>
      <c r="E271" s="242">
        <v>14563203001</v>
      </c>
      <c r="F271" s="243" t="s">
        <v>240</v>
      </c>
      <c r="G271" s="211"/>
      <c r="H271" s="244" t="s">
        <v>65</v>
      </c>
      <c r="I271" s="244">
        <v>10</v>
      </c>
      <c r="J271" s="245">
        <v>16.23</v>
      </c>
      <c r="K271" s="212">
        <f t="shared" si="306"/>
        <v>19.8</v>
      </c>
      <c r="L271" s="212">
        <f t="shared" si="307"/>
        <v>0</v>
      </c>
      <c r="M271" s="212">
        <f t="shared" si="308"/>
        <v>16.23</v>
      </c>
      <c r="N271" s="212">
        <f t="shared" si="309"/>
        <v>0</v>
      </c>
      <c r="O271" s="213">
        <f t="shared" si="310"/>
        <v>19.8</v>
      </c>
      <c r="P271" s="213">
        <f t="shared" si="311"/>
        <v>0</v>
      </c>
      <c r="Q271" s="3"/>
      <c r="R271" s="222">
        <f t="shared" si="312"/>
        <v>1584</v>
      </c>
      <c r="AK271" s="141">
        <f t="shared" si="313"/>
        <v>1584</v>
      </c>
    </row>
    <row r="272" spans="1:37" outlineLevel="1">
      <c r="A272" s="147"/>
      <c r="B272" s="188" t="s">
        <v>30</v>
      </c>
      <c r="C272" s="190" t="s">
        <v>23</v>
      </c>
      <c r="D272" s="248">
        <v>14563211001</v>
      </c>
      <c r="E272" s="242">
        <v>14563213001</v>
      </c>
      <c r="F272" s="243" t="s">
        <v>241</v>
      </c>
      <c r="G272" s="211"/>
      <c r="H272" s="244" t="s">
        <v>65</v>
      </c>
      <c r="I272" s="244">
        <v>10</v>
      </c>
      <c r="J272" s="245">
        <v>16.23</v>
      </c>
      <c r="K272" s="212">
        <f t="shared" si="306"/>
        <v>19.8</v>
      </c>
      <c r="L272" s="212">
        <f t="shared" si="307"/>
        <v>0</v>
      </c>
      <c r="M272" s="212">
        <f t="shared" si="308"/>
        <v>16.23</v>
      </c>
      <c r="N272" s="212">
        <f t="shared" si="309"/>
        <v>0</v>
      </c>
      <c r="O272" s="213">
        <f t="shared" si="310"/>
        <v>19.8</v>
      </c>
      <c r="P272" s="213">
        <f t="shared" si="311"/>
        <v>0</v>
      </c>
      <c r="Q272" s="3"/>
      <c r="R272" s="222">
        <f t="shared" si="312"/>
        <v>1584</v>
      </c>
      <c r="AK272" s="141">
        <f t="shared" si="313"/>
        <v>1584</v>
      </c>
    </row>
    <row r="273" spans="1:37" outlineLevel="1">
      <c r="A273" s="147"/>
      <c r="B273" s="188" t="s">
        <v>30</v>
      </c>
      <c r="C273" s="190" t="s">
        <v>23</v>
      </c>
      <c r="D273" s="248">
        <v>14563221001</v>
      </c>
      <c r="E273" s="242">
        <v>14563223001</v>
      </c>
      <c r="F273" s="243" t="s">
        <v>242</v>
      </c>
      <c r="G273" s="211"/>
      <c r="H273" s="244" t="s">
        <v>65</v>
      </c>
      <c r="I273" s="244">
        <v>5</v>
      </c>
      <c r="J273" s="245">
        <v>23.84</v>
      </c>
      <c r="K273" s="212">
        <f t="shared" si="306"/>
        <v>29.08</v>
      </c>
      <c r="L273" s="212">
        <f t="shared" si="307"/>
        <v>0</v>
      </c>
      <c r="M273" s="212">
        <f t="shared" si="308"/>
        <v>23.84</v>
      </c>
      <c r="N273" s="212">
        <f t="shared" si="309"/>
        <v>0</v>
      </c>
      <c r="O273" s="213">
        <f t="shared" si="310"/>
        <v>29.08</v>
      </c>
      <c r="P273" s="213">
        <f t="shared" si="311"/>
        <v>0</v>
      </c>
      <c r="Q273" s="3"/>
      <c r="R273" s="222">
        <f t="shared" si="312"/>
        <v>2326</v>
      </c>
      <c r="AK273" s="141">
        <f t="shared" si="313"/>
        <v>2326.4</v>
      </c>
    </row>
    <row r="274" spans="1:37" outlineLevel="1">
      <c r="A274" s="147"/>
      <c r="B274" s="188" t="s">
        <v>30</v>
      </c>
      <c r="C274" s="190" t="s">
        <v>23</v>
      </c>
      <c r="D274" s="248">
        <v>14563231001</v>
      </c>
      <c r="E274" s="242">
        <v>14563233001</v>
      </c>
      <c r="F274" s="243" t="s">
        <v>243</v>
      </c>
      <c r="G274" s="211"/>
      <c r="H274" s="244" t="s">
        <v>65</v>
      </c>
      <c r="I274" s="244">
        <v>5</v>
      </c>
      <c r="J274" s="245">
        <v>32.840000000000003</v>
      </c>
      <c r="K274" s="212">
        <f t="shared" si="306"/>
        <v>40.06</v>
      </c>
      <c r="L274" s="212">
        <f t="shared" si="307"/>
        <v>0</v>
      </c>
      <c r="M274" s="212">
        <f t="shared" si="308"/>
        <v>32.840000000000003</v>
      </c>
      <c r="N274" s="212">
        <f t="shared" si="309"/>
        <v>0</v>
      </c>
      <c r="O274" s="213">
        <f t="shared" si="310"/>
        <v>40.06</v>
      </c>
      <c r="P274" s="213">
        <f t="shared" si="311"/>
        <v>0</v>
      </c>
      <c r="Q274" s="3"/>
      <c r="R274" s="222">
        <f t="shared" si="312"/>
        <v>3205</v>
      </c>
      <c r="AK274" s="141">
        <f t="shared" si="313"/>
        <v>3204.8</v>
      </c>
    </row>
    <row r="275" spans="1:37" outlineLevel="1">
      <c r="A275" s="147"/>
      <c r="B275" s="188"/>
      <c r="C275" s="190"/>
      <c r="D275" s="238"/>
      <c r="E275" s="188"/>
      <c r="F275" s="210"/>
      <c r="G275" s="211"/>
      <c r="H275" s="190"/>
      <c r="I275" s="190"/>
      <c r="J275" s="212"/>
      <c r="K275" s="212"/>
      <c r="L275" s="212"/>
      <c r="M275" s="212"/>
      <c r="N275" s="212"/>
      <c r="O275" s="213"/>
      <c r="P275" s="213"/>
      <c r="Q275" s="3"/>
      <c r="R275" s="222"/>
      <c r="AK275" s="141"/>
    </row>
    <row r="276" spans="1:37" outlineLevel="1">
      <c r="A276" s="147"/>
      <c r="B276" s="188" t="s">
        <v>30</v>
      </c>
      <c r="C276" s="190" t="s">
        <v>23</v>
      </c>
      <c r="D276" s="238"/>
      <c r="E276" s="188">
        <v>11096731001</v>
      </c>
      <c r="F276" s="257" t="s">
        <v>244</v>
      </c>
      <c r="G276" s="211"/>
      <c r="H276" s="190" t="s">
        <v>65</v>
      </c>
      <c r="I276" s="190">
        <v>10</v>
      </c>
      <c r="J276" s="212">
        <v>3.05</v>
      </c>
      <c r="K276" s="212">
        <f t="shared" ref="K276:K278" si="314">ROUND((J276*$C$3),2)</f>
        <v>3.72</v>
      </c>
      <c r="L276" s="212">
        <f t="shared" ref="L276:L289" si="315">K276*G276</f>
        <v>0</v>
      </c>
      <c r="M276" s="212">
        <f t="shared" ref="M276:M278" si="316">J276*(1-$E$5-$E$7)*(1-$E$9)*(1+$E$11)</f>
        <v>3.05</v>
      </c>
      <c r="N276" s="212">
        <f t="shared" ref="N276:N289" si="317">M276*G276</f>
        <v>0</v>
      </c>
      <c r="O276" s="213">
        <f t="shared" ref="O276:O278" si="318">ROUND((M276*$C$3),2)</f>
        <v>3.72</v>
      </c>
      <c r="P276" s="213">
        <f t="shared" ref="P276:P289" si="319">O276*G276</f>
        <v>0</v>
      </c>
      <c r="Q276" s="3"/>
      <c r="R276" s="222">
        <f t="shared" ref="R276:R341" si="320">ROUND(AK276,0)</f>
        <v>298</v>
      </c>
      <c r="AK276" s="141">
        <f t="shared" ref="AK276:AK341" si="321">K276*$AK$11*(1-$AK$10)</f>
        <v>297.60000000000002</v>
      </c>
    </row>
    <row r="277" spans="1:37" outlineLevel="1">
      <c r="A277" s="147"/>
      <c r="B277" s="188" t="s">
        <v>30</v>
      </c>
      <c r="C277" s="190" t="s">
        <v>23</v>
      </c>
      <c r="D277" s="238"/>
      <c r="E277" s="188">
        <v>11097141001</v>
      </c>
      <c r="F277" s="257" t="s">
        <v>245</v>
      </c>
      <c r="G277" s="211"/>
      <c r="H277" s="190" t="s">
        <v>65</v>
      </c>
      <c r="I277" s="190">
        <v>10</v>
      </c>
      <c r="J277" s="212">
        <v>4.09</v>
      </c>
      <c r="K277" s="212">
        <f t="shared" si="314"/>
        <v>4.99</v>
      </c>
      <c r="L277" s="212">
        <f t="shared" si="315"/>
        <v>0</v>
      </c>
      <c r="M277" s="212">
        <f t="shared" si="316"/>
        <v>4.09</v>
      </c>
      <c r="N277" s="212">
        <f t="shared" si="317"/>
        <v>0</v>
      </c>
      <c r="O277" s="213">
        <f t="shared" si="318"/>
        <v>4.99</v>
      </c>
      <c r="P277" s="213">
        <f t="shared" si="319"/>
        <v>0</v>
      </c>
      <c r="Q277" s="3"/>
      <c r="R277" s="222">
        <f t="shared" si="320"/>
        <v>399</v>
      </c>
      <c r="AK277" s="141">
        <f t="shared" si="321"/>
        <v>399.20000000000005</v>
      </c>
    </row>
    <row r="278" spans="1:37" outlineLevel="1">
      <c r="A278" s="147"/>
      <c r="B278" s="188" t="s">
        <v>30</v>
      </c>
      <c r="C278" s="190" t="s">
        <v>23</v>
      </c>
      <c r="D278" s="238"/>
      <c r="E278" s="246">
        <v>11093131001</v>
      </c>
      <c r="F278" s="243" t="s">
        <v>246</v>
      </c>
      <c r="G278" s="211"/>
      <c r="H278" s="190" t="s">
        <v>65</v>
      </c>
      <c r="I278" s="190">
        <v>5</v>
      </c>
      <c r="J278" s="212">
        <v>10.06</v>
      </c>
      <c r="K278" s="212">
        <f t="shared" si="314"/>
        <v>12.27</v>
      </c>
      <c r="L278" s="212">
        <f t="shared" si="315"/>
        <v>0</v>
      </c>
      <c r="M278" s="212">
        <f t="shared" si="316"/>
        <v>10.06</v>
      </c>
      <c r="N278" s="212">
        <f t="shared" si="317"/>
        <v>0</v>
      </c>
      <c r="O278" s="213">
        <f t="shared" si="318"/>
        <v>12.27</v>
      </c>
      <c r="P278" s="213">
        <f t="shared" si="319"/>
        <v>0</v>
      </c>
      <c r="Q278" s="3"/>
      <c r="R278" s="222">
        <f t="shared" si="320"/>
        <v>982</v>
      </c>
      <c r="AK278" s="141">
        <f t="shared" si="321"/>
        <v>981.6</v>
      </c>
    </row>
    <row r="279" spans="1:37" outlineLevel="1">
      <c r="A279" s="147"/>
      <c r="B279" s="188" t="s">
        <v>30</v>
      </c>
      <c r="C279" s="190" t="s">
        <v>23</v>
      </c>
      <c r="D279" s="238"/>
      <c r="E279" s="264">
        <v>11096741001</v>
      </c>
      <c r="F279" s="257" t="s">
        <v>247</v>
      </c>
      <c r="G279" s="211"/>
      <c r="H279" s="190" t="s">
        <v>65</v>
      </c>
      <c r="I279" s="190">
        <v>10</v>
      </c>
      <c r="J279" s="212">
        <v>3.75</v>
      </c>
      <c r="K279" s="212">
        <f t="shared" ref="K279:K285" si="322">ROUND((J279*$C$3),2)</f>
        <v>4.58</v>
      </c>
      <c r="L279" s="212">
        <f t="shared" si="315"/>
        <v>0</v>
      </c>
      <c r="M279" s="212">
        <f t="shared" ref="M279:M285" si="323">J279*(1-$E$5-$E$7)*(1-$E$9)*(1+$E$11)</f>
        <v>3.75</v>
      </c>
      <c r="N279" s="212">
        <f t="shared" si="317"/>
        <v>0</v>
      </c>
      <c r="O279" s="213">
        <f t="shared" ref="O279:O285" si="324">ROUND((M279*$C$3),2)</f>
        <v>4.58</v>
      </c>
      <c r="P279" s="213">
        <f t="shared" si="319"/>
        <v>0</v>
      </c>
      <c r="Q279" s="3"/>
      <c r="R279" s="222">
        <f t="shared" si="320"/>
        <v>366</v>
      </c>
      <c r="AK279" s="141">
        <f t="shared" si="321"/>
        <v>366.40000000000003</v>
      </c>
    </row>
    <row r="280" spans="1:37" outlineLevel="1">
      <c r="A280" s="147"/>
      <c r="B280" s="188" t="s">
        <v>30</v>
      </c>
      <c r="C280" s="190" t="s">
        <v>23</v>
      </c>
      <c r="D280" s="238"/>
      <c r="E280" s="188">
        <v>11096811001</v>
      </c>
      <c r="F280" s="257" t="s">
        <v>248</v>
      </c>
      <c r="G280" s="211"/>
      <c r="H280" s="190" t="s">
        <v>65</v>
      </c>
      <c r="I280" s="190">
        <v>10</v>
      </c>
      <c r="J280" s="212">
        <v>5.28</v>
      </c>
      <c r="K280" s="212">
        <f t="shared" si="322"/>
        <v>6.44</v>
      </c>
      <c r="L280" s="212">
        <f t="shared" si="315"/>
        <v>0</v>
      </c>
      <c r="M280" s="212">
        <f t="shared" si="323"/>
        <v>5.28</v>
      </c>
      <c r="N280" s="212">
        <f t="shared" si="317"/>
        <v>0</v>
      </c>
      <c r="O280" s="213">
        <f t="shared" si="324"/>
        <v>6.44</v>
      </c>
      <c r="P280" s="213">
        <f t="shared" si="319"/>
        <v>0</v>
      </c>
      <c r="Q280" s="3"/>
      <c r="R280" s="222">
        <f t="shared" si="320"/>
        <v>515</v>
      </c>
      <c r="AK280" s="141">
        <f t="shared" si="321"/>
        <v>515.20000000000005</v>
      </c>
    </row>
    <row r="281" spans="1:37" outlineLevel="1">
      <c r="A281" s="147"/>
      <c r="B281" s="188" t="s">
        <v>30</v>
      </c>
      <c r="C281" s="190" t="s">
        <v>23</v>
      </c>
      <c r="D281" s="238"/>
      <c r="E281" s="188">
        <v>11097091001</v>
      </c>
      <c r="F281" s="257" t="s">
        <v>249</v>
      </c>
      <c r="G281" s="211"/>
      <c r="H281" s="190" t="s">
        <v>65</v>
      </c>
      <c r="I281" s="190">
        <v>10</v>
      </c>
      <c r="J281" s="212">
        <v>5.49</v>
      </c>
      <c r="K281" s="212">
        <f t="shared" si="322"/>
        <v>6.7</v>
      </c>
      <c r="L281" s="212">
        <f t="shared" si="315"/>
        <v>0</v>
      </c>
      <c r="M281" s="212">
        <f t="shared" si="323"/>
        <v>5.49</v>
      </c>
      <c r="N281" s="212">
        <f t="shared" si="317"/>
        <v>0</v>
      </c>
      <c r="O281" s="213">
        <f t="shared" si="324"/>
        <v>6.7</v>
      </c>
      <c r="P281" s="213">
        <f t="shared" si="319"/>
        <v>0</v>
      </c>
      <c r="Q281" s="3"/>
      <c r="R281" s="222">
        <f t="shared" si="320"/>
        <v>536</v>
      </c>
      <c r="AK281" s="141">
        <f t="shared" si="321"/>
        <v>536</v>
      </c>
    </row>
    <row r="282" spans="1:37" outlineLevel="1">
      <c r="A282" s="147"/>
      <c r="B282" s="188" t="s">
        <v>30</v>
      </c>
      <c r="C282" s="190" t="s">
        <v>23</v>
      </c>
      <c r="D282" s="238"/>
      <c r="E282" s="264">
        <v>11096821001</v>
      </c>
      <c r="F282" s="257" t="s">
        <v>250</v>
      </c>
      <c r="G282" s="211"/>
      <c r="H282" s="190" t="s">
        <v>65</v>
      </c>
      <c r="I282" s="190">
        <v>10</v>
      </c>
      <c r="J282" s="212">
        <v>5.86</v>
      </c>
      <c r="K282" s="212">
        <f t="shared" si="322"/>
        <v>7.15</v>
      </c>
      <c r="L282" s="212">
        <f t="shared" si="315"/>
        <v>0</v>
      </c>
      <c r="M282" s="212">
        <f t="shared" si="323"/>
        <v>5.86</v>
      </c>
      <c r="N282" s="212">
        <f t="shared" si="317"/>
        <v>0</v>
      </c>
      <c r="O282" s="213">
        <f t="shared" si="324"/>
        <v>7.15</v>
      </c>
      <c r="P282" s="213">
        <f t="shared" si="319"/>
        <v>0</v>
      </c>
      <c r="Q282" s="3"/>
      <c r="R282" s="222">
        <f t="shared" si="320"/>
        <v>572</v>
      </c>
      <c r="AK282" s="141">
        <f t="shared" si="321"/>
        <v>572</v>
      </c>
    </row>
    <row r="283" spans="1:37" outlineLevel="1">
      <c r="A283" s="147"/>
      <c r="B283" s="188" t="s">
        <v>30</v>
      </c>
      <c r="C283" s="190" t="s">
        <v>23</v>
      </c>
      <c r="D283" s="238"/>
      <c r="E283" s="188">
        <v>11096861001</v>
      </c>
      <c r="F283" s="257" t="s">
        <v>251</v>
      </c>
      <c r="G283" s="211"/>
      <c r="H283" s="190" t="s">
        <v>65</v>
      </c>
      <c r="I283" s="190">
        <v>10</v>
      </c>
      <c r="J283" s="212">
        <v>8.94</v>
      </c>
      <c r="K283" s="212">
        <f t="shared" si="322"/>
        <v>10.91</v>
      </c>
      <c r="L283" s="212">
        <f t="shared" si="315"/>
        <v>0</v>
      </c>
      <c r="M283" s="212">
        <f t="shared" si="323"/>
        <v>8.94</v>
      </c>
      <c r="N283" s="212">
        <f t="shared" si="317"/>
        <v>0</v>
      </c>
      <c r="O283" s="213">
        <f t="shared" si="324"/>
        <v>10.91</v>
      </c>
      <c r="P283" s="213">
        <f t="shared" si="319"/>
        <v>0</v>
      </c>
      <c r="Q283" s="3"/>
      <c r="R283" s="222">
        <f t="shared" si="320"/>
        <v>873</v>
      </c>
      <c r="AK283" s="141">
        <f t="shared" si="321"/>
        <v>872.80000000000007</v>
      </c>
    </row>
    <row r="284" spans="1:37" outlineLevel="1">
      <c r="A284" s="147"/>
      <c r="B284" s="188" t="s">
        <v>30</v>
      </c>
      <c r="C284" s="190" t="s">
        <v>23</v>
      </c>
      <c r="D284" s="238"/>
      <c r="E284" s="188">
        <v>11093201001</v>
      </c>
      <c r="F284" s="257" t="s">
        <v>252</v>
      </c>
      <c r="G284" s="211"/>
      <c r="H284" s="190" t="s">
        <v>65</v>
      </c>
      <c r="I284" s="190">
        <v>10</v>
      </c>
      <c r="J284" s="266">
        <v>10.34</v>
      </c>
      <c r="K284" s="212">
        <f t="shared" ref="K284" si="325">ROUND((J284*$C$3),2)</f>
        <v>12.61</v>
      </c>
      <c r="L284" s="212">
        <f t="shared" si="315"/>
        <v>0</v>
      </c>
      <c r="M284" s="212">
        <f t="shared" ref="M284" si="326">J284*(1-$E$5-$E$7)*(1-$E$9)*(1+$E$11)</f>
        <v>10.34</v>
      </c>
      <c r="N284" s="212">
        <f t="shared" si="317"/>
        <v>0</v>
      </c>
      <c r="O284" s="213">
        <f t="shared" ref="O284" si="327">ROUND((M284*$C$3),2)</f>
        <v>12.61</v>
      </c>
      <c r="P284" s="213">
        <f t="shared" si="319"/>
        <v>0</v>
      </c>
      <c r="Q284" s="3"/>
      <c r="R284" s="222">
        <f t="shared" ref="R284" si="328">ROUND(AK284,0)</f>
        <v>1009</v>
      </c>
      <c r="AK284" s="141">
        <f t="shared" si="321"/>
        <v>1008.8000000000001</v>
      </c>
    </row>
    <row r="285" spans="1:37" outlineLevel="1">
      <c r="A285" s="147"/>
      <c r="B285" s="188" t="s">
        <v>30</v>
      </c>
      <c r="C285" s="190" t="s">
        <v>23</v>
      </c>
      <c r="D285" s="238"/>
      <c r="E285" s="188">
        <v>11096911001</v>
      </c>
      <c r="F285" s="257" t="s">
        <v>253</v>
      </c>
      <c r="G285" s="211"/>
      <c r="H285" s="190" t="s">
        <v>65</v>
      </c>
      <c r="I285" s="190">
        <v>10</v>
      </c>
      <c r="J285" s="212">
        <v>10.34</v>
      </c>
      <c r="K285" s="212">
        <f t="shared" si="322"/>
        <v>12.61</v>
      </c>
      <c r="L285" s="212">
        <f t="shared" si="315"/>
        <v>0</v>
      </c>
      <c r="M285" s="212">
        <f t="shared" si="323"/>
        <v>10.34</v>
      </c>
      <c r="N285" s="212">
        <f t="shared" si="317"/>
        <v>0</v>
      </c>
      <c r="O285" s="213">
        <f t="shared" si="324"/>
        <v>12.61</v>
      </c>
      <c r="P285" s="213">
        <f t="shared" si="319"/>
        <v>0</v>
      </c>
      <c r="Q285" s="3"/>
      <c r="R285" s="222">
        <f t="shared" si="320"/>
        <v>1009</v>
      </c>
      <c r="AK285" s="141">
        <f t="shared" si="321"/>
        <v>1008.8000000000001</v>
      </c>
    </row>
    <row r="286" spans="1:37" outlineLevel="1">
      <c r="A286" s="147"/>
      <c r="B286" s="188" t="s">
        <v>30</v>
      </c>
      <c r="C286" s="190" t="s">
        <v>23</v>
      </c>
      <c r="D286" s="238"/>
      <c r="E286" s="246">
        <v>11093231001</v>
      </c>
      <c r="F286" s="243" t="s">
        <v>254</v>
      </c>
      <c r="G286" s="211"/>
      <c r="H286" s="190" t="s">
        <v>65</v>
      </c>
      <c r="I286" s="190">
        <v>5</v>
      </c>
      <c r="J286" s="259">
        <v>26.950000000000003</v>
      </c>
      <c r="K286" s="212">
        <f t="shared" ref="K286:K289" si="329">ROUND((J286*$C$3),2)</f>
        <v>32.880000000000003</v>
      </c>
      <c r="L286" s="212">
        <f t="shared" si="315"/>
        <v>0</v>
      </c>
      <c r="M286" s="212">
        <f t="shared" ref="M286:M289" si="330">J286*(1-$E$5-$E$7)*(1-$E$9)*(1+$E$11)</f>
        <v>26.950000000000003</v>
      </c>
      <c r="N286" s="212">
        <f t="shared" si="317"/>
        <v>0</v>
      </c>
      <c r="O286" s="213">
        <f t="shared" ref="O286:O289" si="331">ROUND((M286*$C$3),2)</f>
        <v>32.880000000000003</v>
      </c>
      <c r="P286" s="213">
        <f t="shared" si="319"/>
        <v>0</v>
      </c>
      <c r="Q286" s="3"/>
      <c r="R286" s="222">
        <f t="shared" ref="R286:R289" si="332">ROUND(AK286,0)</f>
        <v>2630</v>
      </c>
      <c r="AK286" s="141">
        <f t="shared" ref="AK286:AK289" si="333">K286*$AK$11*(1-$AK$10)</f>
        <v>2630.4000000000005</v>
      </c>
    </row>
    <row r="287" spans="1:37" outlineLevel="1">
      <c r="A287" s="147"/>
      <c r="B287" s="188" t="s">
        <v>30</v>
      </c>
      <c r="C287" s="190" t="s">
        <v>23</v>
      </c>
      <c r="D287" s="238"/>
      <c r="E287" s="246">
        <v>11093241001</v>
      </c>
      <c r="F287" s="243" t="s">
        <v>255</v>
      </c>
      <c r="G287" s="211"/>
      <c r="H287" s="190" t="s">
        <v>65</v>
      </c>
      <c r="I287" s="190">
        <v>5</v>
      </c>
      <c r="J287" s="259">
        <v>44.11</v>
      </c>
      <c r="K287" s="212">
        <f t="shared" si="329"/>
        <v>53.81</v>
      </c>
      <c r="L287" s="212">
        <f t="shared" si="315"/>
        <v>0</v>
      </c>
      <c r="M287" s="212">
        <f t="shared" si="330"/>
        <v>44.11</v>
      </c>
      <c r="N287" s="212">
        <f t="shared" si="317"/>
        <v>0</v>
      </c>
      <c r="O287" s="213">
        <f t="shared" si="331"/>
        <v>53.81</v>
      </c>
      <c r="P287" s="213">
        <f t="shared" si="319"/>
        <v>0</v>
      </c>
      <c r="Q287" s="3"/>
      <c r="R287" s="222">
        <f t="shared" si="332"/>
        <v>4305</v>
      </c>
      <c r="AK287" s="141">
        <f t="shared" si="333"/>
        <v>4304.8</v>
      </c>
    </row>
    <row r="288" spans="1:37" outlineLevel="1">
      <c r="A288" s="147"/>
      <c r="B288" s="188" t="s">
        <v>30</v>
      </c>
      <c r="C288" s="190" t="s">
        <v>23</v>
      </c>
      <c r="D288" s="238"/>
      <c r="E288" s="246">
        <v>11093251001</v>
      </c>
      <c r="F288" s="243" t="s">
        <v>256</v>
      </c>
      <c r="G288" s="211"/>
      <c r="H288" s="190" t="s">
        <v>65</v>
      </c>
      <c r="I288" s="190">
        <v>1</v>
      </c>
      <c r="J288" s="259">
        <v>44.41</v>
      </c>
      <c r="K288" s="212">
        <f t="shared" si="329"/>
        <v>54.18</v>
      </c>
      <c r="L288" s="212">
        <f t="shared" si="315"/>
        <v>0</v>
      </c>
      <c r="M288" s="212">
        <f t="shared" si="330"/>
        <v>44.41</v>
      </c>
      <c r="N288" s="212">
        <f t="shared" si="317"/>
        <v>0</v>
      </c>
      <c r="O288" s="213">
        <f t="shared" si="331"/>
        <v>54.18</v>
      </c>
      <c r="P288" s="213">
        <f t="shared" si="319"/>
        <v>0</v>
      </c>
      <c r="Q288" s="3"/>
      <c r="R288" s="222">
        <f t="shared" si="332"/>
        <v>4334</v>
      </c>
      <c r="AK288" s="141">
        <f t="shared" si="333"/>
        <v>4334.4000000000005</v>
      </c>
    </row>
    <row r="289" spans="1:37" outlineLevel="1">
      <c r="A289" s="147"/>
      <c r="B289" s="188" t="s">
        <v>30</v>
      </c>
      <c r="C289" s="190" t="s">
        <v>23</v>
      </c>
      <c r="D289" s="238"/>
      <c r="E289" s="246">
        <v>11093261001</v>
      </c>
      <c r="F289" s="243" t="s">
        <v>257</v>
      </c>
      <c r="G289" s="211"/>
      <c r="H289" s="190" t="s">
        <v>65</v>
      </c>
      <c r="I289" s="190">
        <v>1</v>
      </c>
      <c r="J289" s="259">
        <v>66.5</v>
      </c>
      <c r="K289" s="212">
        <f t="shared" si="329"/>
        <v>81.13</v>
      </c>
      <c r="L289" s="212">
        <f t="shared" si="315"/>
        <v>0</v>
      </c>
      <c r="M289" s="212">
        <f t="shared" si="330"/>
        <v>66.5</v>
      </c>
      <c r="N289" s="212">
        <f t="shared" si="317"/>
        <v>0</v>
      </c>
      <c r="O289" s="213">
        <f t="shared" si="331"/>
        <v>81.13</v>
      </c>
      <c r="P289" s="213">
        <f t="shared" si="319"/>
        <v>0</v>
      </c>
      <c r="Q289" s="3"/>
      <c r="R289" s="222">
        <f t="shared" si="332"/>
        <v>6490</v>
      </c>
      <c r="AK289" s="141">
        <f t="shared" si="333"/>
        <v>6490.4000000000005</v>
      </c>
    </row>
    <row r="290" spans="1:37" outlineLevel="1">
      <c r="A290" s="147"/>
      <c r="B290" s="240"/>
      <c r="C290" s="247"/>
      <c r="D290" s="238"/>
      <c r="E290" s="188"/>
      <c r="F290" s="210"/>
      <c r="G290" s="211"/>
      <c r="H290" s="190"/>
      <c r="I290" s="190"/>
      <c r="J290" s="212"/>
      <c r="K290" s="212"/>
      <c r="L290" s="212"/>
      <c r="M290" s="212"/>
      <c r="N290" s="212"/>
      <c r="O290" s="213"/>
      <c r="P290" s="213"/>
      <c r="Q290" s="3"/>
      <c r="R290" s="222"/>
      <c r="AK290" s="141"/>
    </row>
    <row r="291" spans="1:37" ht="30.6" outlineLevel="1">
      <c r="A291" s="148" t="s">
        <v>25</v>
      </c>
      <c r="B291" s="208" t="s">
        <v>26</v>
      </c>
      <c r="C291" s="238" t="s">
        <v>23</v>
      </c>
      <c r="D291" s="238">
        <v>13660511001</v>
      </c>
      <c r="E291" s="188">
        <v>14563131001</v>
      </c>
      <c r="F291" s="210" t="s">
        <v>258</v>
      </c>
      <c r="G291" s="211"/>
      <c r="H291" s="190" t="s">
        <v>65</v>
      </c>
      <c r="I291" s="190">
        <v>5</v>
      </c>
      <c r="J291" s="212">
        <v>11.53</v>
      </c>
      <c r="K291" s="212">
        <f t="shared" si="303"/>
        <v>14.07</v>
      </c>
      <c r="L291" s="212">
        <f>K291*G291</f>
        <v>0</v>
      </c>
      <c r="M291" s="212">
        <f t="shared" si="304"/>
        <v>11.53</v>
      </c>
      <c r="N291" s="212">
        <f>M291*G291</f>
        <v>0</v>
      </c>
      <c r="O291" s="213">
        <f t="shared" si="305"/>
        <v>14.07</v>
      </c>
      <c r="P291" s="213">
        <f>O291*G291</f>
        <v>0</v>
      </c>
      <c r="Q291" s="3"/>
      <c r="R291" s="214">
        <f t="shared" si="320"/>
        <v>1126</v>
      </c>
      <c r="AK291" s="141">
        <f t="shared" si="321"/>
        <v>1125.6000000000001</v>
      </c>
    </row>
    <row r="292" spans="1:37" ht="30.6" outlineLevel="1">
      <c r="A292" s="148" t="s">
        <v>25</v>
      </c>
      <c r="B292" s="208" t="s">
        <v>26</v>
      </c>
      <c r="C292" s="238" t="s">
        <v>23</v>
      </c>
      <c r="D292" s="238">
        <v>13660561001</v>
      </c>
      <c r="E292" s="188">
        <v>14563171001</v>
      </c>
      <c r="F292" s="210" t="s">
        <v>259</v>
      </c>
      <c r="G292" s="211"/>
      <c r="H292" s="190" t="s">
        <v>65</v>
      </c>
      <c r="I292" s="190">
        <v>10</v>
      </c>
      <c r="J292" s="212">
        <v>8.379999999999999</v>
      </c>
      <c r="K292" s="212">
        <f t="shared" si="303"/>
        <v>10.220000000000001</v>
      </c>
      <c r="L292" s="212">
        <f>K292*G292</f>
        <v>0</v>
      </c>
      <c r="M292" s="212">
        <f t="shared" si="304"/>
        <v>8.379999999999999</v>
      </c>
      <c r="N292" s="212">
        <f>M292*G292</f>
        <v>0</v>
      </c>
      <c r="O292" s="213">
        <f t="shared" si="305"/>
        <v>10.220000000000001</v>
      </c>
      <c r="P292" s="213">
        <f>O292*G292</f>
        <v>0</v>
      </c>
      <c r="Q292" s="3"/>
      <c r="R292" s="214">
        <f t="shared" si="320"/>
        <v>818</v>
      </c>
      <c r="AK292" s="141">
        <f t="shared" si="321"/>
        <v>817.60000000000014</v>
      </c>
    </row>
    <row r="293" spans="1:37" outlineLevel="1">
      <c r="A293" s="147"/>
      <c r="B293" s="267"/>
      <c r="C293" s="247"/>
      <c r="D293" s="238"/>
      <c r="E293" s="188"/>
      <c r="F293" s="210"/>
      <c r="G293" s="211"/>
      <c r="H293" s="190"/>
      <c r="I293" s="190"/>
      <c r="J293" s="212"/>
      <c r="K293" s="212"/>
      <c r="L293" s="212"/>
      <c r="M293" s="212"/>
      <c r="N293" s="212"/>
      <c r="O293" s="213"/>
      <c r="P293" s="213"/>
      <c r="Q293" s="3"/>
      <c r="R293" s="222"/>
      <c r="AK293" s="141"/>
    </row>
    <row r="294" spans="1:37" outlineLevel="1">
      <c r="A294" s="147"/>
      <c r="B294" s="188" t="s">
        <v>30</v>
      </c>
      <c r="C294" s="190" t="s">
        <v>23</v>
      </c>
      <c r="D294" s="248">
        <v>14563271001</v>
      </c>
      <c r="E294" s="242">
        <v>14563273001</v>
      </c>
      <c r="F294" s="243" t="s">
        <v>260</v>
      </c>
      <c r="G294" s="211"/>
      <c r="H294" s="244" t="s">
        <v>65</v>
      </c>
      <c r="I294" s="244">
        <v>10</v>
      </c>
      <c r="J294" s="245">
        <v>5.75</v>
      </c>
      <c r="K294" s="212">
        <f t="shared" ref="K294:K302" si="334">ROUND((J294*$C$3),2)</f>
        <v>7.02</v>
      </c>
      <c r="L294" s="212">
        <f t="shared" ref="L294:L302" si="335">K294*G294</f>
        <v>0</v>
      </c>
      <c r="M294" s="212">
        <f t="shared" ref="M294:M302" si="336">J294*(1-$E$5-$E$7)*(1-$E$9)*(1+$E$11)</f>
        <v>5.75</v>
      </c>
      <c r="N294" s="212">
        <f t="shared" ref="N294:N302" si="337">M294*G294</f>
        <v>0</v>
      </c>
      <c r="O294" s="213">
        <f t="shared" ref="O294:O302" si="338">ROUND((M294*$C$3),2)</f>
        <v>7.02</v>
      </c>
      <c r="P294" s="213">
        <f t="shared" ref="P294:P302" si="339">O294*G294</f>
        <v>0</v>
      </c>
      <c r="Q294" s="3"/>
      <c r="R294" s="222">
        <f t="shared" ref="R294:R302" si="340">ROUND(AK294,0)</f>
        <v>562</v>
      </c>
      <c r="AK294" s="141">
        <f t="shared" ref="AK294:AK302" si="341">K294*$AK$11*(1-$AK$10)</f>
        <v>561.6</v>
      </c>
    </row>
    <row r="295" spans="1:37" outlineLevel="1">
      <c r="A295" s="147"/>
      <c r="B295" s="188" t="s">
        <v>30</v>
      </c>
      <c r="C295" s="190" t="s">
        <v>23</v>
      </c>
      <c r="D295" s="248">
        <v>14563281001</v>
      </c>
      <c r="E295" s="242">
        <v>14563283001</v>
      </c>
      <c r="F295" s="243" t="s">
        <v>261</v>
      </c>
      <c r="G295" s="211"/>
      <c r="H295" s="244" t="s">
        <v>65</v>
      </c>
      <c r="I295" s="244">
        <v>10</v>
      </c>
      <c r="J295" s="245">
        <v>6.36</v>
      </c>
      <c r="K295" s="212">
        <f t="shared" si="334"/>
        <v>7.76</v>
      </c>
      <c r="L295" s="212">
        <f t="shared" si="335"/>
        <v>0</v>
      </c>
      <c r="M295" s="212">
        <f t="shared" si="336"/>
        <v>6.36</v>
      </c>
      <c r="N295" s="212">
        <f t="shared" si="337"/>
        <v>0</v>
      </c>
      <c r="O295" s="213">
        <f t="shared" si="338"/>
        <v>7.76</v>
      </c>
      <c r="P295" s="213">
        <f t="shared" si="339"/>
        <v>0</v>
      </c>
      <c r="Q295" s="3"/>
      <c r="R295" s="222">
        <f t="shared" si="340"/>
        <v>621</v>
      </c>
      <c r="AK295" s="141">
        <f t="shared" si="341"/>
        <v>620.80000000000007</v>
      </c>
    </row>
    <row r="296" spans="1:37" outlineLevel="1">
      <c r="A296" s="147"/>
      <c r="B296" s="188" t="s">
        <v>30</v>
      </c>
      <c r="C296" s="190" t="s">
        <v>23</v>
      </c>
      <c r="D296" s="248">
        <v>14563291001</v>
      </c>
      <c r="E296" s="242">
        <v>14563293001</v>
      </c>
      <c r="F296" s="243" t="s">
        <v>262</v>
      </c>
      <c r="G296" s="211"/>
      <c r="H296" s="244" t="s">
        <v>65</v>
      </c>
      <c r="I296" s="244">
        <v>10</v>
      </c>
      <c r="J296" s="245">
        <v>9.42</v>
      </c>
      <c r="K296" s="212">
        <f t="shared" si="334"/>
        <v>11.49</v>
      </c>
      <c r="L296" s="212">
        <f t="shared" si="335"/>
        <v>0</v>
      </c>
      <c r="M296" s="212">
        <f t="shared" si="336"/>
        <v>9.42</v>
      </c>
      <c r="N296" s="212">
        <f t="shared" si="337"/>
        <v>0</v>
      </c>
      <c r="O296" s="213">
        <f t="shared" si="338"/>
        <v>11.49</v>
      </c>
      <c r="P296" s="213">
        <f t="shared" si="339"/>
        <v>0</v>
      </c>
      <c r="Q296" s="3"/>
      <c r="R296" s="222">
        <f t="shared" si="340"/>
        <v>919</v>
      </c>
      <c r="AK296" s="141">
        <f t="shared" si="341"/>
        <v>919.2</v>
      </c>
    </row>
    <row r="297" spans="1:37" outlineLevel="1">
      <c r="A297" s="147"/>
      <c r="B297" s="188" t="s">
        <v>30</v>
      </c>
      <c r="C297" s="190" t="s">
        <v>23</v>
      </c>
      <c r="D297" s="248">
        <v>14563301001</v>
      </c>
      <c r="E297" s="242">
        <v>14563303001</v>
      </c>
      <c r="F297" s="243" t="s">
        <v>263</v>
      </c>
      <c r="G297" s="211"/>
      <c r="H297" s="244" t="s">
        <v>65</v>
      </c>
      <c r="I297" s="244">
        <v>10</v>
      </c>
      <c r="J297" s="245">
        <v>10.64</v>
      </c>
      <c r="K297" s="212">
        <f t="shared" si="334"/>
        <v>12.98</v>
      </c>
      <c r="L297" s="212">
        <f t="shared" si="335"/>
        <v>0</v>
      </c>
      <c r="M297" s="212">
        <f t="shared" si="336"/>
        <v>10.64</v>
      </c>
      <c r="N297" s="212">
        <f t="shared" si="337"/>
        <v>0</v>
      </c>
      <c r="O297" s="213">
        <f t="shared" si="338"/>
        <v>12.98</v>
      </c>
      <c r="P297" s="213">
        <f t="shared" si="339"/>
        <v>0</v>
      </c>
      <c r="Q297" s="3"/>
      <c r="R297" s="222">
        <f t="shared" si="340"/>
        <v>1038</v>
      </c>
      <c r="AK297" s="141">
        <f t="shared" si="341"/>
        <v>1038.4000000000001</v>
      </c>
    </row>
    <row r="298" spans="1:37" outlineLevel="1">
      <c r="A298" s="147"/>
      <c r="B298" s="188" t="s">
        <v>30</v>
      </c>
      <c r="C298" s="190" t="s">
        <v>23</v>
      </c>
      <c r="D298" s="248">
        <v>14563311001</v>
      </c>
      <c r="E298" s="242">
        <v>14563313001</v>
      </c>
      <c r="F298" s="243" t="s">
        <v>264</v>
      </c>
      <c r="G298" s="211"/>
      <c r="H298" s="244" t="s">
        <v>65</v>
      </c>
      <c r="I298" s="244">
        <v>10</v>
      </c>
      <c r="J298" s="245">
        <v>10.64</v>
      </c>
      <c r="K298" s="212">
        <f t="shared" si="334"/>
        <v>12.98</v>
      </c>
      <c r="L298" s="212">
        <f t="shared" si="335"/>
        <v>0</v>
      </c>
      <c r="M298" s="212">
        <f t="shared" si="336"/>
        <v>10.64</v>
      </c>
      <c r="N298" s="212">
        <f t="shared" si="337"/>
        <v>0</v>
      </c>
      <c r="O298" s="213">
        <f t="shared" si="338"/>
        <v>12.98</v>
      </c>
      <c r="P298" s="213">
        <f t="shared" si="339"/>
        <v>0</v>
      </c>
      <c r="Q298" s="3"/>
      <c r="R298" s="222">
        <f t="shared" si="340"/>
        <v>1038</v>
      </c>
      <c r="AK298" s="141">
        <f t="shared" si="341"/>
        <v>1038.4000000000001</v>
      </c>
    </row>
    <row r="299" spans="1:37" outlineLevel="1">
      <c r="A299" s="147"/>
      <c r="B299" s="188" t="s">
        <v>30</v>
      </c>
      <c r="C299" s="190" t="s">
        <v>23</v>
      </c>
      <c r="D299" s="248">
        <v>14564081001</v>
      </c>
      <c r="E299" s="242">
        <v>14564083001</v>
      </c>
      <c r="F299" s="243" t="s">
        <v>265</v>
      </c>
      <c r="G299" s="211"/>
      <c r="H299" s="244" t="s">
        <v>65</v>
      </c>
      <c r="I299" s="244">
        <v>10</v>
      </c>
      <c r="J299" s="245">
        <v>13.91</v>
      </c>
      <c r="K299" s="212">
        <f t="shared" si="334"/>
        <v>16.97</v>
      </c>
      <c r="L299" s="212">
        <f t="shared" si="335"/>
        <v>0</v>
      </c>
      <c r="M299" s="212">
        <f t="shared" si="336"/>
        <v>13.91</v>
      </c>
      <c r="N299" s="212">
        <f t="shared" si="337"/>
        <v>0</v>
      </c>
      <c r="O299" s="213">
        <f t="shared" si="338"/>
        <v>16.97</v>
      </c>
      <c r="P299" s="213">
        <f t="shared" si="339"/>
        <v>0</v>
      </c>
      <c r="Q299" s="3"/>
      <c r="R299" s="222">
        <f t="shared" si="340"/>
        <v>1358</v>
      </c>
      <c r="AK299" s="141">
        <f t="shared" si="341"/>
        <v>1357.6000000000001</v>
      </c>
    </row>
    <row r="300" spans="1:37" outlineLevel="1">
      <c r="A300" s="147"/>
      <c r="B300" s="188" t="s">
        <v>30</v>
      </c>
      <c r="C300" s="190" t="s">
        <v>23</v>
      </c>
      <c r="D300" s="248">
        <v>14563321001</v>
      </c>
      <c r="E300" s="242">
        <v>14563323001</v>
      </c>
      <c r="F300" s="243" t="s">
        <v>266</v>
      </c>
      <c r="G300" s="211"/>
      <c r="H300" s="244" t="s">
        <v>65</v>
      </c>
      <c r="I300" s="244">
        <v>10</v>
      </c>
      <c r="J300" s="245">
        <v>18.29</v>
      </c>
      <c r="K300" s="212">
        <f t="shared" si="334"/>
        <v>22.31</v>
      </c>
      <c r="L300" s="212">
        <f t="shared" si="335"/>
        <v>0</v>
      </c>
      <c r="M300" s="212">
        <f t="shared" si="336"/>
        <v>18.29</v>
      </c>
      <c r="N300" s="212">
        <f t="shared" si="337"/>
        <v>0</v>
      </c>
      <c r="O300" s="213">
        <f t="shared" si="338"/>
        <v>22.31</v>
      </c>
      <c r="P300" s="213">
        <f t="shared" si="339"/>
        <v>0</v>
      </c>
      <c r="Q300" s="3"/>
      <c r="R300" s="222">
        <f t="shared" si="340"/>
        <v>1785</v>
      </c>
      <c r="AK300" s="141">
        <f t="shared" si="341"/>
        <v>1784.8000000000002</v>
      </c>
    </row>
    <row r="301" spans="1:37" outlineLevel="1">
      <c r="A301" s="147"/>
      <c r="B301" s="188" t="s">
        <v>30</v>
      </c>
      <c r="C301" s="190" t="s">
        <v>23</v>
      </c>
      <c r="D301" s="248">
        <v>14563331001</v>
      </c>
      <c r="E301" s="242">
        <v>14563333001</v>
      </c>
      <c r="F301" s="243" t="s">
        <v>267</v>
      </c>
      <c r="G301" s="211"/>
      <c r="H301" s="244" t="s">
        <v>65</v>
      </c>
      <c r="I301" s="244">
        <v>10</v>
      </c>
      <c r="J301" s="245">
        <v>18.29</v>
      </c>
      <c r="K301" s="212">
        <f t="shared" si="334"/>
        <v>22.31</v>
      </c>
      <c r="L301" s="212">
        <f t="shared" si="335"/>
        <v>0</v>
      </c>
      <c r="M301" s="212">
        <f t="shared" si="336"/>
        <v>18.29</v>
      </c>
      <c r="N301" s="212">
        <f t="shared" si="337"/>
        <v>0</v>
      </c>
      <c r="O301" s="213">
        <f t="shared" si="338"/>
        <v>22.31</v>
      </c>
      <c r="P301" s="213">
        <f t="shared" si="339"/>
        <v>0</v>
      </c>
      <c r="Q301" s="3"/>
      <c r="R301" s="222">
        <f t="shared" si="340"/>
        <v>1785</v>
      </c>
      <c r="AK301" s="141">
        <f t="shared" si="341"/>
        <v>1784.8000000000002</v>
      </c>
    </row>
    <row r="302" spans="1:37" outlineLevel="1">
      <c r="A302" s="147"/>
      <c r="B302" s="188" t="s">
        <v>30</v>
      </c>
      <c r="C302" s="190" t="s">
        <v>23</v>
      </c>
      <c r="D302" s="248">
        <v>14563341001</v>
      </c>
      <c r="E302" s="242">
        <v>14563343001</v>
      </c>
      <c r="F302" s="243" t="s">
        <v>268</v>
      </c>
      <c r="G302" s="211"/>
      <c r="H302" s="244" t="s">
        <v>65</v>
      </c>
      <c r="I302" s="244">
        <v>5</v>
      </c>
      <c r="J302" s="245">
        <v>42.54</v>
      </c>
      <c r="K302" s="212">
        <f t="shared" si="334"/>
        <v>51.9</v>
      </c>
      <c r="L302" s="212">
        <f t="shared" si="335"/>
        <v>0</v>
      </c>
      <c r="M302" s="212">
        <f t="shared" si="336"/>
        <v>42.54</v>
      </c>
      <c r="N302" s="212">
        <f t="shared" si="337"/>
        <v>0</v>
      </c>
      <c r="O302" s="213">
        <f t="shared" si="338"/>
        <v>51.9</v>
      </c>
      <c r="P302" s="213">
        <f t="shared" si="339"/>
        <v>0</v>
      </c>
      <c r="Q302" s="3"/>
      <c r="R302" s="222">
        <f t="shared" si="340"/>
        <v>4152</v>
      </c>
      <c r="AK302" s="141">
        <f t="shared" si="341"/>
        <v>4152</v>
      </c>
    </row>
    <row r="303" spans="1:37" outlineLevel="1">
      <c r="A303" s="147"/>
      <c r="B303" s="267"/>
      <c r="C303" s="247"/>
      <c r="D303" s="238"/>
      <c r="E303" s="188"/>
      <c r="F303" s="210"/>
      <c r="G303" s="211"/>
      <c r="H303" s="190"/>
      <c r="I303" s="190"/>
      <c r="J303" s="212"/>
      <c r="K303" s="212"/>
      <c r="L303" s="212"/>
      <c r="M303" s="212"/>
      <c r="N303" s="212"/>
      <c r="O303" s="213"/>
      <c r="P303" s="213"/>
      <c r="Q303" s="3"/>
      <c r="R303" s="222"/>
      <c r="AK303" s="141"/>
    </row>
    <row r="304" spans="1:37" outlineLevel="1">
      <c r="A304" s="147"/>
      <c r="B304" s="188" t="s">
        <v>30</v>
      </c>
      <c r="C304" s="238" t="s">
        <v>23</v>
      </c>
      <c r="D304" s="238"/>
      <c r="E304" s="188">
        <v>11096791001</v>
      </c>
      <c r="F304" s="210" t="s">
        <v>269</v>
      </c>
      <c r="G304" s="211"/>
      <c r="H304" s="190" t="s">
        <v>65</v>
      </c>
      <c r="I304" s="190">
        <v>10</v>
      </c>
      <c r="J304" s="212">
        <v>3.66</v>
      </c>
      <c r="K304" s="212">
        <f t="shared" ref="K304:K305" si="342">ROUND((J304*$C$3),2)</f>
        <v>4.47</v>
      </c>
      <c r="L304" s="212">
        <f t="shared" ref="L304:L312" si="343">K304*G304</f>
        <v>0</v>
      </c>
      <c r="M304" s="212">
        <f t="shared" ref="M304:M305" si="344">J304*(1-$E$5-$E$7)*(1-$E$9)*(1+$E$11)</f>
        <v>3.66</v>
      </c>
      <c r="N304" s="212">
        <f t="shared" ref="N304:N312" si="345">M304*G304</f>
        <v>0</v>
      </c>
      <c r="O304" s="213">
        <f t="shared" ref="O304:O305" si="346">ROUND((M304*$C$3),2)</f>
        <v>4.47</v>
      </c>
      <c r="P304" s="213">
        <f t="shared" ref="P304:P312" si="347">O304*G304</f>
        <v>0</v>
      </c>
      <c r="Q304" s="3"/>
      <c r="R304" s="222">
        <f t="shared" si="320"/>
        <v>358</v>
      </c>
      <c r="AK304" s="141">
        <f t="shared" si="321"/>
        <v>357.6</v>
      </c>
    </row>
    <row r="305" spans="1:37" outlineLevel="1">
      <c r="A305" s="147"/>
      <c r="B305" s="188" t="s">
        <v>30</v>
      </c>
      <c r="C305" s="238" t="s">
        <v>23</v>
      </c>
      <c r="D305" s="238"/>
      <c r="E305" s="188">
        <v>11096841001</v>
      </c>
      <c r="F305" s="210" t="s">
        <v>270</v>
      </c>
      <c r="G305" s="211"/>
      <c r="H305" s="190" t="s">
        <v>65</v>
      </c>
      <c r="I305" s="190">
        <v>10</v>
      </c>
      <c r="J305" s="212">
        <v>4.05</v>
      </c>
      <c r="K305" s="212">
        <f t="shared" si="342"/>
        <v>4.9400000000000004</v>
      </c>
      <c r="L305" s="212">
        <f t="shared" si="343"/>
        <v>0</v>
      </c>
      <c r="M305" s="212">
        <f t="shared" si="344"/>
        <v>4.05</v>
      </c>
      <c r="N305" s="212">
        <f t="shared" si="345"/>
        <v>0</v>
      </c>
      <c r="O305" s="213">
        <f t="shared" si="346"/>
        <v>4.9400000000000004</v>
      </c>
      <c r="P305" s="213">
        <f t="shared" si="347"/>
        <v>0</v>
      </c>
      <c r="Q305" s="3"/>
      <c r="R305" s="222">
        <f t="shared" si="320"/>
        <v>395</v>
      </c>
      <c r="AK305" s="141">
        <f t="shared" si="321"/>
        <v>395.20000000000005</v>
      </c>
    </row>
    <row r="306" spans="1:37" outlineLevel="1">
      <c r="A306" s="147"/>
      <c r="B306" s="188" t="s">
        <v>30</v>
      </c>
      <c r="C306" s="238" t="s">
        <v>23</v>
      </c>
      <c r="D306" s="238"/>
      <c r="E306" s="188">
        <v>11096921001</v>
      </c>
      <c r="F306" s="210" t="s">
        <v>271</v>
      </c>
      <c r="G306" s="211"/>
      <c r="H306" s="190" t="s">
        <v>65</v>
      </c>
      <c r="I306" s="190">
        <v>10</v>
      </c>
      <c r="J306" s="212">
        <v>6</v>
      </c>
      <c r="K306" s="212">
        <f t="shared" ref="K306:K312" si="348">ROUND((J306*$C$3),2)</f>
        <v>7.32</v>
      </c>
      <c r="L306" s="212">
        <f t="shared" si="343"/>
        <v>0</v>
      </c>
      <c r="M306" s="212">
        <f t="shared" ref="M306:M312" si="349">J306*(1-$E$5-$E$7)*(1-$E$9)*(1+$E$11)</f>
        <v>6</v>
      </c>
      <c r="N306" s="212">
        <f t="shared" si="345"/>
        <v>0</v>
      </c>
      <c r="O306" s="213">
        <f t="shared" ref="O306:O312" si="350">ROUND((M306*$C$3),2)</f>
        <v>7.32</v>
      </c>
      <c r="P306" s="213">
        <f t="shared" si="347"/>
        <v>0</v>
      </c>
      <c r="Q306" s="3"/>
      <c r="R306" s="222">
        <f t="shared" si="320"/>
        <v>586</v>
      </c>
      <c r="AK306" s="141">
        <f t="shared" si="321"/>
        <v>585.6</v>
      </c>
    </row>
    <row r="307" spans="1:37" outlineLevel="1">
      <c r="A307" s="147"/>
      <c r="B307" s="188" t="s">
        <v>30</v>
      </c>
      <c r="C307" s="238" t="s">
        <v>23</v>
      </c>
      <c r="D307" s="238"/>
      <c r="E307" s="188">
        <v>11093301001</v>
      </c>
      <c r="F307" s="210" t="s">
        <v>272</v>
      </c>
      <c r="G307" s="211"/>
      <c r="H307" s="190" t="s">
        <v>65</v>
      </c>
      <c r="I307" s="190">
        <v>10</v>
      </c>
      <c r="J307" s="212">
        <v>6.78</v>
      </c>
      <c r="K307" s="212">
        <f t="shared" ref="K307" si="351">ROUND((J307*$C$3),2)</f>
        <v>8.27</v>
      </c>
      <c r="L307" s="212">
        <f t="shared" si="343"/>
        <v>0</v>
      </c>
      <c r="M307" s="212">
        <f t="shared" ref="M307" si="352">J307*(1-$E$5-$E$7)*(1-$E$9)*(1+$E$11)</f>
        <v>6.78</v>
      </c>
      <c r="N307" s="212">
        <f t="shared" si="345"/>
        <v>0</v>
      </c>
      <c r="O307" s="213">
        <f t="shared" ref="O307" si="353">ROUND((M307*$C$3),2)</f>
        <v>8.27</v>
      </c>
      <c r="P307" s="213">
        <f t="shared" si="347"/>
        <v>0</v>
      </c>
      <c r="Q307" s="3"/>
      <c r="R307" s="222">
        <f t="shared" ref="R307" si="354">ROUND(AK307,0)</f>
        <v>662</v>
      </c>
      <c r="AK307" s="141">
        <f t="shared" ref="AK307" si="355">K307*$AK$11*(1-$AK$10)</f>
        <v>661.6</v>
      </c>
    </row>
    <row r="308" spans="1:37" outlineLevel="1">
      <c r="A308" s="147"/>
      <c r="B308" s="188" t="s">
        <v>30</v>
      </c>
      <c r="C308" s="238" t="s">
        <v>23</v>
      </c>
      <c r="D308" s="238"/>
      <c r="E308" s="188">
        <v>11096941001</v>
      </c>
      <c r="F308" s="210" t="s">
        <v>273</v>
      </c>
      <c r="G308" s="211"/>
      <c r="H308" s="190" t="s">
        <v>65</v>
      </c>
      <c r="I308" s="190">
        <v>10</v>
      </c>
      <c r="J308" s="212">
        <v>6.78</v>
      </c>
      <c r="K308" s="212">
        <f t="shared" si="348"/>
        <v>8.27</v>
      </c>
      <c r="L308" s="212">
        <f t="shared" si="343"/>
        <v>0</v>
      </c>
      <c r="M308" s="212">
        <f t="shared" si="349"/>
        <v>6.78</v>
      </c>
      <c r="N308" s="212">
        <f t="shared" si="345"/>
        <v>0</v>
      </c>
      <c r="O308" s="213">
        <f t="shared" si="350"/>
        <v>8.27</v>
      </c>
      <c r="P308" s="213">
        <f t="shared" si="347"/>
        <v>0</v>
      </c>
      <c r="Q308" s="3"/>
      <c r="R308" s="222">
        <f t="shared" si="320"/>
        <v>662</v>
      </c>
      <c r="AK308" s="141">
        <f t="shared" si="321"/>
        <v>661.6</v>
      </c>
    </row>
    <row r="309" spans="1:37" outlineLevel="1">
      <c r="A309" s="147"/>
      <c r="B309" s="188" t="s">
        <v>30</v>
      </c>
      <c r="C309" s="238" t="s">
        <v>23</v>
      </c>
      <c r="D309" s="238"/>
      <c r="E309" s="188">
        <v>11097191001</v>
      </c>
      <c r="F309" s="210" t="s">
        <v>274</v>
      </c>
      <c r="G309" s="211"/>
      <c r="H309" s="190" t="s">
        <v>65</v>
      </c>
      <c r="I309" s="190">
        <v>10</v>
      </c>
      <c r="J309" s="212">
        <v>7.52</v>
      </c>
      <c r="K309" s="212">
        <f t="shared" si="348"/>
        <v>9.17</v>
      </c>
      <c r="L309" s="212">
        <f t="shared" si="343"/>
        <v>0</v>
      </c>
      <c r="M309" s="212">
        <f t="shared" si="349"/>
        <v>7.52</v>
      </c>
      <c r="N309" s="212">
        <f t="shared" si="345"/>
        <v>0</v>
      </c>
      <c r="O309" s="213">
        <f t="shared" si="350"/>
        <v>9.17</v>
      </c>
      <c r="P309" s="213">
        <f t="shared" si="347"/>
        <v>0</v>
      </c>
      <c r="Q309" s="3"/>
      <c r="R309" s="222">
        <f t="shared" si="320"/>
        <v>734</v>
      </c>
      <c r="AK309" s="141">
        <f t="shared" si="321"/>
        <v>733.6</v>
      </c>
    </row>
    <row r="310" spans="1:37" outlineLevel="1">
      <c r="A310" s="147"/>
      <c r="B310" s="188" t="s">
        <v>30</v>
      </c>
      <c r="C310" s="238" t="s">
        <v>23</v>
      </c>
      <c r="D310" s="238"/>
      <c r="E310" s="246">
        <v>11093321001</v>
      </c>
      <c r="F310" s="243" t="s">
        <v>275</v>
      </c>
      <c r="G310" s="211"/>
      <c r="H310" s="190" t="s">
        <v>65</v>
      </c>
      <c r="I310" s="190">
        <v>10</v>
      </c>
      <c r="J310" s="212">
        <v>11.65</v>
      </c>
      <c r="K310" s="212">
        <f t="shared" si="348"/>
        <v>14.21</v>
      </c>
      <c r="L310" s="212">
        <f t="shared" si="343"/>
        <v>0</v>
      </c>
      <c r="M310" s="212">
        <f t="shared" si="349"/>
        <v>11.65</v>
      </c>
      <c r="N310" s="212">
        <f t="shared" si="345"/>
        <v>0</v>
      </c>
      <c r="O310" s="213">
        <f t="shared" si="350"/>
        <v>14.21</v>
      </c>
      <c r="P310" s="213">
        <f t="shared" si="347"/>
        <v>0</v>
      </c>
      <c r="Q310" s="3"/>
      <c r="R310" s="222">
        <f t="shared" si="320"/>
        <v>1137</v>
      </c>
      <c r="AK310" s="141">
        <f t="shared" si="321"/>
        <v>1136.8</v>
      </c>
    </row>
    <row r="311" spans="1:37" outlineLevel="1">
      <c r="A311" s="147"/>
      <c r="B311" s="188" t="s">
        <v>30</v>
      </c>
      <c r="C311" s="238" t="s">
        <v>23</v>
      </c>
      <c r="D311" s="238"/>
      <c r="E311" s="188">
        <v>11097171001</v>
      </c>
      <c r="F311" s="210" t="s">
        <v>276</v>
      </c>
      <c r="G311" s="211"/>
      <c r="H311" s="190" t="s">
        <v>65</v>
      </c>
      <c r="I311" s="190">
        <v>10</v>
      </c>
      <c r="J311" s="212">
        <v>11.65</v>
      </c>
      <c r="K311" s="212">
        <f t="shared" si="348"/>
        <v>14.21</v>
      </c>
      <c r="L311" s="212">
        <f t="shared" si="343"/>
        <v>0</v>
      </c>
      <c r="M311" s="212">
        <f t="shared" si="349"/>
        <v>11.65</v>
      </c>
      <c r="N311" s="212">
        <f t="shared" si="345"/>
        <v>0</v>
      </c>
      <c r="O311" s="213">
        <f t="shared" si="350"/>
        <v>14.21</v>
      </c>
      <c r="P311" s="213">
        <f t="shared" si="347"/>
        <v>0</v>
      </c>
      <c r="Q311" s="3"/>
      <c r="R311" s="222">
        <f t="shared" si="320"/>
        <v>1137</v>
      </c>
      <c r="AK311" s="141">
        <f t="shared" si="321"/>
        <v>1136.8</v>
      </c>
    </row>
    <row r="312" spans="1:37" outlineLevel="1">
      <c r="A312" s="147"/>
      <c r="B312" s="188" t="s">
        <v>30</v>
      </c>
      <c r="C312" s="238" t="s">
        <v>23</v>
      </c>
      <c r="D312" s="238"/>
      <c r="E312" s="246">
        <v>11093341001</v>
      </c>
      <c r="F312" s="243" t="s">
        <v>277</v>
      </c>
      <c r="G312" s="211"/>
      <c r="H312" s="190" t="s">
        <v>65</v>
      </c>
      <c r="I312" s="190">
        <v>5</v>
      </c>
      <c r="J312" s="212">
        <v>32.799999999999997</v>
      </c>
      <c r="K312" s="212">
        <f t="shared" si="348"/>
        <v>40.020000000000003</v>
      </c>
      <c r="L312" s="212">
        <f t="shared" si="343"/>
        <v>0</v>
      </c>
      <c r="M312" s="212">
        <f t="shared" si="349"/>
        <v>32.799999999999997</v>
      </c>
      <c r="N312" s="212">
        <f t="shared" si="345"/>
        <v>0</v>
      </c>
      <c r="O312" s="213">
        <f t="shared" si="350"/>
        <v>40.020000000000003</v>
      </c>
      <c r="P312" s="213">
        <f t="shared" si="347"/>
        <v>0</v>
      </c>
      <c r="Q312" s="3"/>
      <c r="R312" s="222">
        <f t="shared" si="320"/>
        <v>3202</v>
      </c>
      <c r="AK312" s="141">
        <f t="shared" si="321"/>
        <v>3201.6000000000004</v>
      </c>
    </row>
    <row r="313" spans="1:37" outlineLevel="1">
      <c r="A313" s="147"/>
      <c r="B313" s="267"/>
      <c r="C313" s="247"/>
      <c r="D313" s="238"/>
      <c r="E313" s="188"/>
      <c r="F313" s="210"/>
      <c r="G313" s="211"/>
      <c r="H313" s="190"/>
      <c r="I313" s="190"/>
      <c r="J313" s="220"/>
      <c r="K313" s="220"/>
      <c r="L313" s="220"/>
      <c r="M313" s="220"/>
      <c r="N313" s="220"/>
      <c r="O313" s="221"/>
      <c r="P313" s="221"/>
      <c r="Q313" s="3"/>
      <c r="R313" s="222"/>
      <c r="AK313" s="141"/>
    </row>
    <row r="314" spans="1:37" ht="30.6" outlineLevel="1">
      <c r="A314" s="148" t="s">
        <v>25</v>
      </c>
      <c r="B314" s="208" t="s">
        <v>26</v>
      </c>
      <c r="C314" s="238" t="s">
        <v>23</v>
      </c>
      <c r="D314" s="238">
        <v>13660691001</v>
      </c>
      <c r="E314" s="188">
        <v>14563291001</v>
      </c>
      <c r="F314" s="210" t="s">
        <v>278</v>
      </c>
      <c r="G314" s="211"/>
      <c r="H314" s="190" t="s">
        <v>65</v>
      </c>
      <c r="I314" s="190">
        <v>10</v>
      </c>
      <c r="J314" s="212">
        <v>5.0599999999999996</v>
      </c>
      <c r="K314" s="212">
        <f t="shared" si="303"/>
        <v>6.17</v>
      </c>
      <c r="L314" s="212">
        <f>K314*G314</f>
        <v>0</v>
      </c>
      <c r="M314" s="212">
        <f t="shared" si="304"/>
        <v>5.0599999999999996</v>
      </c>
      <c r="N314" s="212">
        <f>M314*G314</f>
        <v>0</v>
      </c>
      <c r="O314" s="213">
        <f t="shared" si="305"/>
        <v>6.17</v>
      </c>
      <c r="P314" s="213">
        <f>O314*G314</f>
        <v>0</v>
      </c>
      <c r="Q314" s="3"/>
      <c r="R314" s="214">
        <f t="shared" si="320"/>
        <v>494</v>
      </c>
      <c r="AK314" s="141">
        <f t="shared" si="321"/>
        <v>493.6</v>
      </c>
    </row>
    <row r="315" spans="1:37" ht="30.6" outlineLevel="1">
      <c r="A315" s="148" t="s">
        <v>25</v>
      </c>
      <c r="B315" s="208" t="s">
        <v>26</v>
      </c>
      <c r="C315" s="238" t="s">
        <v>23</v>
      </c>
      <c r="D315" s="238">
        <v>13660711001</v>
      </c>
      <c r="E315" s="188">
        <v>14563311001</v>
      </c>
      <c r="F315" s="210" t="s">
        <v>279</v>
      </c>
      <c r="G315" s="211"/>
      <c r="H315" s="190" t="s">
        <v>65</v>
      </c>
      <c r="I315" s="190">
        <v>10</v>
      </c>
      <c r="J315" s="212">
        <v>13.52</v>
      </c>
      <c r="K315" s="212">
        <f t="shared" si="303"/>
        <v>16.489999999999998</v>
      </c>
      <c r="L315" s="212">
        <f>K315*G315</f>
        <v>0</v>
      </c>
      <c r="M315" s="212">
        <f t="shared" si="304"/>
        <v>13.52</v>
      </c>
      <c r="N315" s="212">
        <f>M315*G315</f>
        <v>0</v>
      </c>
      <c r="O315" s="213">
        <f t="shared" si="305"/>
        <v>16.489999999999998</v>
      </c>
      <c r="P315" s="213">
        <f>O315*G315</f>
        <v>0</v>
      </c>
      <c r="Q315" s="3"/>
      <c r="R315" s="214">
        <f t="shared" si="320"/>
        <v>1319</v>
      </c>
      <c r="AK315" s="141">
        <f t="shared" si="321"/>
        <v>1319.1999999999998</v>
      </c>
    </row>
    <row r="316" spans="1:37" ht="30.6" outlineLevel="1">
      <c r="A316" s="148" t="s">
        <v>25</v>
      </c>
      <c r="B316" s="208" t="s">
        <v>26</v>
      </c>
      <c r="C316" s="238" t="s">
        <v>23</v>
      </c>
      <c r="D316" s="238">
        <v>13660731001</v>
      </c>
      <c r="E316" s="188">
        <v>14563331001</v>
      </c>
      <c r="F316" s="210" t="s">
        <v>280</v>
      </c>
      <c r="G316" s="211"/>
      <c r="H316" s="190" t="s">
        <v>65</v>
      </c>
      <c r="I316" s="190">
        <v>10</v>
      </c>
      <c r="J316" s="212">
        <v>10.549999999999999</v>
      </c>
      <c r="K316" s="212">
        <f t="shared" si="303"/>
        <v>12.87</v>
      </c>
      <c r="L316" s="212">
        <f>K316*G316</f>
        <v>0</v>
      </c>
      <c r="M316" s="212">
        <f t="shared" si="304"/>
        <v>10.549999999999999</v>
      </c>
      <c r="N316" s="212">
        <f>M316*G316</f>
        <v>0</v>
      </c>
      <c r="O316" s="213">
        <f t="shared" si="305"/>
        <v>12.87</v>
      </c>
      <c r="P316" s="213">
        <f>O316*G316</f>
        <v>0</v>
      </c>
      <c r="Q316" s="3"/>
      <c r="R316" s="214">
        <f t="shared" si="320"/>
        <v>1030</v>
      </c>
      <c r="AK316" s="141">
        <f t="shared" si="321"/>
        <v>1029.6000000000001</v>
      </c>
    </row>
    <row r="317" spans="1:37" outlineLevel="1">
      <c r="A317" s="147"/>
      <c r="B317" s="240"/>
      <c r="C317" s="247"/>
      <c r="D317" s="238"/>
      <c r="E317" s="188"/>
      <c r="F317" s="210"/>
      <c r="G317" s="211"/>
      <c r="H317" s="190"/>
      <c r="I317" s="190"/>
      <c r="J317" s="212"/>
      <c r="K317" s="212"/>
      <c r="L317" s="212"/>
      <c r="M317" s="212"/>
      <c r="N317" s="212"/>
      <c r="O317" s="213"/>
      <c r="P317" s="213"/>
      <c r="Q317" s="3"/>
      <c r="R317" s="222"/>
      <c r="AK317" s="141"/>
    </row>
    <row r="318" spans="1:37" outlineLevel="1">
      <c r="A318" s="147"/>
      <c r="B318" s="188" t="s">
        <v>30</v>
      </c>
      <c r="C318" s="190" t="s">
        <v>23</v>
      </c>
      <c r="D318" s="248">
        <v>14563351001</v>
      </c>
      <c r="E318" s="246">
        <v>14563353001</v>
      </c>
      <c r="F318" s="243" t="s">
        <v>281</v>
      </c>
      <c r="G318" s="211"/>
      <c r="H318" s="244" t="s">
        <v>65</v>
      </c>
      <c r="I318" s="244">
        <v>10</v>
      </c>
      <c r="J318" s="245">
        <v>6.53</v>
      </c>
      <c r="K318" s="212">
        <f t="shared" ref="K318:K326" si="356">ROUND((J318*$C$3),2)</f>
        <v>7.97</v>
      </c>
      <c r="L318" s="212">
        <f t="shared" ref="L318:L326" si="357">K318*G318</f>
        <v>0</v>
      </c>
      <c r="M318" s="212">
        <f t="shared" ref="M318:M326" si="358">J318*(1-$E$5-$E$7)*(1-$E$9)*(1+$E$11)</f>
        <v>6.53</v>
      </c>
      <c r="N318" s="212">
        <f t="shared" ref="N318:N326" si="359">M318*G318</f>
        <v>0</v>
      </c>
      <c r="O318" s="213">
        <f t="shared" ref="O318:O326" si="360">ROUND((M318*$C$3),2)</f>
        <v>7.97</v>
      </c>
      <c r="P318" s="213">
        <f t="shared" ref="P318:P326" si="361">O318*G318</f>
        <v>0</v>
      </c>
      <c r="Q318" s="3"/>
      <c r="R318" s="222">
        <f t="shared" ref="R318:R326" si="362">ROUND(AK318,0)</f>
        <v>638</v>
      </c>
      <c r="AK318" s="141">
        <f t="shared" ref="AK318:AK326" si="363">K318*$AK$11*(1-$AK$10)</f>
        <v>637.6</v>
      </c>
    </row>
    <row r="319" spans="1:37" outlineLevel="1">
      <c r="A319" s="147"/>
      <c r="B319" s="188" t="s">
        <v>30</v>
      </c>
      <c r="C319" s="190" t="s">
        <v>23</v>
      </c>
      <c r="D319" s="248">
        <v>14563361001</v>
      </c>
      <c r="E319" s="242">
        <v>14563363001</v>
      </c>
      <c r="F319" s="243" t="s">
        <v>282</v>
      </c>
      <c r="G319" s="211"/>
      <c r="H319" s="244" t="s">
        <v>65</v>
      </c>
      <c r="I319" s="244">
        <v>10</v>
      </c>
      <c r="J319" s="245">
        <v>8.1</v>
      </c>
      <c r="K319" s="212">
        <f t="shared" si="356"/>
        <v>9.8800000000000008</v>
      </c>
      <c r="L319" s="212">
        <f t="shared" si="357"/>
        <v>0</v>
      </c>
      <c r="M319" s="212">
        <f t="shared" si="358"/>
        <v>8.1</v>
      </c>
      <c r="N319" s="212">
        <f t="shared" si="359"/>
        <v>0</v>
      </c>
      <c r="O319" s="213">
        <f t="shared" si="360"/>
        <v>9.8800000000000008</v>
      </c>
      <c r="P319" s="213">
        <f t="shared" si="361"/>
        <v>0</v>
      </c>
      <c r="Q319" s="3"/>
      <c r="R319" s="222">
        <f t="shared" si="362"/>
        <v>790</v>
      </c>
      <c r="AK319" s="141">
        <f t="shared" si="363"/>
        <v>790.40000000000009</v>
      </c>
    </row>
    <row r="320" spans="1:37" outlineLevel="1">
      <c r="A320" s="147"/>
      <c r="B320" s="188" t="s">
        <v>30</v>
      </c>
      <c r="C320" s="190" t="s">
        <v>23</v>
      </c>
      <c r="D320" s="248">
        <v>14563371001</v>
      </c>
      <c r="E320" s="242">
        <v>14563373001</v>
      </c>
      <c r="F320" s="243" t="s">
        <v>283</v>
      </c>
      <c r="G320" s="211"/>
      <c r="H320" s="244" t="s">
        <v>65</v>
      </c>
      <c r="I320" s="244">
        <v>10</v>
      </c>
      <c r="J320" s="245">
        <v>8.14</v>
      </c>
      <c r="K320" s="212">
        <f t="shared" si="356"/>
        <v>9.93</v>
      </c>
      <c r="L320" s="212">
        <f t="shared" si="357"/>
        <v>0</v>
      </c>
      <c r="M320" s="212">
        <f t="shared" si="358"/>
        <v>8.14</v>
      </c>
      <c r="N320" s="212">
        <f t="shared" si="359"/>
        <v>0</v>
      </c>
      <c r="O320" s="213">
        <f t="shared" si="360"/>
        <v>9.93</v>
      </c>
      <c r="P320" s="213">
        <f t="shared" si="361"/>
        <v>0</v>
      </c>
      <c r="Q320" s="3"/>
      <c r="R320" s="222">
        <f t="shared" si="362"/>
        <v>794</v>
      </c>
      <c r="AK320" s="141">
        <f t="shared" si="363"/>
        <v>794.40000000000009</v>
      </c>
    </row>
    <row r="321" spans="1:37" outlineLevel="1">
      <c r="A321" s="147"/>
      <c r="B321" s="188" t="s">
        <v>30</v>
      </c>
      <c r="C321" s="190" t="s">
        <v>23</v>
      </c>
      <c r="D321" s="248">
        <v>14563381001</v>
      </c>
      <c r="E321" s="242">
        <v>14563383001</v>
      </c>
      <c r="F321" s="243" t="s">
        <v>284</v>
      </c>
      <c r="G321" s="211"/>
      <c r="H321" s="244" t="s">
        <v>65</v>
      </c>
      <c r="I321" s="244">
        <v>10</v>
      </c>
      <c r="J321" s="245">
        <v>8.8699999999999992</v>
      </c>
      <c r="K321" s="212">
        <f t="shared" si="356"/>
        <v>10.82</v>
      </c>
      <c r="L321" s="212">
        <f t="shared" si="357"/>
        <v>0</v>
      </c>
      <c r="M321" s="212">
        <f t="shared" si="358"/>
        <v>8.8699999999999992</v>
      </c>
      <c r="N321" s="212">
        <f t="shared" si="359"/>
        <v>0</v>
      </c>
      <c r="O321" s="213">
        <f t="shared" si="360"/>
        <v>10.82</v>
      </c>
      <c r="P321" s="213">
        <f t="shared" si="361"/>
        <v>0</v>
      </c>
      <c r="Q321" s="3"/>
      <c r="R321" s="222">
        <f t="shared" si="362"/>
        <v>866</v>
      </c>
      <c r="AK321" s="141">
        <f t="shared" si="363"/>
        <v>865.6</v>
      </c>
    </row>
    <row r="322" spans="1:37" outlineLevel="1">
      <c r="A322" s="147"/>
      <c r="B322" s="188" t="s">
        <v>30</v>
      </c>
      <c r="C322" s="190" t="s">
        <v>23</v>
      </c>
      <c r="D322" s="248">
        <v>14563391001</v>
      </c>
      <c r="E322" s="242">
        <v>14563393001</v>
      </c>
      <c r="F322" s="243" t="s">
        <v>285</v>
      </c>
      <c r="G322" s="211"/>
      <c r="H322" s="244" t="s">
        <v>65</v>
      </c>
      <c r="I322" s="244">
        <v>10</v>
      </c>
      <c r="J322" s="245">
        <v>11.94</v>
      </c>
      <c r="K322" s="212">
        <f t="shared" si="356"/>
        <v>14.57</v>
      </c>
      <c r="L322" s="212">
        <f t="shared" si="357"/>
        <v>0</v>
      </c>
      <c r="M322" s="212">
        <f t="shared" si="358"/>
        <v>11.94</v>
      </c>
      <c r="N322" s="212">
        <f t="shared" si="359"/>
        <v>0</v>
      </c>
      <c r="O322" s="213">
        <f t="shared" si="360"/>
        <v>14.57</v>
      </c>
      <c r="P322" s="213">
        <f t="shared" si="361"/>
        <v>0</v>
      </c>
      <c r="Q322" s="3"/>
      <c r="R322" s="222">
        <f t="shared" si="362"/>
        <v>1166</v>
      </c>
      <c r="AK322" s="141">
        <f t="shared" si="363"/>
        <v>1165.6000000000001</v>
      </c>
    </row>
    <row r="323" spans="1:37" outlineLevel="1">
      <c r="A323" s="147"/>
      <c r="B323" s="188" t="s">
        <v>30</v>
      </c>
      <c r="C323" s="190" t="s">
        <v>23</v>
      </c>
      <c r="D323" s="248">
        <v>14563401001</v>
      </c>
      <c r="E323" s="242">
        <v>14563403001</v>
      </c>
      <c r="F323" s="243" t="s">
        <v>286</v>
      </c>
      <c r="G323" s="211"/>
      <c r="H323" s="244" t="s">
        <v>65</v>
      </c>
      <c r="I323" s="244">
        <v>10</v>
      </c>
      <c r="J323" s="245">
        <v>14.87</v>
      </c>
      <c r="K323" s="212">
        <f t="shared" si="356"/>
        <v>18.14</v>
      </c>
      <c r="L323" s="212">
        <f t="shared" si="357"/>
        <v>0</v>
      </c>
      <c r="M323" s="212">
        <f t="shared" si="358"/>
        <v>14.87</v>
      </c>
      <c r="N323" s="212">
        <f t="shared" si="359"/>
        <v>0</v>
      </c>
      <c r="O323" s="213">
        <f t="shared" si="360"/>
        <v>18.14</v>
      </c>
      <c r="P323" s="213">
        <f t="shared" si="361"/>
        <v>0</v>
      </c>
      <c r="Q323" s="3"/>
      <c r="R323" s="222">
        <f t="shared" si="362"/>
        <v>1451</v>
      </c>
      <c r="AK323" s="141">
        <f t="shared" si="363"/>
        <v>1451.2</v>
      </c>
    </row>
    <row r="324" spans="1:37" outlineLevel="1">
      <c r="A324" s="147"/>
      <c r="B324" s="188" t="s">
        <v>30</v>
      </c>
      <c r="C324" s="190" t="s">
        <v>23</v>
      </c>
      <c r="D324" s="248">
        <v>14563411001</v>
      </c>
      <c r="E324" s="242">
        <v>14563413001</v>
      </c>
      <c r="F324" s="243" t="s">
        <v>287</v>
      </c>
      <c r="G324" s="211"/>
      <c r="H324" s="244" t="s">
        <v>65</v>
      </c>
      <c r="I324" s="244">
        <v>10</v>
      </c>
      <c r="J324" s="245">
        <v>24.86</v>
      </c>
      <c r="K324" s="212">
        <f t="shared" si="356"/>
        <v>30.33</v>
      </c>
      <c r="L324" s="212">
        <f t="shared" si="357"/>
        <v>0</v>
      </c>
      <c r="M324" s="212">
        <f t="shared" si="358"/>
        <v>24.86</v>
      </c>
      <c r="N324" s="212">
        <f t="shared" si="359"/>
        <v>0</v>
      </c>
      <c r="O324" s="213">
        <f t="shared" si="360"/>
        <v>30.33</v>
      </c>
      <c r="P324" s="213">
        <f t="shared" si="361"/>
        <v>0</v>
      </c>
      <c r="Q324" s="3"/>
      <c r="R324" s="222">
        <f t="shared" si="362"/>
        <v>2426</v>
      </c>
      <c r="AK324" s="141">
        <f t="shared" si="363"/>
        <v>2426.4</v>
      </c>
    </row>
    <row r="325" spans="1:37" outlineLevel="1">
      <c r="A325" s="147"/>
      <c r="B325" s="188" t="s">
        <v>30</v>
      </c>
      <c r="C325" s="190" t="s">
        <v>23</v>
      </c>
      <c r="D325" s="248">
        <v>14563421001</v>
      </c>
      <c r="E325" s="242">
        <v>14563423001</v>
      </c>
      <c r="F325" s="243" t="s">
        <v>288</v>
      </c>
      <c r="G325" s="211"/>
      <c r="H325" s="244" t="s">
        <v>65</v>
      </c>
      <c r="I325" s="244">
        <v>5</v>
      </c>
      <c r="J325" s="245">
        <v>39.159999999999997</v>
      </c>
      <c r="K325" s="212">
        <f t="shared" si="356"/>
        <v>47.78</v>
      </c>
      <c r="L325" s="212">
        <f t="shared" si="357"/>
        <v>0</v>
      </c>
      <c r="M325" s="212">
        <f t="shared" si="358"/>
        <v>39.159999999999997</v>
      </c>
      <c r="N325" s="212">
        <f t="shared" si="359"/>
        <v>0</v>
      </c>
      <c r="O325" s="213">
        <f t="shared" si="360"/>
        <v>47.78</v>
      </c>
      <c r="P325" s="213">
        <f t="shared" si="361"/>
        <v>0</v>
      </c>
      <c r="Q325" s="3"/>
      <c r="R325" s="222">
        <f t="shared" si="362"/>
        <v>3822</v>
      </c>
      <c r="AK325" s="141">
        <f t="shared" si="363"/>
        <v>3822.4</v>
      </c>
    </row>
    <row r="326" spans="1:37" outlineLevel="1">
      <c r="A326" s="147"/>
      <c r="B326" s="188" t="s">
        <v>30</v>
      </c>
      <c r="C326" s="190" t="s">
        <v>23</v>
      </c>
      <c r="D326" s="248">
        <v>14563441001</v>
      </c>
      <c r="E326" s="242">
        <v>14563443001</v>
      </c>
      <c r="F326" s="243" t="s">
        <v>289</v>
      </c>
      <c r="G326" s="211"/>
      <c r="H326" s="244" t="s">
        <v>65</v>
      </c>
      <c r="I326" s="244">
        <v>1</v>
      </c>
      <c r="J326" s="245">
        <v>46.52</v>
      </c>
      <c r="K326" s="212">
        <f t="shared" si="356"/>
        <v>56.75</v>
      </c>
      <c r="L326" s="212">
        <f t="shared" si="357"/>
        <v>0</v>
      </c>
      <c r="M326" s="212">
        <f t="shared" si="358"/>
        <v>46.52</v>
      </c>
      <c r="N326" s="212">
        <f t="shared" si="359"/>
        <v>0</v>
      </c>
      <c r="O326" s="213">
        <f t="shared" si="360"/>
        <v>56.75</v>
      </c>
      <c r="P326" s="213">
        <f t="shared" si="361"/>
        <v>0</v>
      </c>
      <c r="Q326" s="3"/>
      <c r="R326" s="222">
        <f t="shared" si="362"/>
        <v>4540</v>
      </c>
      <c r="AK326" s="141">
        <f t="shared" si="363"/>
        <v>4540</v>
      </c>
    </row>
    <row r="327" spans="1:37" outlineLevel="1">
      <c r="A327" s="147"/>
      <c r="B327" s="240"/>
      <c r="C327" s="247"/>
      <c r="D327" s="238"/>
      <c r="E327" s="188"/>
      <c r="F327" s="210"/>
      <c r="G327" s="211"/>
      <c r="H327" s="190"/>
      <c r="I327" s="190"/>
      <c r="J327" s="212"/>
      <c r="K327" s="212"/>
      <c r="L327" s="212"/>
      <c r="M327" s="212"/>
      <c r="N327" s="212"/>
      <c r="O327" s="213"/>
      <c r="P327" s="213"/>
      <c r="Q327" s="3"/>
      <c r="R327" s="222"/>
      <c r="AK327" s="141"/>
    </row>
    <row r="328" spans="1:37" outlineLevel="1">
      <c r="A328" s="147"/>
      <c r="B328" s="188" t="s">
        <v>30</v>
      </c>
      <c r="C328" s="238" t="s">
        <v>23</v>
      </c>
      <c r="D328" s="238"/>
      <c r="E328" s="188">
        <v>11096721001</v>
      </c>
      <c r="F328" s="210" t="s">
        <v>290</v>
      </c>
      <c r="G328" s="211"/>
      <c r="H328" s="190" t="s">
        <v>65</v>
      </c>
      <c r="I328" s="190">
        <v>10</v>
      </c>
      <c r="J328" s="212">
        <v>4.16</v>
      </c>
      <c r="K328" s="212">
        <f t="shared" ref="K328:K329" si="364">ROUND((J328*$C$3),2)</f>
        <v>5.08</v>
      </c>
      <c r="L328" s="212">
        <f t="shared" ref="L328:L336" si="365">K328*G328</f>
        <v>0</v>
      </c>
      <c r="M328" s="212">
        <f t="shared" ref="M328:M329" si="366">J328*(1-$E$5-$E$7)*(1-$E$9)*(1+$E$11)</f>
        <v>4.16</v>
      </c>
      <c r="N328" s="212">
        <f t="shared" ref="N328:N336" si="367">M328*G328</f>
        <v>0</v>
      </c>
      <c r="O328" s="213">
        <f t="shared" ref="O328:O329" si="368">ROUND((M328*$C$3),2)</f>
        <v>5.08</v>
      </c>
      <c r="P328" s="213">
        <f t="shared" ref="P328:P336" si="369">O328*G328</f>
        <v>0</v>
      </c>
      <c r="Q328" s="3"/>
      <c r="R328" s="222">
        <f t="shared" si="320"/>
        <v>406</v>
      </c>
      <c r="AK328" s="141">
        <f t="shared" si="321"/>
        <v>406.40000000000003</v>
      </c>
    </row>
    <row r="329" spans="1:37" outlineLevel="1">
      <c r="A329" s="147"/>
      <c r="B329" s="188" t="s">
        <v>30</v>
      </c>
      <c r="C329" s="238" t="s">
        <v>23</v>
      </c>
      <c r="D329" s="238"/>
      <c r="E329" s="188">
        <v>11096871001</v>
      </c>
      <c r="F329" s="210" t="s">
        <v>291</v>
      </c>
      <c r="G329" s="211"/>
      <c r="H329" s="190" t="s">
        <v>65</v>
      </c>
      <c r="I329" s="190">
        <v>10</v>
      </c>
      <c r="J329" s="212">
        <v>5.16</v>
      </c>
      <c r="K329" s="212">
        <f t="shared" si="364"/>
        <v>6.3</v>
      </c>
      <c r="L329" s="212">
        <f t="shared" si="365"/>
        <v>0</v>
      </c>
      <c r="M329" s="212">
        <f t="shared" si="366"/>
        <v>5.16</v>
      </c>
      <c r="N329" s="212">
        <f t="shared" si="367"/>
        <v>0</v>
      </c>
      <c r="O329" s="213">
        <f t="shared" si="368"/>
        <v>6.3</v>
      </c>
      <c r="P329" s="213">
        <f t="shared" si="369"/>
        <v>0</v>
      </c>
      <c r="Q329" s="3"/>
      <c r="R329" s="222">
        <f t="shared" si="320"/>
        <v>504</v>
      </c>
      <c r="AK329" s="141">
        <f t="shared" si="321"/>
        <v>504</v>
      </c>
    </row>
    <row r="330" spans="1:37" outlineLevel="1">
      <c r="A330" s="147"/>
      <c r="B330" s="188" t="s">
        <v>30</v>
      </c>
      <c r="C330" s="238" t="s">
        <v>23</v>
      </c>
      <c r="D330" s="238"/>
      <c r="E330" s="188">
        <v>11096851001</v>
      </c>
      <c r="F330" s="210" t="s">
        <v>292</v>
      </c>
      <c r="G330" s="211"/>
      <c r="H330" s="190" t="s">
        <v>65</v>
      </c>
      <c r="I330" s="190">
        <v>10</v>
      </c>
      <c r="J330" s="212">
        <v>5.15</v>
      </c>
      <c r="K330" s="212">
        <f t="shared" ref="K330:K332" si="370">ROUND((J330*$C$3),2)</f>
        <v>6.28</v>
      </c>
      <c r="L330" s="212">
        <f t="shared" si="365"/>
        <v>0</v>
      </c>
      <c r="M330" s="212">
        <f t="shared" ref="M330:M332" si="371">J330*(1-$E$5-$E$7)*(1-$E$9)*(1+$E$11)</f>
        <v>5.15</v>
      </c>
      <c r="N330" s="212">
        <f t="shared" si="367"/>
        <v>0</v>
      </c>
      <c r="O330" s="213">
        <f t="shared" ref="O330:O332" si="372">ROUND((M330*$C$3),2)</f>
        <v>6.28</v>
      </c>
      <c r="P330" s="213">
        <f t="shared" si="369"/>
        <v>0</v>
      </c>
      <c r="Q330" s="3"/>
      <c r="R330" s="222">
        <f t="shared" si="320"/>
        <v>502</v>
      </c>
      <c r="AK330" s="141">
        <f t="shared" si="321"/>
        <v>502.40000000000003</v>
      </c>
    </row>
    <row r="331" spans="1:37" outlineLevel="1">
      <c r="A331" s="147"/>
      <c r="B331" s="188" t="s">
        <v>30</v>
      </c>
      <c r="C331" s="238" t="s">
        <v>23</v>
      </c>
      <c r="D331" s="238"/>
      <c r="E331" s="188">
        <v>11096891001</v>
      </c>
      <c r="F331" s="210" t="s">
        <v>293</v>
      </c>
      <c r="G331" s="211"/>
      <c r="H331" s="190" t="s">
        <v>65</v>
      </c>
      <c r="I331" s="190">
        <v>10</v>
      </c>
      <c r="J331" s="212">
        <v>5.44</v>
      </c>
      <c r="K331" s="212">
        <f t="shared" si="370"/>
        <v>6.64</v>
      </c>
      <c r="L331" s="212">
        <f t="shared" si="365"/>
        <v>0</v>
      </c>
      <c r="M331" s="212">
        <f t="shared" si="371"/>
        <v>5.44</v>
      </c>
      <c r="N331" s="212">
        <f t="shared" si="367"/>
        <v>0</v>
      </c>
      <c r="O331" s="213">
        <f t="shared" si="372"/>
        <v>6.64</v>
      </c>
      <c r="P331" s="213">
        <f t="shared" si="369"/>
        <v>0</v>
      </c>
      <c r="Q331" s="3"/>
      <c r="R331" s="222">
        <f t="shared" si="320"/>
        <v>531</v>
      </c>
      <c r="AK331" s="141">
        <f t="shared" si="321"/>
        <v>531.20000000000005</v>
      </c>
    </row>
    <row r="332" spans="1:37" outlineLevel="1">
      <c r="A332" s="147"/>
      <c r="B332" s="188" t="s">
        <v>30</v>
      </c>
      <c r="C332" s="238" t="s">
        <v>23</v>
      </c>
      <c r="D332" s="238"/>
      <c r="E332" s="188">
        <v>11097131001</v>
      </c>
      <c r="F332" s="210" t="s">
        <v>294</v>
      </c>
      <c r="G332" s="211"/>
      <c r="H332" s="190" t="s">
        <v>65</v>
      </c>
      <c r="I332" s="190">
        <v>10</v>
      </c>
      <c r="J332" s="212">
        <v>6.71</v>
      </c>
      <c r="K332" s="212">
        <f t="shared" si="370"/>
        <v>8.19</v>
      </c>
      <c r="L332" s="212">
        <f t="shared" si="365"/>
        <v>0</v>
      </c>
      <c r="M332" s="212">
        <f t="shared" si="371"/>
        <v>6.71</v>
      </c>
      <c r="N332" s="212">
        <f t="shared" si="367"/>
        <v>0</v>
      </c>
      <c r="O332" s="213">
        <f t="shared" si="372"/>
        <v>8.19</v>
      </c>
      <c r="P332" s="213">
        <f t="shared" si="369"/>
        <v>0</v>
      </c>
      <c r="Q332" s="3"/>
      <c r="R332" s="222">
        <f t="shared" si="320"/>
        <v>655</v>
      </c>
      <c r="AK332" s="141">
        <f t="shared" si="321"/>
        <v>655.20000000000005</v>
      </c>
    </row>
    <row r="333" spans="1:37" outlineLevel="1">
      <c r="A333" s="147"/>
      <c r="B333" s="188" t="s">
        <v>30</v>
      </c>
      <c r="C333" s="238" t="s">
        <v>23</v>
      </c>
      <c r="D333" s="238"/>
      <c r="E333" s="188">
        <v>11097181001</v>
      </c>
      <c r="F333" s="210" t="s">
        <v>295</v>
      </c>
      <c r="G333" s="211"/>
      <c r="H333" s="190" t="s">
        <v>65</v>
      </c>
      <c r="I333" s="190">
        <v>10</v>
      </c>
      <c r="J333" s="212">
        <v>9.01</v>
      </c>
      <c r="K333" s="212">
        <f>ROUND((J333*$C$3),2)</f>
        <v>10.99</v>
      </c>
      <c r="L333" s="212">
        <f t="shared" si="365"/>
        <v>0</v>
      </c>
      <c r="M333" s="212">
        <f>J333*(1-$E$5-$E$7)*(1-$E$9)*(1+$E$11)</f>
        <v>9.01</v>
      </c>
      <c r="N333" s="212">
        <f t="shared" si="367"/>
        <v>0</v>
      </c>
      <c r="O333" s="213">
        <f>ROUND((M333*$C$3),2)</f>
        <v>10.99</v>
      </c>
      <c r="P333" s="213">
        <f t="shared" si="369"/>
        <v>0</v>
      </c>
      <c r="Q333" s="3"/>
      <c r="R333" s="222">
        <f t="shared" si="320"/>
        <v>879</v>
      </c>
      <c r="AK333" s="141">
        <f t="shared" si="321"/>
        <v>879.2</v>
      </c>
    </row>
    <row r="334" spans="1:37" outlineLevel="1">
      <c r="A334" s="147"/>
      <c r="B334" s="188" t="s">
        <v>30</v>
      </c>
      <c r="C334" s="238" t="s">
        <v>23</v>
      </c>
      <c r="D334" s="238"/>
      <c r="E334" s="188">
        <v>11093411001</v>
      </c>
      <c r="F334" s="210" t="s">
        <v>296</v>
      </c>
      <c r="G334" s="211"/>
      <c r="H334" s="190" t="s">
        <v>65</v>
      </c>
      <c r="I334" s="266">
        <v>10</v>
      </c>
      <c r="J334" s="266">
        <v>17.760000000000002</v>
      </c>
      <c r="K334" s="212">
        <f t="shared" ref="K334:K336" si="373">ROUND((J334*$C$3),2)</f>
        <v>21.67</v>
      </c>
      <c r="L334" s="212">
        <f t="shared" si="365"/>
        <v>0</v>
      </c>
      <c r="M334" s="212">
        <f t="shared" ref="M334:M336" si="374">J334*(1-$E$5-$E$7)*(1-$E$9)*(1+$E$11)</f>
        <v>17.760000000000002</v>
      </c>
      <c r="N334" s="212">
        <f t="shared" si="367"/>
        <v>0</v>
      </c>
      <c r="O334" s="213">
        <f t="shared" ref="O334:O336" si="375">ROUND((M334*$C$3),2)</f>
        <v>21.67</v>
      </c>
      <c r="P334" s="213">
        <f t="shared" si="369"/>
        <v>0</v>
      </c>
      <c r="Q334" s="3"/>
      <c r="R334" s="222">
        <f t="shared" ref="R334:R336" si="376">ROUND(AK334,0)</f>
        <v>1734</v>
      </c>
      <c r="AK334" s="141">
        <f t="shared" ref="AK334:AK336" si="377">K334*$AK$11*(1-$AK$10)</f>
        <v>1733.6000000000001</v>
      </c>
    </row>
    <row r="335" spans="1:37" outlineLevel="1">
      <c r="A335" s="147"/>
      <c r="B335" s="188" t="s">
        <v>30</v>
      </c>
      <c r="C335" s="238" t="s">
        <v>23</v>
      </c>
      <c r="D335" s="238"/>
      <c r="E335" s="188">
        <v>11093421001</v>
      </c>
      <c r="F335" s="210" t="s">
        <v>297</v>
      </c>
      <c r="G335" s="211"/>
      <c r="H335" s="190" t="s">
        <v>65</v>
      </c>
      <c r="I335" s="190">
        <v>5</v>
      </c>
      <c r="J335" s="212">
        <v>31.970000000000002</v>
      </c>
      <c r="K335" s="212">
        <f t="shared" si="373"/>
        <v>39</v>
      </c>
      <c r="L335" s="212">
        <f t="shared" si="365"/>
        <v>0</v>
      </c>
      <c r="M335" s="212">
        <f t="shared" si="374"/>
        <v>31.970000000000002</v>
      </c>
      <c r="N335" s="212">
        <f t="shared" si="367"/>
        <v>0</v>
      </c>
      <c r="O335" s="213">
        <f t="shared" si="375"/>
        <v>39</v>
      </c>
      <c r="P335" s="213">
        <f t="shared" si="369"/>
        <v>0</v>
      </c>
      <c r="Q335" s="3"/>
      <c r="R335" s="222">
        <f t="shared" si="376"/>
        <v>3120</v>
      </c>
      <c r="AK335" s="141">
        <f t="shared" si="377"/>
        <v>3120</v>
      </c>
    </row>
    <row r="336" spans="1:37" outlineLevel="1">
      <c r="A336" s="147"/>
      <c r="B336" s="188" t="s">
        <v>30</v>
      </c>
      <c r="C336" s="238" t="s">
        <v>23</v>
      </c>
      <c r="D336" s="238"/>
      <c r="E336" s="246">
        <v>11093441001</v>
      </c>
      <c r="F336" s="243" t="s">
        <v>298</v>
      </c>
      <c r="G336" s="211"/>
      <c r="H336" s="190" t="s">
        <v>65</v>
      </c>
      <c r="I336" s="190">
        <v>1</v>
      </c>
      <c r="J336" s="212">
        <v>37.97</v>
      </c>
      <c r="K336" s="212">
        <f t="shared" si="373"/>
        <v>46.32</v>
      </c>
      <c r="L336" s="212">
        <f t="shared" si="365"/>
        <v>0</v>
      </c>
      <c r="M336" s="212">
        <f t="shared" si="374"/>
        <v>37.97</v>
      </c>
      <c r="N336" s="212">
        <f t="shared" si="367"/>
        <v>0</v>
      </c>
      <c r="O336" s="213">
        <f t="shared" si="375"/>
        <v>46.32</v>
      </c>
      <c r="P336" s="213">
        <f t="shared" si="369"/>
        <v>0</v>
      </c>
      <c r="Q336" s="3"/>
      <c r="R336" s="222">
        <f t="shared" si="376"/>
        <v>3706</v>
      </c>
      <c r="AK336" s="141">
        <f t="shared" si="377"/>
        <v>3705.6000000000004</v>
      </c>
    </row>
    <row r="337" spans="1:37" outlineLevel="1">
      <c r="A337" s="147"/>
      <c r="B337" s="240"/>
      <c r="C337" s="247"/>
      <c r="D337" s="238"/>
      <c r="E337" s="188"/>
      <c r="F337" s="210"/>
      <c r="G337" s="211"/>
      <c r="H337" s="190"/>
      <c r="I337" s="190"/>
      <c r="J337" s="212"/>
      <c r="K337" s="212"/>
      <c r="L337" s="212"/>
      <c r="M337" s="212"/>
      <c r="N337" s="212"/>
      <c r="O337" s="213"/>
      <c r="P337" s="213"/>
      <c r="Q337" s="3"/>
      <c r="R337" s="222"/>
      <c r="AK337" s="141"/>
    </row>
    <row r="338" spans="1:37" s="73" customFormat="1" ht="25.15" customHeight="1" outlineLevel="1">
      <c r="A338" s="148" t="s">
        <v>25</v>
      </c>
      <c r="B338" s="208" t="s">
        <v>26</v>
      </c>
      <c r="C338" s="238" t="s">
        <v>23</v>
      </c>
      <c r="D338" s="238">
        <v>13660861001</v>
      </c>
      <c r="E338" s="188">
        <v>14563451001</v>
      </c>
      <c r="F338" s="210" t="s">
        <v>299</v>
      </c>
      <c r="G338" s="211"/>
      <c r="H338" s="190" t="s">
        <v>65</v>
      </c>
      <c r="I338" s="190">
        <v>1</v>
      </c>
      <c r="J338" s="212">
        <v>37.409999999999997</v>
      </c>
      <c r="K338" s="212">
        <f t="shared" si="303"/>
        <v>45.64</v>
      </c>
      <c r="L338" s="212">
        <f>K338*G338</f>
        <v>0</v>
      </c>
      <c r="M338" s="212">
        <f t="shared" si="304"/>
        <v>37.409999999999997</v>
      </c>
      <c r="N338" s="212">
        <f>M338*G338</f>
        <v>0</v>
      </c>
      <c r="O338" s="213">
        <f t="shared" si="305"/>
        <v>45.64</v>
      </c>
      <c r="P338" s="213">
        <f>O338*G338</f>
        <v>0</v>
      </c>
      <c r="Q338" s="3"/>
      <c r="R338" s="214">
        <f t="shared" si="320"/>
        <v>3651</v>
      </c>
      <c r="AK338" s="141">
        <f t="shared" si="321"/>
        <v>3651.2000000000003</v>
      </c>
    </row>
    <row r="339" spans="1:37" s="73" customFormat="1" ht="25.15" customHeight="1" outlineLevel="1">
      <c r="A339" s="148" t="s">
        <v>25</v>
      </c>
      <c r="B339" s="208" t="s">
        <v>26</v>
      </c>
      <c r="C339" s="238" t="s">
        <v>23</v>
      </c>
      <c r="D339" s="238">
        <v>13660871001</v>
      </c>
      <c r="E339" s="188">
        <v>14563461001</v>
      </c>
      <c r="F339" s="210" t="s">
        <v>300</v>
      </c>
      <c r="G339" s="211"/>
      <c r="H339" s="190" t="s">
        <v>65</v>
      </c>
      <c r="I339" s="190">
        <v>1</v>
      </c>
      <c r="J339" s="212">
        <v>47.65</v>
      </c>
      <c r="K339" s="212">
        <f t="shared" si="303"/>
        <v>58.13</v>
      </c>
      <c r="L339" s="212">
        <f>K339*G339</f>
        <v>0</v>
      </c>
      <c r="M339" s="212">
        <f t="shared" si="304"/>
        <v>47.65</v>
      </c>
      <c r="N339" s="212">
        <f>M339*G339</f>
        <v>0</v>
      </c>
      <c r="O339" s="213">
        <f t="shared" si="305"/>
        <v>58.13</v>
      </c>
      <c r="P339" s="213">
        <f>O339*G339</f>
        <v>0</v>
      </c>
      <c r="Q339" s="3"/>
      <c r="R339" s="214">
        <f t="shared" si="320"/>
        <v>4650</v>
      </c>
      <c r="AK339" s="141">
        <f t="shared" si="321"/>
        <v>4650.4000000000005</v>
      </c>
    </row>
    <row r="340" spans="1:37" outlineLevel="1">
      <c r="A340" s="147"/>
      <c r="B340" s="240"/>
      <c r="C340" s="247"/>
      <c r="D340" s="238"/>
      <c r="E340" s="188"/>
      <c r="F340" s="210"/>
      <c r="G340" s="211"/>
      <c r="H340" s="190"/>
      <c r="I340" s="190"/>
      <c r="J340" s="212"/>
      <c r="K340" s="212"/>
      <c r="L340" s="212"/>
      <c r="M340" s="212"/>
      <c r="N340" s="212"/>
      <c r="O340" s="213"/>
      <c r="P340" s="213"/>
      <c r="Q340" s="3"/>
      <c r="R340" s="222"/>
      <c r="AK340" s="141"/>
    </row>
    <row r="341" spans="1:37" outlineLevel="1">
      <c r="A341" s="147"/>
      <c r="B341" s="240" t="s">
        <v>30</v>
      </c>
      <c r="C341" s="238" t="s">
        <v>23</v>
      </c>
      <c r="D341" s="238">
        <v>11691751001</v>
      </c>
      <c r="E341" s="188">
        <v>11096091001</v>
      </c>
      <c r="F341" s="210" t="s">
        <v>301</v>
      </c>
      <c r="G341" s="211"/>
      <c r="H341" s="190" t="s">
        <v>65</v>
      </c>
      <c r="I341" s="190">
        <v>10</v>
      </c>
      <c r="J341" s="212">
        <v>9.1199999999999992</v>
      </c>
      <c r="K341" s="212">
        <f t="shared" ref="K341:K342" si="378">ROUND((J341*$C$3),2)</f>
        <v>11.13</v>
      </c>
      <c r="L341" s="212">
        <f>K341*G341</f>
        <v>0</v>
      </c>
      <c r="M341" s="212">
        <f t="shared" ref="M341:M342" si="379">J341*(1-$E$5-$E$7)*(1-$E$9)*(1+$E$11)</f>
        <v>9.1199999999999992</v>
      </c>
      <c r="N341" s="212">
        <f>M341*G341</f>
        <v>0</v>
      </c>
      <c r="O341" s="213">
        <f t="shared" ref="O341:O342" si="380">ROUND((M341*$C$3),2)</f>
        <v>11.13</v>
      </c>
      <c r="P341" s="213">
        <f>O341*G341</f>
        <v>0</v>
      </c>
      <c r="Q341" s="3"/>
      <c r="R341" s="222">
        <f t="shared" si="320"/>
        <v>890</v>
      </c>
      <c r="AK341" s="141">
        <f t="shared" si="321"/>
        <v>890.40000000000009</v>
      </c>
    </row>
    <row r="342" spans="1:37" outlineLevel="1">
      <c r="A342" s="147"/>
      <c r="B342" s="240" t="s">
        <v>30</v>
      </c>
      <c r="C342" s="238" t="s">
        <v>23</v>
      </c>
      <c r="D342" s="238">
        <v>11691761001</v>
      </c>
      <c r="E342" s="188">
        <v>11096111001</v>
      </c>
      <c r="F342" s="210" t="s">
        <v>302</v>
      </c>
      <c r="G342" s="211"/>
      <c r="H342" s="190" t="s">
        <v>65</v>
      </c>
      <c r="I342" s="190">
        <v>10</v>
      </c>
      <c r="J342" s="212">
        <v>11.33</v>
      </c>
      <c r="K342" s="212">
        <f t="shared" si="378"/>
        <v>13.82</v>
      </c>
      <c r="L342" s="212">
        <f>K342*G342</f>
        <v>0</v>
      </c>
      <c r="M342" s="212">
        <f t="shared" si="379"/>
        <v>11.33</v>
      </c>
      <c r="N342" s="212">
        <f>M342*G342</f>
        <v>0</v>
      </c>
      <c r="O342" s="213">
        <f t="shared" si="380"/>
        <v>13.82</v>
      </c>
      <c r="P342" s="213">
        <f>O342*G342</f>
        <v>0</v>
      </c>
      <c r="Q342" s="3"/>
      <c r="R342" s="214">
        <f t="shared" ref="R342" si="381">ROUND(AK342,0)</f>
        <v>1106</v>
      </c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142">
        <f t="shared" ref="AK342" si="382">K342*$AK$11*(1-$AK$10)</f>
        <v>1105.6000000000001</v>
      </c>
    </row>
    <row r="343" spans="1:37" outlineLevel="1">
      <c r="A343" s="147"/>
      <c r="B343" s="240"/>
      <c r="C343" s="247"/>
      <c r="D343" s="238"/>
      <c r="E343" s="188"/>
      <c r="F343" s="210"/>
      <c r="G343" s="211"/>
      <c r="H343" s="190"/>
      <c r="I343" s="190"/>
      <c r="J343" s="212"/>
      <c r="K343" s="212"/>
      <c r="L343" s="212"/>
      <c r="M343" s="212"/>
      <c r="N343" s="212"/>
      <c r="O343" s="213"/>
      <c r="P343" s="213"/>
      <c r="Q343" s="3"/>
      <c r="R343" s="222"/>
      <c r="AK343" s="141"/>
    </row>
    <row r="344" spans="1:37" outlineLevel="1">
      <c r="A344" s="150"/>
      <c r="B344" s="188" t="s">
        <v>30</v>
      </c>
      <c r="C344" s="190" t="s">
        <v>23</v>
      </c>
      <c r="D344" s="248">
        <v>14563961001</v>
      </c>
      <c r="E344" s="242">
        <v>14563963001</v>
      </c>
      <c r="F344" s="243" t="s">
        <v>303</v>
      </c>
      <c r="G344" s="211"/>
      <c r="H344" s="244" t="s">
        <v>65</v>
      </c>
      <c r="I344" s="244">
        <v>10</v>
      </c>
      <c r="J344" s="245">
        <v>10.14</v>
      </c>
      <c r="K344" s="212">
        <f t="shared" ref="K344:K345" si="383">ROUND((J344*$C$3),2)</f>
        <v>12.37</v>
      </c>
      <c r="L344" s="212">
        <f>K344*G344</f>
        <v>0</v>
      </c>
      <c r="M344" s="212">
        <f t="shared" ref="M344:M345" si="384">J344*(1-$E$5-$E$7)*(1-$E$9)*(1+$E$11)</f>
        <v>10.14</v>
      </c>
      <c r="N344" s="212">
        <f>M344*G344</f>
        <v>0</v>
      </c>
      <c r="O344" s="213">
        <f t="shared" ref="O344:O345" si="385">ROUND((M344*$C$3),2)</f>
        <v>12.37</v>
      </c>
      <c r="P344" s="213">
        <f>O344*G344</f>
        <v>0</v>
      </c>
      <c r="Q344" s="3"/>
      <c r="R344" s="222">
        <f t="shared" ref="R344:R345" si="386">ROUND(AK344,0)</f>
        <v>990</v>
      </c>
      <c r="AK344" s="141">
        <f t="shared" ref="AK344:AK345" si="387">K344*$AK$11*(1-$AK$10)</f>
        <v>989.6</v>
      </c>
    </row>
    <row r="345" spans="1:37" outlineLevel="1">
      <c r="A345" s="147"/>
      <c r="B345" s="188" t="s">
        <v>30</v>
      </c>
      <c r="C345" s="190" t="s">
        <v>23</v>
      </c>
      <c r="D345" s="248">
        <v>14564131001</v>
      </c>
      <c r="E345" s="242">
        <v>14564133001</v>
      </c>
      <c r="F345" s="243" t="s">
        <v>304</v>
      </c>
      <c r="G345" s="211"/>
      <c r="H345" s="244" t="s">
        <v>65</v>
      </c>
      <c r="I345" s="244">
        <v>10</v>
      </c>
      <c r="J345" s="245">
        <v>12.68</v>
      </c>
      <c r="K345" s="212">
        <f t="shared" si="383"/>
        <v>15.47</v>
      </c>
      <c r="L345" s="212">
        <f>K345*G345</f>
        <v>0</v>
      </c>
      <c r="M345" s="212">
        <f t="shared" si="384"/>
        <v>12.68</v>
      </c>
      <c r="N345" s="212">
        <f>M345*G345</f>
        <v>0</v>
      </c>
      <c r="O345" s="213">
        <f t="shared" si="385"/>
        <v>15.47</v>
      </c>
      <c r="P345" s="213">
        <f>O345*G345</f>
        <v>0</v>
      </c>
      <c r="Q345" s="3"/>
      <c r="R345" s="222">
        <f t="shared" si="386"/>
        <v>1238</v>
      </c>
      <c r="AK345" s="141">
        <f t="shared" si="387"/>
        <v>1237.6000000000001</v>
      </c>
    </row>
    <row r="346" spans="1:37" outlineLevel="1">
      <c r="A346" s="147"/>
      <c r="B346" s="188"/>
      <c r="C346" s="215"/>
      <c r="D346" s="215"/>
      <c r="E346" s="217"/>
      <c r="F346" s="218"/>
      <c r="G346" s="211"/>
      <c r="H346" s="215"/>
      <c r="I346" s="215"/>
      <c r="J346" s="220"/>
      <c r="K346" s="220"/>
      <c r="L346" s="220"/>
      <c r="M346" s="220"/>
      <c r="N346" s="220"/>
      <c r="O346" s="221"/>
      <c r="P346" s="221"/>
      <c r="Q346" s="3"/>
      <c r="R346" s="222"/>
      <c r="AK346" s="141"/>
    </row>
    <row r="347" spans="1:37" outlineLevel="1">
      <c r="A347" s="147"/>
      <c r="B347" s="188" t="s">
        <v>30</v>
      </c>
      <c r="C347" s="238" t="s">
        <v>23</v>
      </c>
      <c r="D347" s="240"/>
      <c r="E347" s="188">
        <v>11097221001</v>
      </c>
      <c r="F347" s="210" t="s">
        <v>305</v>
      </c>
      <c r="G347" s="211"/>
      <c r="H347" s="190" t="s">
        <v>65</v>
      </c>
      <c r="I347" s="190">
        <v>10</v>
      </c>
      <c r="J347" s="212">
        <v>6.34</v>
      </c>
      <c r="K347" s="212">
        <f>ROUND((J347*$C$3),2)</f>
        <v>7.73</v>
      </c>
      <c r="L347" s="212">
        <f>K347*G347</f>
        <v>0</v>
      </c>
      <c r="M347" s="212">
        <f>J347*(1-$E$5-$E$7)*(1-$E$9)*(1+$E$11)</f>
        <v>6.34</v>
      </c>
      <c r="N347" s="212">
        <f>M347*G347</f>
        <v>0</v>
      </c>
      <c r="O347" s="213">
        <f>ROUND((M347*$C$3),2)</f>
        <v>7.73</v>
      </c>
      <c r="P347" s="213">
        <f>O347*G347</f>
        <v>0</v>
      </c>
      <c r="Q347" s="3"/>
      <c r="R347" s="222">
        <f>ROUND(AK347,0)</f>
        <v>618</v>
      </c>
      <c r="AK347" s="141">
        <f>K347*$AK$11*(1-$AK$10)</f>
        <v>618.40000000000009</v>
      </c>
    </row>
    <row r="348" spans="1:37" outlineLevel="1">
      <c r="A348" s="147"/>
      <c r="B348" s="188"/>
      <c r="C348" s="215"/>
      <c r="D348" s="215"/>
      <c r="E348" s="217"/>
      <c r="F348" s="218"/>
      <c r="G348" s="211"/>
      <c r="H348" s="215"/>
      <c r="I348" s="215"/>
      <c r="J348" s="220"/>
      <c r="K348" s="220"/>
      <c r="L348" s="220"/>
      <c r="M348" s="220"/>
      <c r="N348" s="220"/>
      <c r="O348" s="221"/>
      <c r="P348" s="221"/>
      <c r="Q348" s="3"/>
      <c r="R348" s="222"/>
      <c r="AK348" s="141"/>
    </row>
    <row r="349" spans="1:37" ht="22.15" customHeight="1" outlineLevel="1">
      <c r="A349" s="148" t="s">
        <v>25</v>
      </c>
      <c r="B349" s="208" t="s">
        <v>26</v>
      </c>
      <c r="C349" s="238" t="s">
        <v>23</v>
      </c>
      <c r="D349" s="238">
        <v>13662951001</v>
      </c>
      <c r="E349" s="188">
        <v>14564131001</v>
      </c>
      <c r="F349" s="210" t="s">
        <v>306</v>
      </c>
      <c r="G349" s="211"/>
      <c r="H349" s="190" t="s">
        <v>65</v>
      </c>
      <c r="I349" s="190">
        <v>10</v>
      </c>
      <c r="J349" s="212">
        <v>19.28</v>
      </c>
      <c r="K349" s="212">
        <f t="shared" si="303"/>
        <v>23.52</v>
      </c>
      <c r="L349" s="212">
        <f>K349*G349</f>
        <v>0</v>
      </c>
      <c r="M349" s="212">
        <f t="shared" si="304"/>
        <v>19.28</v>
      </c>
      <c r="N349" s="212">
        <f>M349*G349</f>
        <v>0</v>
      </c>
      <c r="O349" s="213">
        <f t="shared" si="305"/>
        <v>23.52</v>
      </c>
      <c r="P349" s="213">
        <f>O349*G349</f>
        <v>0</v>
      </c>
      <c r="Q349" s="3"/>
      <c r="R349" s="214">
        <f t="shared" ref="R349:R426" si="388">ROUND(AK349,0)</f>
        <v>1882</v>
      </c>
      <c r="AK349" s="141">
        <f t="shared" ref="AK349:AK426" si="389">K349*$AK$11*(1-$AK$10)</f>
        <v>1881.6000000000001</v>
      </c>
    </row>
    <row r="350" spans="1:37" outlineLevel="1">
      <c r="A350" s="147"/>
      <c r="B350" s="240"/>
      <c r="C350" s="247"/>
      <c r="D350" s="240"/>
      <c r="E350" s="188"/>
      <c r="F350" s="210"/>
      <c r="G350" s="211"/>
      <c r="H350" s="190"/>
      <c r="I350" s="190"/>
      <c r="J350" s="212"/>
      <c r="K350" s="212"/>
      <c r="L350" s="212"/>
      <c r="M350" s="212"/>
      <c r="N350" s="212"/>
      <c r="O350" s="213"/>
      <c r="P350" s="213"/>
      <c r="Q350" s="3"/>
      <c r="R350" s="222"/>
      <c r="AK350" s="141"/>
    </row>
    <row r="351" spans="1:37" outlineLevel="1">
      <c r="A351" s="147"/>
      <c r="B351" s="188" t="s">
        <v>30</v>
      </c>
      <c r="C351" s="190" t="s">
        <v>23</v>
      </c>
      <c r="D351" s="188"/>
      <c r="E351" s="242">
        <v>14570213001</v>
      </c>
      <c r="F351" s="243" t="s">
        <v>307</v>
      </c>
      <c r="G351" s="211"/>
      <c r="H351" s="244" t="s">
        <v>65</v>
      </c>
      <c r="I351" s="244">
        <v>10</v>
      </c>
      <c r="J351" s="245">
        <v>7.17</v>
      </c>
      <c r="K351" s="212">
        <f t="shared" ref="K351:K355" si="390">ROUND((J351*$C$3),2)</f>
        <v>8.75</v>
      </c>
      <c r="L351" s="212">
        <f>K351*G351</f>
        <v>0</v>
      </c>
      <c r="M351" s="212">
        <f t="shared" ref="M351:M355" si="391">J351*(1-$E$5-$E$7)*(1-$E$9)*(1+$E$11)</f>
        <v>7.17</v>
      </c>
      <c r="N351" s="212">
        <f>M351*G351</f>
        <v>0</v>
      </c>
      <c r="O351" s="213">
        <f t="shared" ref="O351:O355" si="392">ROUND((M351*$C$3),2)</f>
        <v>8.75</v>
      </c>
      <c r="P351" s="213">
        <f>O351*G351</f>
        <v>0</v>
      </c>
      <c r="Q351" s="3"/>
      <c r="R351" s="222">
        <f t="shared" ref="R351:R355" si="393">ROUND(AK351,0)</f>
        <v>700</v>
      </c>
      <c r="AK351" s="141">
        <f t="shared" ref="AK351:AK355" si="394">K351*$AK$11*(1-$AK$10)</f>
        <v>700</v>
      </c>
    </row>
    <row r="352" spans="1:37" outlineLevel="1">
      <c r="A352" s="147"/>
      <c r="B352" s="188" t="s">
        <v>30</v>
      </c>
      <c r="C352" s="190" t="s">
        <v>23</v>
      </c>
      <c r="D352" s="188"/>
      <c r="E352" s="242">
        <v>14570223001</v>
      </c>
      <c r="F352" s="243" t="s">
        <v>308</v>
      </c>
      <c r="G352" s="211"/>
      <c r="H352" s="244" t="s">
        <v>65</v>
      </c>
      <c r="I352" s="244">
        <v>10</v>
      </c>
      <c r="J352" s="245">
        <v>9.73</v>
      </c>
      <c r="K352" s="212">
        <f t="shared" si="390"/>
        <v>11.87</v>
      </c>
      <c r="L352" s="212">
        <f>K352*G352</f>
        <v>0</v>
      </c>
      <c r="M352" s="212">
        <f t="shared" si="391"/>
        <v>9.73</v>
      </c>
      <c r="N352" s="212">
        <f>M352*G352</f>
        <v>0</v>
      </c>
      <c r="O352" s="213">
        <f t="shared" si="392"/>
        <v>11.87</v>
      </c>
      <c r="P352" s="213">
        <f>O352*G352</f>
        <v>0</v>
      </c>
      <c r="Q352" s="3"/>
      <c r="R352" s="222">
        <f t="shared" si="393"/>
        <v>950</v>
      </c>
      <c r="AK352" s="141">
        <f t="shared" si="394"/>
        <v>949.6</v>
      </c>
    </row>
    <row r="353" spans="1:37" outlineLevel="1">
      <c r="A353" s="147"/>
      <c r="B353" s="188" t="s">
        <v>30</v>
      </c>
      <c r="C353" s="190" t="s">
        <v>23</v>
      </c>
      <c r="D353" s="188"/>
      <c r="E353" s="242">
        <v>14570233001</v>
      </c>
      <c r="F353" s="243" t="s">
        <v>309</v>
      </c>
      <c r="G353" s="211"/>
      <c r="H353" s="244" t="s">
        <v>65</v>
      </c>
      <c r="I353" s="244">
        <v>10</v>
      </c>
      <c r="J353" s="245">
        <v>16.53</v>
      </c>
      <c r="K353" s="212">
        <f t="shared" si="390"/>
        <v>20.170000000000002</v>
      </c>
      <c r="L353" s="212">
        <f>K353*G353</f>
        <v>0</v>
      </c>
      <c r="M353" s="212">
        <f t="shared" si="391"/>
        <v>16.53</v>
      </c>
      <c r="N353" s="212">
        <f>M353*G353</f>
        <v>0</v>
      </c>
      <c r="O353" s="213">
        <f t="shared" si="392"/>
        <v>20.170000000000002</v>
      </c>
      <c r="P353" s="213">
        <f>O353*G353</f>
        <v>0</v>
      </c>
      <c r="Q353" s="3"/>
      <c r="R353" s="222">
        <f t="shared" si="393"/>
        <v>1614</v>
      </c>
      <c r="AK353" s="141">
        <f t="shared" si="394"/>
        <v>1613.6000000000004</v>
      </c>
    </row>
    <row r="354" spans="1:37" outlineLevel="1">
      <c r="A354" s="147"/>
      <c r="B354" s="188" t="s">
        <v>30</v>
      </c>
      <c r="C354" s="190" t="s">
        <v>23</v>
      </c>
      <c r="D354" s="188"/>
      <c r="E354" s="242">
        <v>14570243001</v>
      </c>
      <c r="F354" s="243" t="s">
        <v>310</v>
      </c>
      <c r="G354" s="211"/>
      <c r="H354" s="244" t="s">
        <v>65</v>
      </c>
      <c r="I354" s="244">
        <v>3</v>
      </c>
      <c r="J354" s="245">
        <v>29.26</v>
      </c>
      <c r="K354" s="212">
        <f t="shared" si="390"/>
        <v>35.700000000000003</v>
      </c>
      <c r="L354" s="212">
        <f>K354*G354</f>
        <v>0</v>
      </c>
      <c r="M354" s="212">
        <f t="shared" si="391"/>
        <v>29.26</v>
      </c>
      <c r="N354" s="212">
        <f>M354*G354</f>
        <v>0</v>
      </c>
      <c r="O354" s="213">
        <f t="shared" si="392"/>
        <v>35.700000000000003</v>
      </c>
      <c r="P354" s="213">
        <f>O354*G354</f>
        <v>0</v>
      </c>
      <c r="Q354" s="3"/>
      <c r="R354" s="222">
        <f t="shared" si="393"/>
        <v>2856</v>
      </c>
      <c r="AK354" s="141">
        <f t="shared" si="394"/>
        <v>2856.0000000000005</v>
      </c>
    </row>
    <row r="355" spans="1:37" outlineLevel="1">
      <c r="A355" s="150"/>
      <c r="B355" s="188" t="s">
        <v>30</v>
      </c>
      <c r="C355" s="190" t="s">
        <v>23</v>
      </c>
      <c r="D355" s="188"/>
      <c r="E355" s="242">
        <v>14570253001</v>
      </c>
      <c r="F355" s="243" t="s">
        <v>311</v>
      </c>
      <c r="G355" s="211"/>
      <c r="H355" s="244" t="s">
        <v>65</v>
      </c>
      <c r="I355" s="244">
        <v>3</v>
      </c>
      <c r="J355" s="245">
        <v>47.56</v>
      </c>
      <c r="K355" s="212">
        <f t="shared" si="390"/>
        <v>58.02</v>
      </c>
      <c r="L355" s="212">
        <f>K355*G355</f>
        <v>0</v>
      </c>
      <c r="M355" s="212">
        <f t="shared" si="391"/>
        <v>47.56</v>
      </c>
      <c r="N355" s="212">
        <f>M355*G355</f>
        <v>0</v>
      </c>
      <c r="O355" s="213">
        <f t="shared" si="392"/>
        <v>58.02</v>
      </c>
      <c r="P355" s="213">
        <f>O355*G355</f>
        <v>0</v>
      </c>
      <c r="Q355" s="3"/>
      <c r="R355" s="222">
        <f t="shared" si="393"/>
        <v>4642</v>
      </c>
      <c r="AK355" s="141">
        <f t="shared" si="394"/>
        <v>4641.6000000000004</v>
      </c>
    </row>
    <row r="356" spans="1:37" outlineLevel="1">
      <c r="A356" s="147"/>
      <c r="B356" s="240"/>
      <c r="C356" s="247"/>
      <c r="D356" s="240"/>
      <c r="E356" s="188"/>
      <c r="F356" s="210"/>
      <c r="G356" s="211"/>
      <c r="H356" s="190"/>
      <c r="I356" s="190"/>
      <c r="J356" s="212"/>
      <c r="K356" s="212"/>
      <c r="L356" s="212"/>
      <c r="M356" s="212"/>
      <c r="N356" s="212"/>
      <c r="O356" s="213"/>
      <c r="P356" s="213"/>
      <c r="Q356" s="3"/>
      <c r="R356" s="222"/>
      <c r="AK356" s="141"/>
    </row>
    <row r="357" spans="1:37" outlineLevel="1">
      <c r="A357" s="147"/>
      <c r="B357" s="188" t="s">
        <v>30</v>
      </c>
      <c r="C357" s="190" t="s">
        <v>23</v>
      </c>
      <c r="D357" s="190"/>
      <c r="E357" s="188">
        <v>11080211001</v>
      </c>
      <c r="F357" s="210" t="s">
        <v>312</v>
      </c>
      <c r="G357" s="211"/>
      <c r="H357" s="190" t="s">
        <v>65</v>
      </c>
      <c r="I357" s="190">
        <v>10</v>
      </c>
      <c r="J357" s="212">
        <v>4.57</v>
      </c>
      <c r="K357" s="212">
        <f t="shared" ref="K357:K358" si="395">ROUND((J357*$C$3),2)</f>
        <v>5.58</v>
      </c>
      <c r="L357" s="212">
        <f t="shared" ref="L357:L363" si="396">K357*G357</f>
        <v>0</v>
      </c>
      <c r="M357" s="212">
        <f t="shared" ref="M357:M358" si="397">J357*(1-$E$5-$E$7)*(1-$E$9)*(1+$E$11)</f>
        <v>4.57</v>
      </c>
      <c r="N357" s="212">
        <f t="shared" ref="N357:N363" si="398">M357*G357</f>
        <v>0</v>
      </c>
      <c r="O357" s="213">
        <f t="shared" ref="O357:O358" si="399">ROUND((M357*$C$3),2)</f>
        <v>5.58</v>
      </c>
      <c r="P357" s="213">
        <f t="shared" ref="P357:P363" si="400">O357*G357</f>
        <v>0</v>
      </c>
      <c r="Q357" s="3"/>
      <c r="R357" s="222">
        <f t="shared" si="388"/>
        <v>446</v>
      </c>
      <c r="AK357" s="141">
        <f t="shared" si="389"/>
        <v>446.40000000000003</v>
      </c>
    </row>
    <row r="358" spans="1:37" outlineLevel="1">
      <c r="A358" s="147"/>
      <c r="B358" s="188" t="s">
        <v>30</v>
      </c>
      <c r="C358" s="190" t="s">
        <v>23</v>
      </c>
      <c r="D358" s="190"/>
      <c r="E358" s="188">
        <v>11080221001</v>
      </c>
      <c r="F358" s="210" t="s">
        <v>313</v>
      </c>
      <c r="G358" s="211"/>
      <c r="H358" s="190" t="s">
        <v>65</v>
      </c>
      <c r="I358" s="190">
        <v>10</v>
      </c>
      <c r="J358" s="212">
        <v>6.2</v>
      </c>
      <c r="K358" s="212">
        <f t="shared" si="395"/>
        <v>7.56</v>
      </c>
      <c r="L358" s="212">
        <f t="shared" si="396"/>
        <v>0</v>
      </c>
      <c r="M358" s="212">
        <f t="shared" si="397"/>
        <v>6.2</v>
      </c>
      <c r="N358" s="212">
        <f t="shared" si="398"/>
        <v>0</v>
      </c>
      <c r="O358" s="213">
        <f t="shared" si="399"/>
        <v>7.56</v>
      </c>
      <c r="P358" s="213">
        <f t="shared" si="400"/>
        <v>0</v>
      </c>
      <c r="Q358" s="3"/>
      <c r="R358" s="222">
        <f t="shared" si="388"/>
        <v>605</v>
      </c>
      <c r="AK358" s="141">
        <f t="shared" si="389"/>
        <v>604.80000000000007</v>
      </c>
    </row>
    <row r="359" spans="1:37" outlineLevel="1">
      <c r="A359" s="147"/>
      <c r="B359" s="188" t="s">
        <v>30</v>
      </c>
      <c r="C359" s="190" t="s">
        <v>23</v>
      </c>
      <c r="D359" s="190"/>
      <c r="E359" s="188">
        <v>11080231001</v>
      </c>
      <c r="F359" s="210" t="s">
        <v>314</v>
      </c>
      <c r="G359" s="211"/>
      <c r="H359" s="190" t="s">
        <v>65</v>
      </c>
      <c r="I359" s="190">
        <v>10</v>
      </c>
      <c r="J359" s="212">
        <v>10.53</v>
      </c>
      <c r="K359" s="212">
        <f t="shared" ref="K359:K360" si="401">ROUND((J359*$C$3),2)</f>
        <v>12.85</v>
      </c>
      <c r="L359" s="212">
        <f t="shared" si="396"/>
        <v>0</v>
      </c>
      <c r="M359" s="212">
        <f t="shared" ref="M359:M360" si="402">J359*(1-$E$5-$E$7)*(1-$E$9)*(1+$E$11)</f>
        <v>10.53</v>
      </c>
      <c r="N359" s="212">
        <f t="shared" si="398"/>
        <v>0</v>
      </c>
      <c r="O359" s="213">
        <f t="shared" ref="O359:O360" si="403">ROUND((M359*$C$3),2)</f>
        <v>12.85</v>
      </c>
      <c r="P359" s="213">
        <f t="shared" si="400"/>
        <v>0</v>
      </c>
      <c r="Q359" s="3"/>
      <c r="R359" s="222">
        <f t="shared" si="388"/>
        <v>1028</v>
      </c>
      <c r="AK359" s="141">
        <f t="shared" si="389"/>
        <v>1028</v>
      </c>
    </row>
    <row r="360" spans="1:37" outlineLevel="1">
      <c r="A360" s="147"/>
      <c r="B360" s="188" t="s">
        <v>30</v>
      </c>
      <c r="C360" s="190" t="s">
        <v>23</v>
      </c>
      <c r="D360" s="190"/>
      <c r="E360" s="188">
        <v>11080241001</v>
      </c>
      <c r="F360" s="210" t="s">
        <v>315</v>
      </c>
      <c r="G360" s="211"/>
      <c r="H360" s="190" t="s">
        <v>65</v>
      </c>
      <c r="I360" s="190">
        <v>3</v>
      </c>
      <c r="J360" s="212">
        <v>18.64</v>
      </c>
      <c r="K360" s="212">
        <f t="shared" si="401"/>
        <v>22.74</v>
      </c>
      <c r="L360" s="212">
        <f t="shared" si="396"/>
        <v>0</v>
      </c>
      <c r="M360" s="212">
        <f t="shared" si="402"/>
        <v>18.64</v>
      </c>
      <c r="N360" s="212">
        <f t="shared" si="398"/>
        <v>0</v>
      </c>
      <c r="O360" s="213">
        <f t="shared" si="403"/>
        <v>22.74</v>
      </c>
      <c r="P360" s="213">
        <f t="shared" si="400"/>
        <v>0</v>
      </c>
      <c r="Q360" s="3"/>
      <c r="R360" s="222">
        <f t="shared" si="388"/>
        <v>1819</v>
      </c>
      <c r="AK360" s="141">
        <f t="shared" si="389"/>
        <v>1819.2</v>
      </c>
    </row>
    <row r="361" spans="1:37" outlineLevel="1">
      <c r="A361" s="147"/>
      <c r="B361" s="188" t="s">
        <v>30</v>
      </c>
      <c r="C361" s="190" t="s">
        <v>23</v>
      </c>
      <c r="D361" s="190"/>
      <c r="E361" s="188">
        <v>11080251001</v>
      </c>
      <c r="F361" s="210" t="s">
        <v>316</v>
      </c>
      <c r="G361" s="211"/>
      <c r="H361" s="190" t="s">
        <v>65</v>
      </c>
      <c r="I361" s="190">
        <v>3</v>
      </c>
      <c r="J361" s="212">
        <v>30.29</v>
      </c>
      <c r="K361" s="212">
        <f t="shared" ref="K361" si="404">ROUND((J361*$C$3),2)</f>
        <v>36.950000000000003</v>
      </c>
      <c r="L361" s="212">
        <f t="shared" si="396"/>
        <v>0</v>
      </c>
      <c r="M361" s="212">
        <f t="shared" ref="M361" si="405">J361*(1-$E$5-$E$7)*(1-$E$9)*(1+$E$11)</f>
        <v>30.29</v>
      </c>
      <c r="N361" s="212">
        <f t="shared" si="398"/>
        <v>0</v>
      </c>
      <c r="O361" s="213">
        <f t="shared" ref="O361" si="406">ROUND((M361*$C$3),2)</f>
        <v>36.950000000000003</v>
      </c>
      <c r="P361" s="213">
        <f t="shared" si="400"/>
        <v>0</v>
      </c>
      <c r="Q361" s="3"/>
      <c r="R361" s="222">
        <f t="shared" ref="R361" si="407">ROUND(AK361,0)</f>
        <v>2956</v>
      </c>
      <c r="AK361" s="141">
        <f t="shared" ref="AK361" si="408">K361*$AK$11*(1-$AK$10)</f>
        <v>2956.0000000000005</v>
      </c>
    </row>
    <row r="362" spans="1:37" outlineLevel="1">
      <c r="A362" s="147"/>
      <c r="B362" s="188" t="s">
        <v>30</v>
      </c>
      <c r="C362" s="190" t="s">
        <v>23</v>
      </c>
      <c r="D362" s="190"/>
      <c r="E362" s="188">
        <v>11093071001</v>
      </c>
      <c r="F362" s="239" t="s">
        <v>317</v>
      </c>
      <c r="G362" s="211"/>
      <c r="H362" s="190" t="s">
        <v>65</v>
      </c>
      <c r="I362" s="190">
        <v>1</v>
      </c>
      <c r="J362" s="212">
        <v>64.490000000000009</v>
      </c>
      <c r="K362" s="212">
        <f t="shared" ref="K362:K363" si="409">ROUND((J362*$C$3),2)</f>
        <v>78.680000000000007</v>
      </c>
      <c r="L362" s="212">
        <f t="shared" si="396"/>
        <v>0</v>
      </c>
      <c r="M362" s="212">
        <f t="shared" ref="M362:M363" si="410">J362*(1-$E$5-$E$7)*(1-$E$9)*(1+$E$11)</f>
        <v>64.490000000000009</v>
      </c>
      <c r="N362" s="212">
        <f t="shared" si="398"/>
        <v>0</v>
      </c>
      <c r="O362" s="213">
        <f t="shared" ref="O362:O363" si="411">ROUND((M362*$C$3),2)</f>
        <v>78.680000000000007</v>
      </c>
      <c r="P362" s="213">
        <f t="shared" si="400"/>
        <v>0</v>
      </c>
      <c r="Q362" s="3"/>
      <c r="R362" s="222">
        <f t="shared" ref="R362:R363" si="412">ROUND(AK362,0)</f>
        <v>6294</v>
      </c>
      <c r="AK362" s="141">
        <f t="shared" si="389"/>
        <v>6294.4000000000015</v>
      </c>
    </row>
    <row r="363" spans="1:37" outlineLevel="1">
      <c r="A363" s="147"/>
      <c r="B363" s="188" t="s">
        <v>30</v>
      </c>
      <c r="C363" s="190" t="s">
        <v>23</v>
      </c>
      <c r="D363" s="190"/>
      <c r="E363" s="188">
        <v>11093081001</v>
      </c>
      <c r="F363" s="239" t="s">
        <v>318</v>
      </c>
      <c r="G363" s="211"/>
      <c r="H363" s="190" t="s">
        <v>65</v>
      </c>
      <c r="I363" s="190">
        <v>1</v>
      </c>
      <c r="J363" s="212">
        <v>126.28</v>
      </c>
      <c r="K363" s="212">
        <f t="shared" si="409"/>
        <v>154.06</v>
      </c>
      <c r="L363" s="212">
        <f t="shared" si="396"/>
        <v>0</v>
      </c>
      <c r="M363" s="212">
        <f t="shared" si="410"/>
        <v>126.28</v>
      </c>
      <c r="N363" s="212">
        <f t="shared" si="398"/>
        <v>0</v>
      </c>
      <c r="O363" s="213">
        <f t="shared" si="411"/>
        <v>154.06</v>
      </c>
      <c r="P363" s="213">
        <f t="shared" si="400"/>
        <v>0</v>
      </c>
      <c r="Q363" s="3"/>
      <c r="R363" s="222">
        <f t="shared" si="412"/>
        <v>12325</v>
      </c>
      <c r="AK363" s="141">
        <f t="shared" si="389"/>
        <v>12324.800000000001</v>
      </c>
    </row>
    <row r="364" spans="1:37" outlineLevel="1">
      <c r="A364" s="147"/>
      <c r="B364" s="240"/>
      <c r="C364" s="247"/>
      <c r="D364" s="240"/>
      <c r="E364" s="188"/>
      <c r="F364" s="210"/>
      <c r="G364" s="211"/>
      <c r="H364" s="190"/>
      <c r="I364" s="190"/>
      <c r="J364" s="212"/>
      <c r="K364" s="212"/>
      <c r="L364" s="212"/>
      <c r="M364" s="212"/>
      <c r="N364" s="212"/>
      <c r="O364" s="213"/>
      <c r="P364" s="213"/>
      <c r="Q364" s="3"/>
      <c r="R364" s="222"/>
      <c r="AK364" s="141"/>
    </row>
    <row r="365" spans="1:37" ht="30.6" outlineLevel="1">
      <c r="A365" s="148" t="s">
        <v>25</v>
      </c>
      <c r="B365" s="208" t="s">
        <v>26</v>
      </c>
      <c r="C365" s="190" t="s">
        <v>23</v>
      </c>
      <c r="D365" s="190"/>
      <c r="E365" s="188">
        <v>13777011001</v>
      </c>
      <c r="F365" s="258" t="s">
        <v>319</v>
      </c>
      <c r="G365" s="211"/>
      <c r="H365" s="190" t="s">
        <v>65</v>
      </c>
      <c r="I365" s="190">
        <v>10</v>
      </c>
      <c r="J365" s="212">
        <v>4.41</v>
      </c>
      <c r="K365" s="212">
        <f t="shared" ref="K365:K459" si="413">ROUND((J365*$C$3),2)</f>
        <v>5.38</v>
      </c>
      <c r="L365" s="212">
        <f>K365*G365</f>
        <v>0</v>
      </c>
      <c r="M365" s="212">
        <f t="shared" ref="M365:M459" si="414">J365*(1-$E$5-$E$7)*(1-$E$9)*(1+$E$11)</f>
        <v>4.41</v>
      </c>
      <c r="N365" s="212">
        <f>M365*G365</f>
        <v>0</v>
      </c>
      <c r="O365" s="213">
        <f t="shared" ref="O365:O459" si="415">ROUND((M365*$C$3),2)</f>
        <v>5.38</v>
      </c>
      <c r="P365" s="213">
        <f>O365*G365</f>
        <v>0</v>
      </c>
      <c r="Q365" s="3"/>
      <c r="R365" s="214">
        <f t="shared" si="388"/>
        <v>430</v>
      </c>
      <c r="AK365" s="141">
        <f t="shared" si="389"/>
        <v>430.40000000000003</v>
      </c>
    </row>
    <row r="366" spans="1:37" ht="30.6" outlineLevel="1">
      <c r="A366" s="148" t="s">
        <v>25</v>
      </c>
      <c r="B366" s="208" t="s">
        <v>26</v>
      </c>
      <c r="C366" s="190" t="s">
        <v>23</v>
      </c>
      <c r="D366" s="190"/>
      <c r="E366" s="188">
        <v>13777021001</v>
      </c>
      <c r="F366" s="258" t="s">
        <v>320</v>
      </c>
      <c r="G366" s="211"/>
      <c r="H366" s="190" t="s">
        <v>65</v>
      </c>
      <c r="I366" s="190">
        <v>10</v>
      </c>
      <c r="J366" s="212">
        <v>5.34</v>
      </c>
      <c r="K366" s="212">
        <f t="shared" si="413"/>
        <v>6.51</v>
      </c>
      <c r="L366" s="212">
        <f>K366*G366</f>
        <v>0</v>
      </c>
      <c r="M366" s="212">
        <f t="shared" si="414"/>
        <v>5.34</v>
      </c>
      <c r="N366" s="212">
        <f>M366*G366</f>
        <v>0</v>
      </c>
      <c r="O366" s="213">
        <f t="shared" si="415"/>
        <v>6.51</v>
      </c>
      <c r="P366" s="213">
        <f>O366*G366</f>
        <v>0</v>
      </c>
      <c r="Q366" s="3"/>
      <c r="R366" s="214">
        <f t="shared" si="388"/>
        <v>521</v>
      </c>
      <c r="AK366" s="141">
        <f t="shared" si="389"/>
        <v>520.80000000000007</v>
      </c>
    </row>
    <row r="367" spans="1:37" outlineLevel="1">
      <c r="A367" s="147"/>
      <c r="B367" s="188"/>
      <c r="C367" s="215"/>
      <c r="D367" s="215"/>
      <c r="E367" s="217"/>
      <c r="F367" s="249"/>
      <c r="G367" s="211"/>
      <c r="H367" s="215"/>
      <c r="I367" s="215"/>
      <c r="J367" s="220"/>
      <c r="K367" s="220"/>
      <c r="L367" s="220"/>
      <c r="M367" s="220"/>
      <c r="N367" s="220"/>
      <c r="O367" s="221"/>
      <c r="P367" s="221"/>
      <c r="Q367" s="3"/>
      <c r="R367" s="222"/>
      <c r="AK367" s="141"/>
    </row>
    <row r="368" spans="1:37" outlineLevel="1">
      <c r="A368" s="150"/>
      <c r="B368" s="188" t="s">
        <v>30</v>
      </c>
      <c r="C368" s="190" t="s">
        <v>23</v>
      </c>
      <c r="D368" s="215"/>
      <c r="E368" s="242">
        <v>14570523001</v>
      </c>
      <c r="F368" s="243" t="s">
        <v>321</v>
      </c>
      <c r="G368" s="211"/>
      <c r="H368" s="244" t="s">
        <v>65</v>
      </c>
      <c r="I368" s="244">
        <v>10</v>
      </c>
      <c r="J368" s="245">
        <v>17.68</v>
      </c>
      <c r="K368" s="212">
        <f t="shared" ref="K368:K371" si="416">ROUND((J368*$C$3),2)</f>
        <v>21.57</v>
      </c>
      <c r="L368" s="212">
        <f>K368*G368</f>
        <v>0</v>
      </c>
      <c r="M368" s="212">
        <f t="shared" ref="M368:M371" si="417">J368*(1-$E$5-$E$7)*(1-$E$9)*(1+$E$11)</f>
        <v>17.68</v>
      </c>
      <c r="N368" s="212">
        <f>M368*G368</f>
        <v>0</v>
      </c>
      <c r="O368" s="213">
        <f t="shared" ref="O368:O371" si="418">ROUND((M368*$C$3),2)</f>
        <v>21.57</v>
      </c>
      <c r="P368" s="213">
        <f>O368*G368</f>
        <v>0</v>
      </c>
      <c r="Q368" s="3"/>
      <c r="R368" s="222">
        <f t="shared" ref="R368:R371" si="419">ROUND(AK368,0)</f>
        <v>1726</v>
      </c>
      <c r="AK368" s="141">
        <f t="shared" ref="AK368:AK371" si="420">K368*$AK$11*(1-$AK$10)</f>
        <v>1725.6000000000001</v>
      </c>
    </row>
    <row r="369" spans="1:37" outlineLevel="1">
      <c r="A369" s="150"/>
      <c r="B369" s="188" t="s">
        <v>30</v>
      </c>
      <c r="C369" s="190" t="s">
        <v>23</v>
      </c>
      <c r="D369" s="215"/>
      <c r="E369" s="242">
        <v>14570533001</v>
      </c>
      <c r="F369" s="243" t="s">
        <v>322</v>
      </c>
      <c r="G369" s="211"/>
      <c r="H369" s="244" t="s">
        <v>65</v>
      </c>
      <c r="I369" s="244">
        <v>10</v>
      </c>
      <c r="J369" s="245">
        <v>22.67</v>
      </c>
      <c r="K369" s="212">
        <f t="shared" si="416"/>
        <v>27.66</v>
      </c>
      <c r="L369" s="212">
        <f>K369*G369</f>
        <v>0</v>
      </c>
      <c r="M369" s="212">
        <f t="shared" si="417"/>
        <v>22.67</v>
      </c>
      <c r="N369" s="212">
        <f>M369*G369</f>
        <v>0</v>
      </c>
      <c r="O369" s="213">
        <f t="shared" si="418"/>
        <v>27.66</v>
      </c>
      <c r="P369" s="213">
        <f>O369*G369</f>
        <v>0</v>
      </c>
      <c r="Q369" s="3"/>
      <c r="R369" s="222">
        <f t="shared" si="419"/>
        <v>2213</v>
      </c>
      <c r="AK369" s="141">
        <f t="shared" si="420"/>
        <v>2212.8000000000002</v>
      </c>
    </row>
    <row r="370" spans="1:37" outlineLevel="1">
      <c r="A370" s="150"/>
      <c r="B370" s="188" t="s">
        <v>30</v>
      </c>
      <c r="C370" s="190" t="s">
        <v>23</v>
      </c>
      <c r="D370" s="215"/>
      <c r="E370" s="242">
        <v>14570543001</v>
      </c>
      <c r="F370" s="243" t="s">
        <v>323</v>
      </c>
      <c r="G370" s="211"/>
      <c r="H370" s="244" t="s">
        <v>65</v>
      </c>
      <c r="I370" s="244">
        <v>3</v>
      </c>
      <c r="J370" s="245">
        <v>36.909999999999997</v>
      </c>
      <c r="K370" s="212">
        <f t="shared" si="416"/>
        <v>45.03</v>
      </c>
      <c r="L370" s="212">
        <f>K370*G370</f>
        <v>0</v>
      </c>
      <c r="M370" s="212">
        <f t="shared" si="417"/>
        <v>36.909999999999997</v>
      </c>
      <c r="N370" s="212">
        <f>M370*G370</f>
        <v>0</v>
      </c>
      <c r="O370" s="213">
        <f t="shared" si="418"/>
        <v>45.03</v>
      </c>
      <c r="P370" s="213">
        <f>O370*G370</f>
        <v>0</v>
      </c>
      <c r="Q370" s="3"/>
      <c r="R370" s="222">
        <f t="shared" si="419"/>
        <v>3602</v>
      </c>
      <c r="AK370" s="141">
        <f t="shared" si="420"/>
        <v>3602.4</v>
      </c>
    </row>
    <row r="371" spans="1:37" outlineLevel="1">
      <c r="A371" s="150"/>
      <c r="B371" s="188" t="s">
        <v>30</v>
      </c>
      <c r="C371" s="190" t="s">
        <v>23</v>
      </c>
      <c r="D371" s="215"/>
      <c r="E371" s="242">
        <v>14570553001</v>
      </c>
      <c r="F371" s="243" t="s">
        <v>324</v>
      </c>
      <c r="G371" s="211"/>
      <c r="H371" s="244" t="s">
        <v>65</v>
      </c>
      <c r="I371" s="244">
        <v>2</v>
      </c>
      <c r="J371" s="245">
        <v>57.8</v>
      </c>
      <c r="K371" s="212">
        <f t="shared" si="416"/>
        <v>70.52</v>
      </c>
      <c r="L371" s="212">
        <f>K371*G371</f>
        <v>0</v>
      </c>
      <c r="M371" s="212">
        <f t="shared" si="417"/>
        <v>57.8</v>
      </c>
      <c r="N371" s="212">
        <f>M371*G371</f>
        <v>0</v>
      </c>
      <c r="O371" s="213">
        <f t="shared" si="418"/>
        <v>70.52</v>
      </c>
      <c r="P371" s="213">
        <f>O371*G371</f>
        <v>0</v>
      </c>
      <c r="Q371" s="3"/>
      <c r="R371" s="222">
        <f t="shared" si="419"/>
        <v>5642</v>
      </c>
      <c r="AK371" s="141">
        <f t="shared" si="420"/>
        <v>5641.6</v>
      </c>
    </row>
    <row r="372" spans="1:37" outlineLevel="1">
      <c r="A372" s="147"/>
      <c r="B372" s="188"/>
      <c r="C372" s="215"/>
      <c r="D372" s="215"/>
      <c r="E372" s="217"/>
      <c r="F372" s="249"/>
      <c r="G372" s="211"/>
      <c r="H372" s="215"/>
      <c r="I372" s="215"/>
      <c r="J372" s="220"/>
      <c r="K372" s="220"/>
      <c r="L372" s="220"/>
      <c r="M372" s="220"/>
      <c r="N372" s="220"/>
      <c r="O372" s="221"/>
      <c r="P372" s="221"/>
      <c r="Q372" s="3"/>
      <c r="R372" s="222"/>
      <c r="AK372" s="141"/>
    </row>
    <row r="373" spans="1:37" outlineLevel="1">
      <c r="A373" s="147"/>
      <c r="B373" s="260" t="s">
        <v>30</v>
      </c>
      <c r="C373" s="190" t="s">
        <v>23</v>
      </c>
      <c r="D373" s="215"/>
      <c r="E373" s="188">
        <v>11080521001</v>
      </c>
      <c r="F373" s="210" t="s">
        <v>325</v>
      </c>
      <c r="G373" s="211"/>
      <c r="H373" s="190" t="s">
        <v>65</v>
      </c>
      <c r="I373" s="190">
        <v>10</v>
      </c>
      <c r="J373" s="212">
        <v>11.26</v>
      </c>
      <c r="K373" s="212">
        <f t="shared" ref="K373" si="421">ROUND((J373*$C$3),2)</f>
        <v>13.74</v>
      </c>
      <c r="L373" s="212">
        <f>K373*G373</f>
        <v>0</v>
      </c>
      <c r="M373" s="212">
        <f t="shared" ref="M373" si="422">J373*(1-$E$5-$E$7)*(1-$E$9)*(1+$E$11)</f>
        <v>11.26</v>
      </c>
      <c r="N373" s="212">
        <f>M373*G373</f>
        <v>0</v>
      </c>
      <c r="O373" s="213">
        <f t="shared" ref="O373" si="423">ROUND((M373*$C$3),2)</f>
        <v>13.74</v>
      </c>
      <c r="P373" s="213">
        <f>O373*G373</f>
        <v>0</v>
      </c>
      <c r="Q373" s="3"/>
      <c r="R373" s="222">
        <f t="shared" ref="R373" si="424">ROUND(AK373,0)</f>
        <v>1099</v>
      </c>
      <c r="AK373" s="141">
        <f t="shared" ref="AK373" si="425">K373*$AK$11*(1-$AK$10)</f>
        <v>1099.2</v>
      </c>
    </row>
    <row r="374" spans="1:37" outlineLevel="1">
      <c r="A374" s="147"/>
      <c r="B374" s="260" t="s">
        <v>30</v>
      </c>
      <c r="C374" s="190" t="s">
        <v>23</v>
      </c>
      <c r="D374" s="215"/>
      <c r="E374" s="188">
        <v>11080531001</v>
      </c>
      <c r="F374" s="210" t="s">
        <v>326</v>
      </c>
      <c r="G374" s="211"/>
      <c r="H374" s="190" t="s">
        <v>65</v>
      </c>
      <c r="I374" s="190">
        <v>10</v>
      </c>
      <c r="J374" s="212">
        <v>14.44</v>
      </c>
      <c r="K374" s="212">
        <f t="shared" ref="K374:K376" si="426">ROUND((J374*$C$3),2)</f>
        <v>17.62</v>
      </c>
      <c r="L374" s="212">
        <f>K374*G374</f>
        <v>0</v>
      </c>
      <c r="M374" s="212">
        <f t="shared" ref="M374:M376" si="427">J374*(1-$E$5-$E$7)*(1-$E$9)*(1+$E$11)</f>
        <v>14.44</v>
      </c>
      <c r="N374" s="212">
        <f>M374*G374</f>
        <v>0</v>
      </c>
      <c r="O374" s="213">
        <f t="shared" ref="O374:O376" si="428">ROUND((M374*$C$3),2)</f>
        <v>17.62</v>
      </c>
      <c r="P374" s="213">
        <f>O374*G374</f>
        <v>0</v>
      </c>
      <c r="Q374" s="3"/>
      <c r="R374" s="222">
        <f t="shared" ref="R374:R376" si="429">ROUND(AK374,0)</f>
        <v>1410</v>
      </c>
      <c r="AK374" s="141">
        <f t="shared" ref="AK374:AK376" si="430">K374*$AK$11*(1-$AK$10)</f>
        <v>1409.6000000000001</v>
      </c>
    </row>
    <row r="375" spans="1:37" outlineLevel="1">
      <c r="A375" s="147"/>
      <c r="B375" s="260" t="s">
        <v>30</v>
      </c>
      <c r="C375" s="190" t="s">
        <v>23</v>
      </c>
      <c r="D375" s="215"/>
      <c r="E375" s="188">
        <v>11080541001</v>
      </c>
      <c r="F375" s="210" t="s">
        <v>327</v>
      </c>
      <c r="G375" s="211"/>
      <c r="H375" s="190" t="s">
        <v>65</v>
      </c>
      <c r="I375" s="190">
        <v>3</v>
      </c>
      <c r="J375" s="212">
        <v>23.51</v>
      </c>
      <c r="K375" s="212">
        <f t="shared" si="426"/>
        <v>28.68</v>
      </c>
      <c r="L375" s="212">
        <f>K375*G375</f>
        <v>0</v>
      </c>
      <c r="M375" s="212">
        <f t="shared" si="427"/>
        <v>23.51</v>
      </c>
      <c r="N375" s="212">
        <f>M375*G375</f>
        <v>0</v>
      </c>
      <c r="O375" s="213">
        <f t="shared" si="428"/>
        <v>28.68</v>
      </c>
      <c r="P375" s="213">
        <f>O375*G375</f>
        <v>0</v>
      </c>
      <c r="Q375" s="3"/>
      <c r="R375" s="222">
        <f t="shared" si="429"/>
        <v>2294</v>
      </c>
      <c r="AK375" s="141">
        <f t="shared" si="430"/>
        <v>2294.4</v>
      </c>
    </row>
    <row r="376" spans="1:37" outlineLevel="1">
      <c r="A376" s="147"/>
      <c r="B376" s="260" t="s">
        <v>30</v>
      </c>
      <c r="C376" s="190" t="s">
        <v>23</v>
      </c>
      <c r="D376" s="215"/>
      <c r="E376" s="188">
        <v>11080551001</v>
      </c>
      <c r="F376" s="210" t="s">
        <v>328</v>
      </c>
      <c r="G376" s="211"/>
      <c r="H376" s="190" t="s">
        <v>65</v>
      </c>
      <c r="I376" s="190">
        <v>2</v>
      </c>
      <c r="J376" s="212">
        <v>39.86</v>
      </c>
      <c r="K376" s="212">
        <f t="shared" si="426"/>
        <v>48.63</v>
      </c>
      <c r="L376" s="212">
        <f>K376*G376</f>
        <v>0</v>
      </c>
      <c r="M376" s="212">
        <f t="shared" si="427"/>
        <v>39.86</v>
      </c>
      <c r="N376" s="212">
        <f>M376*G376</f>
        <v>0</v>
      </c>
      <c r="O376" s="213">
        <f t="shared" si="428"/>
        <v>48.63</v>
      </c>
      <c r="P376" s="213">
        <f>O376*G376</f>
        <v>0</v>
      </c>
      <c r="Q376" s="3"/>
      <c r="R376" s="222">
        <f t="shared" si="429"/>
        <v>3890</v>
      </c>
      <c r="AK376" s="141">
        <f t="shared" si="430"/>
        <v>3890.4</v>
      </c>
    </row>
    <row r="377" spans="1:37">
      <c r="A377" s="147"/>
      <c r="B377" s="268"/>
      <c r="C377" s="269"/>
      <c r="D377" s="269"/>
      <c r="E377" s="269"/>
      <c r="F377" s="270"/>
      <c r="G377" s="211"/>
      <c r="H377" s="269"/>
      <c r="I377" s="269"/>
      <c r="J377" s="271"/>
      <c r="K377" s="271"/>
      <c r="L377" s="271"/>
      <c r="M377" s="271"/>
      <c r="N377" s="271"/>
      <c r="O377" s="213"/>
      <c r="P377" s="213"/>
      <c r="Q377" s="3"/>
      <c r="R377" s="222"/>
    </row>
    <row r="378" spans="1:37" ht="30.6" outlineLevel="1">
      <c r="A378" s="148" t="s">
        <v>25</v>
      </c>
      <c r="B378" s="208" t="s">
        <v>26</v>
      </c>
      <c r="C378" s="190" t="s">
        <v>23</v>
      </c>
      <c r="D378" s="190"/>
      <c r="E378" s="188">
        <v>11600521001</v>
      </c>
      <c r="F378" s="210" t="s">
        <v>329</v>
      </c>
      <c r="G378" s="211"/>
      <c r="H378" s="190" t="s">
        <v>65</v>
      </c>
      <c r="I378" s="190">
        <v>10</v>
      </c>
      <c r="J378" s="212">
        <v>1.74</v>
      </c>
      <c r="K378" s="212">
        <f t="shared" si="413"/>
        <v>2.12</v>
      </c>
      <c r="L378" s="212">
        <f>K378*G378</f>
        <v>0</v>
      </c>
      <c r="M378" s="212">
        <f t="shared" si="414"/>
        <v>1.74</v>
      </c>
      <c r="N378" s="212">
        <f>M378*G378</f>
        <v>0</v>
      </c>
      <c r="O378" s="213">
        <f t="shared" si="415"/>
        <v>2.12</v>
      </c>
      <c r="P378" s="213">
        <f>O378*G378</f>
        <v>0</v>
      </c>
      <c r="Q378" s="3"/>
      <c r="R378" s="214">
        <f t="shared" si="388"/>
        <v>170</v>
      </c>
      <c r="AK378" s="141">
        <f t="shared" si="389"/>
        <v>169.60000000000002</v>
      </c>
    </row>
    <row r="379" spans="1:37" ht="30.6" outlineLevel="1">
      <c r="A379" s="148" t="s">
        <v>25</v>
      </c>
      <c r="B379" s="208" t="s">
        <v>26</v>
      </c>
      <c r="C379" s="190" t="s">
        <v>23</v>
      </c>
      <c r="D379" s="190"/>
      <c r="E379" s="188">
        <v>11600531001</v>
      </c>
      <c r="F379" s="210" t="s">
        <v>330</v>
      </c>
      <c r="G379" s="211"/>
      <c r="H379" s="190" t="s">
        <v>65</v>
      </c>
      <c r="I379" s="190">
        <v>10</v>
      </c>
      <c r="J379" s="212">
        <v>2.46</v>
      </c>
      <c r="K379" s="212">
        <f t="shared" si="413"/>
        <v>3</v>
      </c>
      <c r="L379" s="212">
        <f>K379*G379</f>
        <v>0</v>
      </c>
      <c r="M379" s="212">
        <f t="shared" si="414"/>
        <v>2.46</v>
      </c>
      <c r="N379" s="212">
        <f>M379*G379</f>
        <v>0</v>
      </c>
      <c r="O379" s="213">
        <f t="shared" si="415"/>
        <v>3</v>
      </c>
      <c r="P379" s="213">
        <f>O379*G379</f>
        <v>0</v>
      </c>
      <c r="Q379" s="3"/>
      <c r="R379" s="214">
        <f t="shared" si="388"/>
        <v>240</v>
      </c>
      <c r="AK379" s="141">
        <f t="shared" si="389"/>
        <v>240</v>
      </c>
    </row>
    <row r="380" spans="1:37" s="73" customFormat="1" ht="30.6" outlineLevel="1">
      <c r="A380" s="148" t="s">
        <v>25</v>
      </c>
      <c r="B380" s="208" t="s">
        <v>26</v>
      </c>
      <c r="C380" s="238" t="s">
        <v>23</v>
      </c>
      <c r="D380" s="238">
        <v>13660471001</v>
      </c>
      <c r="E380" s="188">
        <v>14563091001</v>
      </c>
      <c r="F380" s="210" t="s">
        <v>331</v>
      </c>
      <c r="G380" s="211"/>
      <c r="H380" s="190" t="s">
        <v>65</v>
      </c>
      <c r="I380" s="190">
        <v>1</v>
      </c>
      <c r="J380" s="212">
        <v>78</v>
      </c>
      <c r="K380" s="212">
        <f>ROUND((J380*$C$3),2)</f>
        <v>95.16</v>
      </c>
      <c r="L380" s="212">
        <f>K380*G380</f>
        <v>0</v>
      </c>
      <c r="M380" s="212">
        <f>J380*(1-$E$5-$E$7)*(1-$E$9)*(1+$E$11)</f>
        <v>78</v>
      </c>
      <c r="N380" s="212">
        <f>M380*G380</f>
        <v>0</v>
      </c>
      <c r="O380" s="213">
        <f>ROUND((M380*$C$3),2)</f>
        <v>95.16</v>
      </c>
      <c r="P380" s="213">
        <f>O380*G380</f>
        <v>0</v>
      </c>
      <c r="Q380" s="3"/>
      <c r="R380" s="214">
        <f>ROUND(AK380,0)</f>
        <v>7613</v>
      </c>
      <c r="AK380" s="141">
        <f>K380*$AK$11*(1-$AK$10)</f>
        <v>7612.8</v>
      </c>
    </row>
    <row r="381" spans="1:37" s="73" customFormat="1" ht="30.6" outlineLevel="1">
      <c r="A381" s="148" t="s">
        <v>25</v>
      </c>
      <c r="B381" s="208" t="s">
        <v>26</v>
      </c>
      <c r="C381" s="238" t="s">
        <v>23</v>
      </c>
      <c r="D381" s="238">
        <v>13660481001</v>
      </c>
      <c r="E381" s="188">
        <v>14563101001</v>
      </c>
      <c r="F381" s="210" t="s">
        <v>332</v>
      </c>
      <c r="G381" s="211"/>
      <c r="H381" s="190" t="s">
        <v>65</v>
      </c>
      <c r="I381" s="190">
        <v>1</v>
      </c>
      <c r="J381" s="212">
        <v>111.15</v>
      </c>
      <c r="K381" s="212">
        <f>ROUND((J381*$C$3),2)</f>
        <v>135.6</v>
      </c>
      <c r="L381" s="212">
        <f>K381*G381</f>
        <v>0</v>
      </c>
      <c r="M381" s="212">
        <f>J381*(1-$E$5-$E$7)*(1-$E$9)*(1+$E$11)</f>
        <v>111.15</v>
      </c>
      <c r="N381" s="212">
        <f>M381*G381</f>
        <v>0</v>
      </c>
      <c r="O381" s="213">
        <f>ROUND((M381*$C$3),2)</f>
        <v>135.6</v>
      </c>
      <c r="P381" s="213">
        <f>O381*G381</f>
        <v>0</v>
      </c>
      <c r="Q381" s="3"/>
      <c r="R381" s="214">
        <f>ROUND(AK381,0)</f>
        <v>10848</v>
      </c>
      <c r="AK381" s="141">
        <f>K381*$AK$11*(1-$AK$10)</f>
        <v>10848</v>
      </c>
    </row>
    <row r="382" spans="1:37" outlineLevel="1">
      <c r="A382" s="147"/>
      <c r="B382" s="260"/>
      <c r="C382" s="215"/>
      <c r="D382" s="215"/>
      <c r="E382" s="272"/>
      <c r="F382" s="273"/>
      <c r="G382" s="211"/>
      <c r="H382" s="215"/>
      <c r="I382" s="215"/>
      <c r="J382" s="220"/>
      <c r="K382" s="220"/>
      <c r="L382" s="220"/>
      <c r="M382" s="220"/>
      <c r="N382" s="220"/>
      <c r="O382" s="221"/>
      <c r="P382" s="221"/>
      <c r="Q382" s="3"/>
      <c r="R382" s="222"/>
      <c r="AK382" s="141"/>
    </row>
    <row r="383" spans="1:37" ht="30.6" outlineLevel="1">
      <c r="A383" s="148" t="s">
        <v>25</v>
      </c>
      <c r="B383" s="208" t="s">
        <v>26</v>
      </c>
      <c r="C383" s="190" t="s">
        <v>23</v>
      </c>
      <c r="D383" s="274"/>
      <c r="E383" s="188">
        <v>12717111001</v>
      </c>
      <c r="F383" s="275" t="s">
        <v>333</v>
      </c>
      <c r="G383" s="211"/>
      <c r="H383" s="190" t="s">
        <v>65</v>
      </c>
      <c r="I383" s="190">
        <v>10</v>
      </c>
      <c r="J383" s="212">
        <v>0.34</v>
      </c>
      <c r="K383" s="212">
        <f t="shared" ref="K383:K386" si="431">ROUND((J383*$C$3),2)</f>
        <v>0.41</v>
      </c>
      <c r="L383" s="212">
        <f>K383*G383</f>
        <v>0</v>
      </c>
      <c r="M383" s="212">
        <f t="shared" ref="M383:M386" si="432">J383*(1-$E$5-$E$7)*(1-$E$9)*(1+$E$11)</f>
        <v>0.34</v>
      </c>
      <c r="N383" s="212">
        <f>M383*G383</f>
        <v>0</v>
      </c>
      <c r="O383" s="213">
        <f t="shared" ref="O383:O386" si="433">ROUND((M383*$C$3),2)</f>
        <v>0.41</v>
      </c>
      <c r="P383" s="213">
        <f>O383*G383</f>
        <v>0</v>
      </c>
      <c r="Q383" s="3"/>
      <c r="R383" s="214">
        <f t="shared" ref="R383:R386" si="434">ROUND(AK383,0)</f>
        <v>33</v>
      </c>
      <c r="AK383" s="141">
        <f>K383*$AK$11*(1-$AK$10)</f>
        <v>32.800000000000004</v>
      </c>
    </row>
    <row r="384" spans="1:37" ht="30.6" outlineLevel="1">
      <c r="A384" s="148" t="s">
        <v>25</v>
      </c>
      <c r="B384" s="208" t="s">
        <v>26</v>
      </c>
      <c r="C384" s="190" t="s">
        <v>23</v>
      </c>
      <c r="D384" s="274"/>
      <c r="E384" s="188">
        <v>12717121001</v>
      </c>
      <c r="F384" s="275" t="s">
        <v>334</v>
      </c>
      <c r="G384" s="211"/>
      <c r="H384" s="190" t="s">
        <v>65</v>
      </c>
      <c r="I384" s="190">
        <v>10</v>
      </c>
      <c r="J384" s="212">
        <v>0.34</v>
      </c>
      <c r="K384" s="212">
        <f t="shared" si="431"/>
        <v>0.41</v>
      </c>
      <c r="L384" s="212">
        <f>K384*G384</f>
        <v>0</v>
      </c>
      <c r="M384" s="212">
        <f t="shared" si="432"/>
        <v>0.34</v>
      </c>
      <c r="N384" s="212">
        <f>M384*G384</f>
        <v>0</v>
      </c>
      <c r="O384" s="213">
        <f t="shared" si="433"/>
        <v>0.41</v>
      </c>
      <c r="P384" s="213">
        <f>O384*G384</f>
        <v>0</v>
      </c>
      <c r="Q384" s="3"/>
      <c r="R384" s="214">
        <f t="shared" si="434"/>
        <v>33</v>
      </c>
      <c r="AK384" s="141">
        <f t="shared" si="389"/>
        <v>32.800000000000004</v>
      </c>
    </row>
    <row r="385" spans="1:37" ht="30.6" outlineLevel="1">
      <c r="A385" s="148" t="s">
        <v>25</v>
      </c>
      <c r="B385" s="208" t="s">
        <v>26</v>
      </c>
      <c r="C385" s="190" t="s">
        <v>23</v>
      </c>
      <c r="D385" s="274"/>
      <c r="E385" s="188">
        <v>12717131001</v>
      </c>
      <c r="F385" s="275" t="s">
        <v>335</v>
      </c>
      <c r="G385" s="211"/>
      <c r="H385" s="190" t="s">
        <v>65</v>
      </c>
      <c r="I385" s="190">
        <v>10</v>
      </c>
      <c r="J385" s="212">
        <v>0.39</v>
      </c>
      <c r="K385" s="212">
        <f t="shared" si="431"/>
        <v>0.48</v>
      </c>
      <c r="L385" s="212">
        <f>K385*G385</f>
        <v>0</v>
      </c>
      <c r="M385" s="212">
        <f t="shared" si="432"/>
        <v>0.39</v>
      </c>
      <c r="N385" s="212">
        <f>M385*G385</f>
        <v>0</v>
      </c>
      <c r="O385" s="213">
        <f t="shared" si="433"/>
        <v>0.48</v>
      </c>
      <c r="P385" s="213">
        <f>O385*G385</f>
        <v>0</v>
      </c>
      <c r="Q385" s="3"/>
      <c r="R385" s="214">
        <f t="shared" si="434"/>
        <v>38</v>
      </c>
      <c r="AK385" s="141">
        <f t="shared" si="389"/>
        <v>38.400000000000006</v>
      </c>
    </row>
    <row r="386" spans="1:37" ht="30.6" outlineLevel="1">
      <c r="A386" s="148" t="s">
        <v>25</v>
      </c>
      <c r="B386" s="208" t="s">
        <v>26</v>
      </c>
      <c r="C386" s="190" t="s">
        <v>23</v>
      </c>
      <c r="D386" s="274"/>
      <c r="E386" s="188">
        <v>12717141001</v>
      </c>
      <c r="F386" s="275" t="s">
        <v>336</v>
      </c>
      <c r="G386" s="211"/>
      <c r="H386" s="190" t="s">
        <v>65</v>
      </c>
      <c r="I386" s="190">
        <v>10</v>
      </c>
      <c r="J386" s="212">
        <v>0.39</v>
      </c>
      <c r="K386" s="212">
        <f t="shared" si="431"/>
        <v>0.48</v>
      </c>
      <c r="L386" s="212">
        <f>K386*G386</f>
        <v>0</v>
      </c>
      <c r="M386" s="212">
        <f t="shared" si="432"/>
        <v>0.39</v>
      </c>
      <c r="N386" s="212">
        <f>M386*G386</f>
        <v>0</v>
      </c>
      <c r="O386" s="213">
        <f t="shared" si="433"/>
        <v>0.48</v>
      </c>
      <c r="P386" s="213">
        <f>O386*G386</f>
        <v>0</v>
      </c>
      <c r="Q386" s="3"/>
      <c r="R386" s="214">
        <f t="shared" si="434"/>
        <v>38</v>
      </c>
      <c r="AK386" s="141">
        <f t="shared" si="389"/>
        <v>38.400000000000006</v>
      </c>
    </row>
    <row r="387" spans="1:37" outlineLevel="1">
      <c r="A387" s="147"/>
      <c r="B387" s="260"/>
      <c r="C387" s="190"/>
      <c r="D387" s="276"/>
      <c r="E387" s="217"/>
      <c r="F387" s="218"/>
      <c r="G387" s="211"/>
      <c r="H387" s="215"/>
      <c r="I387" s="215"/>
      <c r="J387" s="220"/>
      <c r="K387" s="220"/>
      <c r="L387" s="220"/>
      <c r="M387" s="220"/>
      <c r="N387" s="220"/>
      <c r="O387" s="221"/>
      <c r="P387" s="221"/>
      <c r="Q387" s="3"/>
      <c r="R387" s="222"/>
      <c r="AK387" s="141">
        <f t="shared" si="389"/>
        <v>0</v>
      </c>
    </row>
    <row r="388" spans="1:37" outlineLevel="1">
      <c r="A388" s="147"/>
      <c r="B388" s="260" t="s">
        <v>30</v>
      </c>
      <c r="C388" s="190" t="s">
        <v>23</v>
      </c>
      <c r="D388" s="277">
        <v>12393331001</v>
      </c>
      <c r="E388" s="188">
        <v>12393333001</v>
      </c>
      <c r="F388" s="278" t="s">
        <v>337</v>
      </c>
      <c r="G388" s="211"/>
      <c r="H388" s="190" t="s">
        <v>65</v>
      </c>
      <c r="I388" s="190">
        <v>25</v>
      </c>
      <c r="J388" s="279">
        <v>1.77</v>
      </c>
      <c r="K388" s="212">
        <f t="shared" ref="K388:K390" si="435">ROUND((J388*$C$3),2)</f>
        <v>2.16</v>
      </c>
      <c r="L388" s="212">
        <f>K388*G388</f>
        <v>0</v>
      </c>
      <c r="M388" s="212">
        <f t="shared" ref="M388:M390" si="436">J388*(1-$E$5-$E$7)*(1-$E$9)*(1+$E$11)</f>
        <v>1.77</v>
      </c>
      <c r="N388" s="212">
        <f>M388*G388</f>
        <v>0</v>
      </c>
      <c r="O388" s="213">
        <f t="shared" ref="O388:O390" si="437">ROUND((M388*$C$3),2)</f>
        <v>2.16</v>
      </c>
      <c r="P388" s="213">
        <f>O388*G388</f>
        <v>0</v>
      </c>
      <c r="Q388" s="3"/>
      <c r="R388" s="222">
        <f t="shared" ref="R388:R390" si="438">ROUND(AK388,0)</f>
        <v>173</v>
      </c>
      <c r="AK388" s="141">
        <f t="shared" si="389"/>
        <v>172.8</v>
      </c>
    </row>
    <row r="389" spans="1:37" outlineLevel="1">
      <c r="A389" s="147"/>
      <c r="B389" s="260" t="s">
        <v>30</v>
      </c>
      <c r="C389" s="190" t="s">
        <v>23</v>
      </c>
      <c r="D389" s="277">
        <v>12393431001</v>
      </c>
      <c r="E389" s="188">
        <v>12393433001</v>
      </c>
      <c r="F389" s="278" t="s">
        <v>338</v>
      </c>
      <c r="G389" s="211"/>
      <c r="H389" s="190" t="s">
        <v>65</v>
      </c>
      <c r="I389" s="190">
        <v>25</v>
      </c>
      <c r="J389" s="279">
        <v>2.23</v>
      </c>
      <c r="K389" s="212">
        <f t="shared" si="435"/>
        <v>2.72</v>
      </c>
      <c r="L389" s="212">
        <f>K389*G389</f>
        <v>0</v>
      </c>
      <c r="M389" s="212">
        <f t="shared" si="436"/>
        <v>2.23</v>
      </c>
      <c r="N389" s="212">
        <f>M389*G389</f>
        <v>0</v>
      </c>
      <c r="O389" s="213">
        <f t="shared" si="437"/>
        <v>2.72</v>
      </c>
      <c r="P389" s="213">
        <f>O389*G389</f>
        <v>0</v>
      </c>
      <c r="Q389" s="3"/>
      <c r="R389" s="222">
        <f t="shared" si="438"/>
        <v>218</v>
      </c>
      <c r="AK389" s="141">
        <f t="shared" si="389"/>
        <v>217.60000000000002</v>
      </c>
    </row>
    <row r="390" spans="1:37" outlineLevel="1">
      <c r="A390" s="147"/>
      <c r="B390" s="260" t="s">
        <v>30</v>
      </c>
      <c r="C390" s="190" t="s">
        <v>23</v>
      </c>
      <c r="D390" s="277">
        <v>12391931001</v>
      </c>
      <c r="E390" s="188">
        <v>12391933001</v>
      </c>
      <c r="F390" s="278" t="s">
        <v>339</v>
      </c>
      <c r="G390" s="211"/>
      <c r="H390" s="190" t="s">
        <v>65</v>
      </c>
      <c r="I390" s="190">
        <v>25</v>
      </c>
      <c r="J390" s="279">
        <v>3.77</v>
      </c>
      <c r="K390" s="212">
        <f t="shared" si="435"/>
        <v>4.5999999999999996</v>
      </c>
      <c r="L390" s="212">
        <f>K390*G390</f>
        <v>0</v>
      </c>
      <c r="M390" s="212">
        <f t="shared" si="436"/>
        <v>3.77</v>
      </c>
      <c r="N390" s="212">
        <f>M390*G390</f>
        <v>0</v>
      </c>
      <c r="O390" s="213">
        <f t="shared" si="437"/>
        <v>4.5999999999999996</v>
      </c>
      <c r="P390" s="213">
        <f>O390*G390</f>
        <v>0</v>
      </c>
      <c r="Q390" s="3"/>
      <c r="R390" s="222">
        <f t="shared" si="438"/>
        <v>368</v>
      </c>
      <c r="AK390" s="141">
        <f t="shared" si="389"/>
        <v>368</v>
      </c>
    </row>
    <row r="391" spans="1:37" outlineLevel="1">
      <c r="A391" s="147"/>
      <c r="B391" s="260"/>
      <c r="C391" s="215"/>
      <c r="D391" s="215"/>
      <c r="E391" s="217"/>
      <c r="F391" s="218"/>
      <c r="G391" s="211"/>
      <c r="H391" s="215"/>
      <c r="I391" s="215"/>
      <c r="J391" s="220"/>
      <c r="K391" s="220"/>
      <c r="L391" s="220"/>
      <c r="M391" s="220"/>
      <c r="N391" s="220"/>
      <c r="O391" s="221"/>
      <c r="P391" s="221"/>
      <c r="Q391" s="3"/>
      <c r="R391" s="222"/>
      <c r="AK391" s="141"/>
    </row>
    <row r="392" spans="1:37" s="73" customFormat="1" outlineLevel="1">
      <c r="A392" s="150"/>
      <c r="B392" s="188" t="s">
        <v>30</v>
      </c>
      <c r="C392" s="190" t="s">
        <v>23</v>
      </c>
      <c r="D392" s="190">
        <v>11388911002</v>
      </c>
      <c r="E392" s="188">
        <v>11388913002</v>
      </c>
      <c r="F392" s="210" t="s">
        <v>340</v>
      </c>
      <c r="G392" s="211"/>
      <c r="H392" s="190" t="s">
        <v>65</v>
      </c>
      <c r="I392" s="190">
        <v>10</v>
      </c>
      <c r="J392" s="212">
        <v>2.38</v>
      </c>
      <c r="K392" s="212">
        <f t="shared" ref="K392:K393" si="439">ROUND((J392*$C$3),2)</f>
        <v>2.9</v>
      </c>
      <c r="L392" s="212">
        <f>K392*G392</f>
        <v>0</v>
      </c>
      <c r="M392" s="212">
        <f t="shared" ref="M392:M393" si="440">J392*(1-$E$5-$E$7)*(1-$E$9)*(1+$E$11)</f>
        <v>2.38</v>
      </c>
      <c r="N392" s="212">
        <f>M392*G392</f>
        <v>0</v>
      </c>
      <c r="O392" s="213">
        <f t="shared" ref="O392:O393" si="441">ROUND((M392*$C$3),2)</f>
        <v>2.9</v>
      </c>
      <c r="P392" s="213">
        <f>O392*G392</f>
        <v>0</v>
      </c>
      <c r="Q392" s="3"/>
      <c r="R392" s="214">
        <f t="shared" ref="R392:R393" si="442">ROUND(AK392,0)</f>
        <v>232</v>
      </c>
      <c r="AK392" s="142">
        <f t="shared" ref="AK392:AK393" si="443">K392*$AK$11*(1-$AK$10)</f>
        <v>232</v>
      </c>
    </row>
    <row r="393" spans="1:37" s="73" customFormat="1" outlineLevel="1">
      <c r="A393" s="150"/>
      <c r="B393" s="188" t="s">
        <v>30</v>
      </c>
      <c r="C393" s="190" t="s">
        <v>23</v>
      </c>
      <c r="D393" s="190">
        <v>11383511002</v>
      </c>
      <c r="E393" s="188">
        <v>11383513002</v>
      </c>
      <c r="F393" s="210" t="s">
        <v>341</v>
      </c>
      <c r="G393" s="211"/>
      <c r="H393" s="190" t="s">
        <v>65</v>
      </c>
      <c r="I393" s="190">
        <v>10</v>
      </c>
      <c r="J393" s="212">
        <v>4.05</v>
      </c>
      <c r="K393" s="212">
        <f t="shared" si="439"/>
        <v>4.9400000000000004</v>
      </c>
      <c r="L393" s="212">
        <f>K393*G393</f>
        <v>0</v>
      </c>
      <c r="M393" s="212">
        <f t="shared" si="440"/>
        <v>4.05</v>
      </c>
      <c r="N393" s="212">
        <f>M393*G393</f>
        <v>0</v>
      </c>
      <c r="O393" s="213">
        <f t="shared" si="441"/>
        <v>4.9400000000000004</v>
      </c>
      <c r="P393" s="213">
        <f>O393*G393</f>
        <v>0</v>
      </c>
      <c r="Q393" s="3"/>
      <c r="R393" s="214">
        <f t="shared" si="442"/>
        <v>395</v>
      </c>
      <c r="AK393" s="142">
        <f t="shared" si="443"/>
        <v>395.20000000000005</v>
      </c>
    </row>
    <row r="394" spans="1:37" s="73" customFormat="1" outlineLevel="1">
      <c r="A394" s="150"/>
      <c r="B394" s="188" t="s">
        <v>30</v>
      </c>
      <c r="C394" s="190" t="s">
        <v>23</v>
      </c>
      <c r="D394" s="190">
        <v>12611531001</v>
      </c>
      <c r="E394" s="188">
        <v>12611533001</v>
      </c>
      <c r="F394" s="210" t="s">
        <v>342</v>
      </c>
      <c r="G394" s="211"/>
      <c r="H394" s="190" t="s">
        <v>65</v>
      </c>
      <c r="I394" s="190">
        <v>5</v>
      </c>
      <c r="J394" s="212">
        <v>6.5</v>
      </c>
      <c r="K394" s="212">
        <v>7.8</v>
      </c>
      <c r="L394" s="212">
        <v>0</v>
      </c>
      <c r="M394" s="212">
        <v>6.5</v>
      </c>
      <c r="N394" s="212">
        <v>0</v>
      </c>
      <c r="O394" s="213">
        <v>7.8</v>
      </c>
      <c r="P394" s="213">
        <v>0</v>
      </c>
      <c r="Q394" s="3"/>
      <c r="R394" s="214">
        <v>624</v>
      </c>
      <c r="AK394" s="142"/>
    </row>
    <row r="395" spans="1:37" s="73" customFormat="1" outlineLevel="1">
      <c r="A395" s="150"/>
      <c r="B395" s="188"/>
      <c r="C395" s="190"/>
      <c r="D395" s="190"/>
      <c r="E395" s="188"/>
      <c r="F395" s="210"/>
      <c r="G395" s="211"/>
      <c r="H395" s="190"/>
      <c r="I395" s="190"/>
      <c r="J395" s="212"/>
      <c r="K395" s="212"/>
      <c r="L395" s="212"/>
      <c r="M395" s="212"/>
      <c r="N395" s="212"/>
      <c r="O395" s="213"/>
      <c r="P395" s="213"/>
      <c r="Q395" s="3"/>
      <c r="R395" s="214"/>
      <c r="AK395" s="142"/>
    </row>
    <row r="396" spans="1:37" s="73" customFormat="1" outlineLevel="1">
      <c r="A396" s="150"/>
      <c r="B396" s="188" t="s">
        <v>30</v>
      </c>
      <c r="C396" s="190" t="s">
        <v>23</v>
      </c>
      <c r="D396" s="238">
        <v>12584081002</v>
      </c>
      <c r="E396" s="240">
        <v>12584083002</v>
      </c>
      <c r="F396" s="280" t="s">
        <v>343</v>
      </c>
      <c r="G396" s="211"/>
      <c r="H396" s="190" t="s">
        <v>65</v>
      </c>
      <c r="I396" s="190">
        <v>10</v>
      </c>
      <c r="J396" s="212">
        <v>1.9</v>
      </c>
      <c r="K396" s="212">
        <f t="shared" ref="K396:K398" si="444">ROUND((J396*$C$3),2)</f>
        <v>2.3199999999999998</v>
      </c>
      <c r="L396" s="212">
        <f>K396*G396</f>
        <v>0</v>
      </c>
      <c r="M396" s="212">
        <f t="shared" ref="M396:M398" si="445">J396*(1-$E$5-$E$7)*(1-$E$9)*(1+$E$11)</f>
        <v>1.9</v>
      </c>
      <c r="N396" s="212">
        <f>M396*G396</f>
        <v>0</v>
      </c>
      <c r="O396" s="213">
        <f t="shared" ref="O396:O398" si="446">ROUND((M396*$C$3),2)</f>
        <v>2.3199999999999998</v>
      </c>
      <c r="P396" s="213">
        <f>O396*G396</f>
        <v>0</v>
      </c>
      <c r="Q396" s="3"/>
      <c r="R396" s="214">
        <f t="shared" ref="R396:R398" si="447">ROUND(AK396,0)</f>
        <v>186</v>
      </c>
      <c r="AK396" s="142">
        <f>K396*$AK$11*(1-$AK$10)</f>
        <v>185.6</v>
      </c>
    </row>
    <row r="397" spans="1:37" s="73" customFormat="1" outlineLevel="1">
      <c r="A397" s="150"/>
      <c r="B397" s="188" t="s">
        <v>30</v>
      </c>
      <c r="C397" s="190" t="s">
        <v>23</v>
      </c>
      <c r="D397" s="238">
        <v>12587981002</v>
      </c>
      <c r="E397" s="240">
        <v>12587983002</v>
      </c>
      <c r="F397" s="280" t="s">
        <v>344</v>
      </c>
      <c r="G397" s="211"/>
      <c r="H397" s="190" t="s">
        <v>65</v>
      </c>
      <c r="I397" s="190">
        <v>10</v>
      </c>
      <c r="J397" s="212">
        <v>2.38</v>
      </c>
      <c r="K397" s="212">
        <f t="shared" si="444"/>
        <v>2.9</v>
      </c>
      <c r="L397" s="212">
        <f>K397*G397</f>
        <v>0</v>
      </c>
      <c r="M397" s="212">
        <f t="shared" si="445"/>
        <v>2.38</v>
      </c>
      <c r="N397" s="212">
        <f>M397*G397</f>
        <v>0</v>
      </c>
      <c r="O397" s="213">
        <f t="shared" si="446"/>
        <v>2.9</v>
      </c>
      <c r="P397" s="213">
        <f>O397*G397</f>
        <v>0</v>
      </c>
      <c r="Q397" s="3"/>
      <c r="R397" s="214">
        <f t="shared" si="447"/>
        <v>232</v>
      </c>
      <c r="AK397" s="142">
        <f>K397*$AK$11*(1-$AK$10)</f>
        <v>232</v>
      </c>
    </row>
    <row r="398" spans="1:37" s="73" customFormat="1" outlineLevel="1">
      <c r="A398" s="150"/>
      <c r="B398" s="188" t="s">
        <v>30</v>
      </c>
      <c r="C398" s="190" t="s">
        <v>23</v>
      </c>
      <c r="D398" s="238">
        <v>12572491002</v>
      </c>
      <c r="E398" s="240">
        <v>12572493002</v>
      </c>
      <c r="F398" s="280" t="s">
        <v>345</v>
      </c>
      <c r="G398" s="211"/>
      <c r="H398" s="190" t="s">
        <v>65</v>
      </c>
      <c r="I398" s="190">
        <v>10</v>
      </c>
      <c r="J398" s="212">
        <v>4.05</v>
      </c>
      <c r="K398" s="212">
        <f t="shared" si="444"/>
        <v>4.9400000000000004</v>
      </c>
      <c r="L398" s="212">
        <f>K398*G398</f>
        <v>0</v>
      </c>
      <c r="M398" s="212">
        <f t="shared" si="445"/>
        <v>4.05</v>
      </c>
      <c r="N398" s="212">
        <f>M398*G398</f>
        <v>0</v>
      </c>
      <c r="O398" s="213">
        <f t="shared" si="446"/>
        <v>4.9400000000000004</v>
      </c>
      <c r="P398" s="213">
        <f>O398*G398</f>
        <v>0</v>
      </c>
      <c r="Q398" s="3"/>
      <c r="R398" s="214">
        <f t="shared" si="447"/>
        <v>395</v>
      </c>
      <c r="AK398" s="142">
        <f>K398*$AK$11*(1-$AK$10)</f>
        <v>395.20000000000005</v>
      </c>
    </row>
    <row r="399" spans="1:37" s="73" customFormat="1" outlineLevel="1">
      <c r="A399" s="150"/>
      <c r="B399" s="188"/>
      <c r="C399" s="190"/>
      <c r="D399" s="190"/>
      <c r="E399" s="188"/>
      <c r="F399" s="210"/>
      <c r="G399" s="211"/>
      <c r="H399" s="190"/>
      <c r="I399" s="190"/>
      <c r="J399" s="212"/>
      <c r="K399" s="212"/>
      <c r="L399" s="212"/>
      <c r="M399" s="212"/>
      <c r="N399" s="212"/>
      <c r="O399" s="213"/>
      <c r="P399" s="213"/>
      <c r="Q399" s="3"/>
      <c r="R399" s="214"/>
      <c r="AK399" s="142"/>
    </row>
    <row r="400" spans="1:37" outlineLevel="1">
      <c r="A400" s="147"/>
      <c r="B400" s="188" t="s">
        <v>30</v>
      </c>
      <c r="C400" s="190" t="s">
        <v>23</v>
      </c>
      <c r="D400" s="248">
        <v>14563471001</v>
      </c>
      <c r="E400" s="242">
        <v>14563473001</v>
      </c>
      <c r="F400" s="243" t="s">
        <v>346</v>
      </c>
      <c r="G400" s="211"/>
      <c r="H400" s="244" t="s">
        <v>65</v>
      </c>
      <c r="I400" s="244">
        <v>10</v>
      </c>
      <c r="J400" s="245">
        <v>7.96</v>
      </c>
      <c r="K400" s="212">
        <f t="shared" ref="K400:K404" si="448">ROUND((J400*$C$3),2)</f>
        <v>9.7100000000000009</v>
      </c>
      <c r="L400" s="212">
        <f>K400*G400</f>
        <v>0</v>
      </c>
      <c r="M400" s="212">
        <f t="shared" ref="M400:M404" si="449">J400*(1-$E$5-$E$7)*(1-$E$9)*(1+$E$11)</f>
        <v>7.96</v>
      </c>
      <c r="N400" s="212">
        <f>M400*G400</f>
        <v>0</v>
      </c>
      <c r="O400" s="213">
        <f t="shared" ref="O400:O404" si="450">ROUND((M400*$C$3),2)</f>
        <v>9.7100000000000009</v>
      </c>
      <c r="P400" s="213">
        <f>O400*G400</f>
        <v>0</v>
      </c>
      <c r="Q400" s="3"/>
      <c r="R400" s="222">
        <f t="shared" ref="R400:R404" si="451">ROUND(AK400,0)</f>
        <v>777</v>
      </c>
      <c r="AK400" s="141">
        <f t="shared" ref="AK400:AK404" si="452">K400*$AK$11*(1-$AK$10)</f>
        <v>776.80000000000018</v>
      </c>
    </row>
    <row r="401" spans="1:37" outlineLevel="1">
      <c r="A401" s="147"/>
      <c r="B401" s="188" t="s">
        <v>30</v>
      </c>
      <c r="C401" s="190" t="s">
        <v>23</v>
      </c>
      <c r="D401" s="248">
        <v>14563481001</v>
      </c>
      <c r="E401" s="246">
        <v>14563483001</v>
      </c>
      <c r="F401" s="243" t="s">
        <v>347</v>
      </c>
      <c r="G401" s="211"/>
      <c r="H401" s="244" t="s">
        <v>65</v>
      </c>
      <c r="I401" s="244">
        <v>10</v>
      </c>
      <c r="J401" s="245">
        <v>9.91</v>
      </c>
      <c r="K401" s="212">
        <f t="shared" si="448"/>
        <v>12.09</v>
      </c>
      <c r="L401" s="212">
        <f>K401*G401</f>
        <v>0</v>
      </c>
      <c r="M401" s="212">
        <f t="shared" si="449"/>
        <v>9.91</v>
      </c>
      <c r="N401" s="212">
        <f>M401*G401</f>
        <v>0</v>
      </c>
      <c r="O401" s="213">
        <f t="shared" si="450"/>
        <v>12.09</v>
      </c>
      <c r="P401" s="213">
        <f>O401*G401</f>
        <v>0</v>
      </c>
      <c r="Q401" s="3"/>
      <c r="R401" s="222">
        <f t="shared" si="451"/>
        <v>967</v>
      </c>
      <c r="AK401" s="141">
        <f t="shared" si="452"/>
        <v>967.2</v>
      </c>
    </row>
    <row r="402" spans="1:37" outlineLevel="1">
      <c r="A402" s="147"/>
      <c r="B402" s="188" t="s">
        <v>30</v>
      </c>
      <c r="C402" s="190" t="s">
        <v>23</v>
      </c>
      <c r="D402" s="248">
        <v>14563491001</v>
      </c>
      <c r="E402" s="242">
        <v>14563493001</v>
      </c>
      <c r="F402" s="243" t="s">
        <v>348</v>
      </c>
      <c r="G402" s="211"/>
      <c r="H402" s="244" t="s">
        <v>65</v>
      </c>
      <c r="I402" s="244">
        <v>10</v>
      </c>
      <c r="J402" s="245">
        <v>11.98</v>
      </c>
      <c r="K402" s="212">
        <f t="shared" si="448"/>
        <v>14.62</v>
      </c>
      <c r="L402" s="212">
        <f>K402*G402</f>
        <v>0</v>
      </c>
      <c r="M402" s="212">
        <f t="shared" si="449"/>
        <v>11.98</v>
      </c>
      <c r="N402" s="212">
        <f>M402*G402</f>
        <v>0</v>
      </c>
      <c r="O402" s="213">
        <f t="shared" si="450"/>
        <v>14.62</v>
      </c>
      <c r="P402" s="213">
        <f>O402*G402</f>
        <v>0</v>
      </c>
      <c r="Q402" s="3"/>
      <c r="R402" s="222">
        <f t="shared" si="451"/>
        <v>1170</v>
      </c>
      <c r="AK402" s="141">
        <f t="shared" si="452"/>
        <v>1169.6000000000001</v>
      </c>
    </row>
    <row r="403" spans="1:37" outlineLevel="1">
      <c r="A403" s="147"/>
      <c r="B403" s="188" t="s">
        <v>30</v>
      </c>
      <c r="C403" s="190" t="s">
        <v>23</v>
      </c>
      <c r="D403" s="248">
        <v>14563501001</v>
      </c>
      <c r="E403" s="242">
        <v>14563503001</v>
      </c>
      <c r="F403" s="243" t="s">
        <v>349</v>
      </c>
      <c r="G403" s="211"/>
      <c r="H403" s="244" t="s">
        <v>65</v>
      </c>
      <c r="I403" s="244">
        <v>10</v>
      </c>
      <c r="J403" s="245">
        <v>15.46</v>
      </c>
      <c r="K403" s="212">
        <f t="shared" si="448"/>
        <v>18.86</v>
      </c>
      <c r="L403" s="212">
        <f>K403*G403</f>
        <v>0</v>
      </c>
      <c r="M403" s="212">
        <f t="shared" si="449"/>
        <v>15.46</v>
      </c>
      <c r="N403" s="212">
        <f>M403*G403</f>
        <v>0</v>
      </c>
      <c r="O403" s="213">
        <f t="shared" si="450"/>
        <v>18.86</v>
      </c>
      <c r="P403" s="213">
        <f>O403*G403</f>
        <v>0</v>
      </c>
      <c r="Q403" s="3"/>
      <c r="R403" s="222">
        <f t="shared" si="451"/>
        <v>1509</v>
      </c>
      <c r="AK403" s="141">
        <f t="shared" si="452"/>
        <v>1508.8000000000002</v>
      </c>
    </row>
    <row r="404" spans="1:37" outlineLevel="1">
      <c r="A404" s="147"/>
      <c r="B404" s="188" t="s">
        <v>30</v>
      </c>
      <c r="C404" s="190" t="s">
        <v>23</v>
      </c>
      <c r="D404" s="248">
        <v>14563521001</v>
      </c>
      <c r="E404" s="242">
        <v>14563523001</v>
      </c>
      <c r="F404" s="243" t="s">
        <v>350</v>
      </c>
      <c r="G404" s="211"/>
      <c r="H404" s="244" t="s">
        <v>65</v>
      </c>
      <c r="I404" s="244">
        <v>3</v>
      </c>
      <c r="J404" s="245">
        <v>34.619999999999997</v>
      </c>
      <c r="K404" s="212">
        <f t="shared" si="448"/>
        <v>42.24</v>
      </c>
      <c r="L404" s="212">
        <f>K404*G404</f>
        <v>0</v>
      </c>
      <c r="M404" s="212">
        <f t="shared" si="449"/>
        <v>34.619999999999997</v>
      </c>
      <c r="N404" s="212">
        <f>M404*G404</f>
        <v>0</v>
      </c>
      <c r="O404" s="213">
        <f t="shared" si="450"/>
        <v>42.24</v>
      </c>
      <c r="P404" s="213">
        <f>O404*G404</f>
        <v>0</v>
      </c>
      <c r="Q404" s="3"/>
      <c r="R404" s="222">
        <f t="shared" si="451"/>
        <v>3379</v>
      </c>
      <c r="AK404" s="141">
        <f t="shared" si="452"/>
        <v>3379.2000000000003</v>
      </c>
    </row>
    <row r="405" spans="1:37" outlineLevel="1">
      <c r="A405" s="147"/>
      <c r="B405" s="188"/>
      <c r="C405" s="224"/>
      <c r="D405" s="190"/>
      <c r="E405" s="188"/>
      <c r="F405" s="210"/>
      <c r="G405" s="211"/>
      <c r="H405" s="190"/>
      <c r="I405" s="190"/>
      <c r="J405" s="212"/>
      <c r="K405" s="212"/>
      <c r="L405" s="212"/>
      <c r="M405" s="212"/>
      <c r="N405" s="212"/>
      <c r="O405" s="213"/>
      <c r="P405" s="213"/>
      <c r="Q405" s="3"/>
      <c r="R405" s="222"/>
      <c r="AK405" s="141"/>
    </row>
    <row r="406" spans="1:37" outlineLevel="1">
      <c r="A406" s="147"/>
      <c r="B406" s="188" t="s">
        <v>30</v>
      </c>
      <c r="C406" s="238" t="s">
        <v>23</v>
      </c>
      <c r="D406" s="190"/>
      <c r="E406" s="188">
        <v>11096751001</v>
      </c>
      <c r="F406" s="210" t="s">
        <v>351</v>
      </c>
      <c r="G406" s="211"/>
      <c r="H406" s="190" t="s">
        <v>65</v>
      </c>
      <c r="I406" s="190">
        <v>10</v>
      </c>
      <c r="J406" s="212">
        <v>5.07</v>
      </c>
      <c r="K406" s="212">
        <f t="shared" ref="K406:K407" si="453">ROUND((J406*$C$3),2)</f>
        <v>6.19</v>
      </c>
      <c r="L406" s="212">
        <f>K406*G406</f>
        <v>0</v>
      </c>
      <c r="M406" s="212">
        <f t="shared" ref="M406:M407" si="454">J406*(1-$E$5-$E$7)*(1-$E$9)*(1+$E$11)</f>
        <v>5.07</v>
      </c>
      <c r="N406" s="212">
        <f>M406*G406</f>
        <v>0</v>
      </c>
      <c r="O406" s="213">
        <f t="shared" ref="O406:O407" si="455">ROUND((M406*$C$3),2)</f>
        <v>6.19</v>
      </c>
      <c r="P406" s="213">
        <f>O406*G406</f>
        <v>0</v>
      </c>
      <c r="Q406" s="3"/>
      <c r="R406" s="222">
        <f t="shared" si="388"/>
        <v>495</v>
      </c>
      <c r="AK406" s="141">
        <f t="shared" si="389"/>
        <v>495.20000000000005</v>
      </c>
    </row>
    <row r="407" spans="1:37" outlineLevel="1">
      <c r="A407" s="147"/>
      <c r="B407" s="188" t="s">
        <v>30</v>
      </c>
      <c r="C407" s="238" t="s">
        <v>23</v>
      </c>
      <c r="D407" s="190"/>
      <c r="E407" s="188">
        <v>11096931001</v>
      </c>
      <c r="F407" s="210" t="s">
        <v>352</v>
      </c>
      <c r="G407" s="211"/>
      <c r="H407" s="190" t="s">
        <v>65</v>
      </c>
      <c r="I407" s="190">
        <v>10</v>
      </c>
      <c r="J407" s="212">
        <v>6.31</v>
      </c>
      <c r="K407" s="212">
        <f t="shared" si="453"/>
        <v>7.7</v>
      </c>
      <c r="L407" s="212">
        <f>K407*G407</f>
        <v>0</v>
      </c>
      <c r="M407" s="212">
        <f t="shared" si="454"/>
        <v>6.31</v>
      </c>
      <c r="N407" s="212">
        <f>M407*G407</f>
        <v>0</v>
      </c>
      <c r="O407" s="213">
        <f t="shared" si="455"/>
        <v>7.7</v>
      </c>
      <c r="P407" s="213">
        <f>O407*G407</f>
        <v>0</v>
      </c>
      <c r="Q407" s="3"/>
      <c r="R407" s="222">
        <f t="shared" si="388"/>
        <v>616</v>
      </c>
      <c r="AK407" s="141">
        <f t="shared" si="389"/>
        <v>616</v>
      </c>
    </row>
    <row r="408" spans="1:37" outlineLevel="1">
      <c r="A408" s="147"/>
      <c r="B408" s="188" t="s">
        <v>30</v>
      </c>
      <c r="C408" s="238" t="s">
        <v>23</v>
      </c>
      <c r="D408" s="190"/>
      <c r="E408" s="188">
        <v>11097081001</v>
      </c>
      <c r="F408" s="210" t="s">
        <v>353</v>
      </c>
      <c r="G408" s="211"/>
      <c r="H408" s="190" t="s">
        <v>65</v>
      </c>
      <c r="I408" s="190">
        <v>10</v>
      </c>
      <c r="J408" s="212">
        <v>8.01</v>
      </c>
      <c r="K408" s="212">
        <f t="shared" ref="K408:K410" si="456">ROUND((J408*$C$3),2)</f>
        <v>9.77</v>
      </c>
      <c r="L408" s="212">
        <f>K408*G408</f>
        <v>0</v>
      </c>
      <c r="M408" s="212">
        <f t="shared" ref="M408:M410" si="457">J408*(1-$E$5-$E$7)*(1-$E$9)*(1+$E$11)</f>
        <v>8.01</v>
      </c>
      <c r="N408" s="212">
        <f>M408*G408</f>
        <v>0</v>
      </c>
      <c r="O408" s="213">
        <f t="shared" ref="O408:O410" si="458">ROUND((M408*$C$3),2)</f>
        <v>9.77</v>
      </c>
      <c r="P408" s="213">
        <f>O408*G408</f>
        <v>0</v>
      </c>
      <c r="Q408" s="3"/>
      <c r="R408" s="222">
        <f t="shared" si="388"/>
        <v>782</v>
      </c>
      <c r="AK408" s="141">
        <f t="shared" si="389"/>
        <v>781.6</v>
      </c>
    </row>
    <row r="409" spans="1:37" outlineLevel="1">
      <c r="A409" s="147"/>
      <c r="B409" s="188" t="s">
        <v>30</v>
      </c>
      <c r="C409" s="238" t="s">
        <v>23</v>
      </c>
      <c r="D409" s="190"/>
      <c r="E409" s="188">
        <v>11097161001</v>
      </c>
      <c r="F409" s="210" t="s">
        <v>354</v>
      </c>
      <c r="G409" s="211"/>
      <c r="H409" s="190" t="s">
        <v>65</v>
      </c>
      <c r="I409" s="190">
        <v>10</v>
      </c>
      <c r="J409" s="212">
        <v>11.12</v>
      </c>
      <c r="K409" s="212">
        <f t="shared" si="456"/>
        <v>13.57</v>
      </c>
      <c r="L409" s="212">
        <f>K409*G409</f>
        <v>0</v>
      </c>
      <c r="M409" s="212">
        <f t="shared" si="457"/>
        <v>11.12</v>
      </c>
      <c r="N409" s="212">
        <f>M409*G409</f>
        <v>0</v>
      </c>
      <c r="O409" s="213">
        <f t="shared" si="458"/>
        <v>13.57</v>
      </c>
      <c r="P409" s="213">
        <f>O409*G409</f>
        <v>0</v>
      </c>
      <c r="Q409" s="3"/>
      <c r="R409" s="222">
        <f t="shared" si="388"/>
        <v>1086</v>
      </c>
      <c r="AK409" s="141">
        <f t="shared" si="389"/>
        <v>1085.6000000000001</v>
      </c>
    </row>
    <row r="410" spans="1:37" outlineLevel="1">
      <c r="A410" s="147"/>
      <c r="B410" s="188" t="s">
        <v>30</v>
      </c>
      <c r="C410" s="238" t="s">
        <v>23</v>
      </c>
      <c r="D410" s="190"/>
      <c r="E410" s="188">
        <v>11093521001</v>
      </c>
      <c r="F410" s="210" t="s">
        <v>355</v>
      </c>
      <c r="G410" s="211"/>
      <c r="H410" s="190" t="s">
        <v>65</v>
      </c>
      <c r="I410" s="190">
        <v>3</v>
      </c>
      <c r="J410" s="212">
        <v>22.05</v>
      </c>
      <c r="K410" s="212">
        <f t="shared" si="456"/>
        <v>26.9</v>
      </c>
      <c r="L410" s="212">
        <f>K410*G410</f>
        <v>0</v>
      </c>
      <c r="M410" s="212">
        <f t="shared" si="457"/>
        <v>22.05</v>
      </c>
      <c r="N410" s="212">
        <f>M410*G410</f>
        <v>0</v>
      </c>
      <c r="O410" s="213">
        <f t="shared" si="458"/>
        <v>26.9</v>
      </c>
      <c r="P410" s="213">
        <f>O410*G410</f>
        <v>0</v>
      </c>
      <c r="Q410" s="3"/>
      <c r="R410" s="222">
        <f t="shared" si="388"/>
        <v>2152</v>
      </c>
      <c r="AK410" s="141">
        <f t="shared" si="389"/>
        <v>2152</v>
      </c>
    </row>
    <row r="411" spans="1:37" outlineLevel="1">
      <c r="A411" s="147"/>
      <c r="B411" s="188"/>
      <c r="C411" s="224"/>
      <c r="D411" s="190"/>
      <c r="E411" s="188"/>
      <c r="F411" s="210"/>
      <c r="G411" s="211"/>
      <c r="H411" s="190"/>
      <c r="I411" s="190"/>
      <c r="J411" s="212"/>
      <c r="K411" s="212"/>
      <c r="L411" s="212"/>
      <c r="M411" s="212"/>
      <c r="N411" s="212"/>
      <c r="O411" s="213"/>
      <c r="P411" s="213"/>
      <c r="Q411" s="3"/>
      <c r="R411" s="222"/>
      <c r="AK411" s="141"/>
    </row>
    <row r="412" spans="1:37" s="73" customFormat="1" ht="30.6" outlineLevel="1">
      <c r="A412" s="148" t="s">
        <v>25</v>
      </c>
      <c r="B412" s="208" t="s">
        <v>26</v>
      </c>
      <c r="C412" s="238" t="s">
        <v>23</v>
      </c>
      <c r="D412" s="238">
        <v>13660921001</v>
      </c>
      <c r="E412" s="188">
        <v>14563511001</v>
      </c>
      <c r="F412" s="210" t="s">
        <v>356</v>
      </c>
      <c r="G412" s="211"/>
      <c r="H412" s="190" t="s">
        <v>65</v>
      </c>
      <c r="I412" s="190">
        <v>3</v>
      </c>
      <c r="J412" s="212">
        <v>25.200000000000003</v>
      </c>
      <c r="K412" s="212">
        <f t="shared" si="413"/>
        <v>30.74</v>
      </c>
      <c r="L412" s="212">
        <f>K412*G412</f>
        <v>0</v>
      </c>
      <c r="M412" s="212">
        <f t="shared" si="414"/>
        <v>25.200000000000003</v>
      </c>
      <c r="N412" s="212">
        <f>M412*G412</f>
        <v>0</v>
      </c>
      <c r="O412" s="213">
        <f t="shared" si="415"/>
        <v>30.74</v>
      </c>
      <c r="P412" s="213">
        <f>O412*G412</f>
        <v>0</v>
      </c>
      <c r="Q412" s="3"/>
      <c r="R412" s="214">
        <f t="shared" si="388"/>
        <v>2459</v>
      </c>
      <c r="AK412" s="141">
        <f t="shared" si="389"/>
        <v>2459.2000000000003</v>
      </c>
    </row>
    <row r="413" spans="1:37" outlineLevel="1">
      <c r="A413" s="147"/>
      <c r="B413" s="281"/>
      <c r="C413" s="282"/>
      <c r="D413" s="281"/>
      <c r="E413" s="217"/>
      <c r="F413" s="218"/>
      <c r="G413" s="211"/>
      <c r="H413" s="215"/>
      <c r="I413" s="215"/>
      <c r="J413" s="220"/>
      <c r="K413" s="220"/>
      <c r="L413" s="220"/>
      <c r="M413" s="220"/>
      <c r="N413" s="220"/>
      <c r="O413" s="221"/>
      <c r="P413" s="221"/>
      <c r="Q413" s="3"/>
      <c r="R413" s="222"/>
      <c r="AK413" s="141"/>
    </row>
    <row r="414" spans="1:37" outlineLevel="1">
      <c r="A414" s="147"/>
      <c r="B414" s="188" t="s">
        <v>30</v>
      </c>
      <c r="C414" s="190" t="s">
        <v>23</v>
      </c>
      <c r="D414" s="248">
        <v>14563531001</v>
      </c>
      <c r="E414" s="242">
        <v>14563533001</v>
      </c>
      <c r="F414" s="243" t="s">
        <v>357</v>
      </c>
      <c r="G414" s="211"/>
      <c r="H414" s="244" t="s">
        <v>65</v>
      </c>
      <c r="I414" s="244">
        <v>10</v>
      </c>
      <c r="J414" s="245">
        <v>8.2200000000000006</v>
      </c>
      <c r="K414" s="212">
        <f t="shared" ref="K414:K418" si="459">ROUND((J414*$C$3),2)</f>
        <v>10.029999999999999</v>
      </c>
      <c r="L414" s="212">
        <f>K414*G414</f>
        <v>0</v>
      </c>
      <c r="M414" s="212">
        <f t="shared" ref="M414:M418" si="460">J414*(1-$E$5-$E$7)*(1-$E$9)*(1+$E$11)</f>
        <v>8.2200000000000006</v>
      </c>
      <c r="N414" s="212">
        <f>M414*G414</f>
        <v>0</v>
      </c>
      <c r="O414" s="213">
        <f t="shared" ref="O414:O418" si="461">ROUND((M414*$C$3),2)</f>
        <v>10.029999999999999</v>
      </c>
      <c r="P414" s="213">
        <f>O414*G414</f>
        <v>0</v>
      </c>
      <c r="Q414" s="3"/>
      <c r="R414" s="222">
        <f t="shared" ref="R414:R418" si="462">ROUND(AK414,0)</f>
        <v>802</v>
      </c>
      <c r="AK414" s="141">
        <f t="shared" ref="AK414:AK418" si="463">K414*$AK$11*(1-$AK$10)</f>
        <v>802.4</v>
      </c>
    </row>
    <row r="415" spans="1:37" outlineLevel="1">
      <c r="A415" s="147"/>
      <c r="B415" s="188" t="s">
        <v>30</v>
      </c>
      <c r="C415" s="190" t="s">
        <v>23</v>
      </c>
      <c r="D415" s="248">
        <v>14563541001</v>
      </c>
      <c r="E415" s="242">
        <v>14563543001</v>
      </c>
      <c r="F415" s="243" t="s">
        <v>358</v>
      </c>
      <c r="G415" s="211"/>
      <c r="H415" s="244" t="s">
        <v>65</v>
      </c>
      <c r="I415" s="244">
        <v>10</v>
      </c>
      <c r="J415" s="245">
        <v>11.2</v>
      </c>
      <c r="K415" s="212">
        <f t="shared" si="459"/>
        <v>13.66</v>
      </c>
      <c r="L415" s="212">
        <f>K415*G415</f>
        <v>0</v>
      </c>
      <c r="M415" s="212">
        <f t="shared" si="460"/>
        <v>11.2</v>
      </c>
      <c r="N415" s="212">
        <f>M415*G415</f>
        <v>0</v>
      </c>
      <c r="O415" s="213">
        <f t="shared" si="461"/>
        <v>13.66</v>
      </c>
      <c r="P415" s="213">
        <f>O415*G415</f>
        <v>0</v>
      </c>
      <c r="Q415" s="3"/>
      <c r="R415" s="222">
        <f t="shared" si="462"/>
        <v>1093</v>
      </c>
      <c r="AK415" s="141">
        <f t="shared" si="463"/>
        <v>1092.8</v>
      </c>
    </row>
    <row r="416" spans="1:37" outlineLevel="1">
      <c r="A416" s="147"/>
      <c r="B416" s="188" t="s">
        <v>30</v>
      </c>
      <c r="C416" s="190" t="s">
        <v>23</v>
      </c>
      <c r="D416" s="248">
        <v>14563551001</v>
      </c>
      <c r="E416" s="242">
        <v>14563553001</v>
      </c>
      <c r="F416" s="243" t="s">
        <v>359</v>
      </c>
      <c r="G416" s="211"/>
      <c r="H416" s="244" t="s">
        <v>65</v>
      </c>
      <c r="I416" s="244">
        <v>10</v>
      </c>
      <c r="J416" s="245">
        <v>10.16</v>
      </c>
      <c r="K416" s="212">
        <f t="shared" si="459"/>
        <v>12.4</v>
      </c>
      <c r="L416" s="212">
        <f>K416*G416</f>
        <v>0</v>
      </c>
      <c r="M416" s="212">
        <f t="shared" si="460"/>
        <v>10.16</v>
      </c>
      <c r="N416" s="212">
        <f>M416*G416</f>
        <v>0</v>
      </c>
      <c r="O416" s="213">
        <f t="shared" si="461"/>
        <v>12.4</v>
      </c>
      <c r="P416" s="213">
        <f>O416*G416</f>
        <v>0</v>
      </c>
      <c r="Q416" s="3"/>
      <c r="R416" s="222">
        <f t="shared" si="462"/>
        <v>992</v>
      </c>
      <c r="AK416" s="141">
        <f t="shared" si="463"/>
        <v>992</v>
      </c>
    </row>
    <row r="417" spans="1:37" outlineLevel="1">
      <c r="A417" s="147"/>
      <c r="B417" s="188" t="s">
        <v>30</v>
      </c>
      <c r="C417" s="190" t="s">
        <v>23</v>
      </c>
      <c r="D417" s="248">
        <v>14563561001</v>
      </c>
      <c r="E417" s="242">
        <v>14563563001</v>
      </c>
      <c r="F417" s="243" t="s">
        <v>360</v>
      </c>
      <c r="G417" s="211"/>
      <c r="H417" s="244" t="s">
        <v>65</v>
      </c>
      <c r="I417" s="244">
        <v>10</v>
      </c>
      <c r="J417" s="245">
        <v>13.62</v>
      </c>
      <c r="K417" s="212">
        <f t="shared" si="459"/>
        <v>16.62</v>
      </c>
      <c r="L417" s="212">
        <f>K417*G417</f>
        <v>0</v>
      </c>
      <c r="M417" s="212">
        <f t="shared" si="460"/>
        <v>13.62</v>
      </c>
      <c r="N417" s="212">
        <f>M417*G417</f>
        <v>0</v>
      </c>
      <c r="O417" s="213">
        <f t="shared" si="461"/>
        <v>16.62</v>
      </c>
      <c r="P417" s="213">
        <f>O417*G417</f>
        <v>0</v>
      </c>
      <c r="Q417" s="3"/>
      <c r="R417" s="222">
        <f t="shared" si="462"/>
        <v>1330</v>
      </c>
      <c r="AK417" s="141">
        <f t="shared" si="463"/>
        <v>1329.6000000000001</v>
      </c>
    </row>
    <row r="418" spans="1:37" outlineLevel="1">
      <c r="A418" s="147"/>
      <c r="B418" s="188" t="s">
        <v>30</v>
      </c>
      <c r="C418" s="190" t="s">
        <v>23</v>
      </c>
      <c r="D418" s="248">
        <v>14563571001</v>
      </c>
      <c r="E418" s="242">
        <v>14563573001</v>
      </c>
      <c r="F418" s="243" t="s">
        <v>361</v>
      </c>
      <c r="G418" s="211"/>
      <c r="H418" s="244" t="s">
        <v>65</v>
      </c>
      <c r="I418" s="244">
        <v>10</v>
      </c>
      <c r="J418" s="245">
        <v>22.8</v>
      </c>
      <c r="K418" s="212">
        <f t="shared" si="459"/>
        <v>27.82</v>
      </c>
      <c r="L418" s="212">
        <f>K418*G418</f>
        <v>0</v>
      </c>
      <c r="M418" s="212">
        <f t="shared" si="460"/>
        <v>22.8</v>
      </c>
      <c r="N418" s="212">
        <f>M418*G418</f>
        <v>0</v>
      </c>
      <c r="O418" s="213">
        <f t="shared" si="461"/>
        <v>27.82</v>
      </c>
      <c r="P418" s="213">
        <f>O418*G418</f>
        <v>0</v>
      </c>
      <c r="Q418" s="3"/>
      <c r="R418" s="222">
        <f t="shared" si="462"/>
        <v>2226</v>
      </c>
      <c r="AK418" s="141">
        <f t="shared" si="463"/>
        <v>2225.6</v>
      </c>
    </row>
    <row r="419" spans="1:37" outlineLevel="1">
      <c r="A419" s="147"/>
      <c r="B419" s="281"/>
      <c r="C419" s="282"/>
      <c r="D419" s="281"/>
      <c r="E419" s="217"/>
      <c r="F419" s="218"/>
      <c r="G419" s="211"/>
      <c r="H419" s="215"/>
      <c r="I419" s="215"/>
      <c r="J419" s="220"/>
      <c r="K419" s="220"/>
      <c r="L419" s="220"/>
      <c r="M419" s="220"/>
      <c r="N419" s="220"/>
      <c r="O419" s="221"/>
      <c r="P419" s="221"/>
      <c r="Q419" s="3"/>
      <c r="R419" s="222"/>
      <c r="AK419" s="141"/>
    </row>
    <row r="420" spans="1:37" outlineLevel="1">
      <c r="A420" s="147"/>
      <c r="B420" s="188" t="s">
        <v>30</v>
      </c>
      <c r="C420" s="238" t="s">
        <v>23</v>
      </c>
      <c r="D420" s="240"/>
      <c r="E420" s="188">
        <v>11096831001</v>
      </c>
      <c r="F420" s="210" t="s">
        <v>362</v>
      </c>
      <c r="G420" s="211"/>
      <c r="H420" s="190" t="s">
        <v>65</v>
      </c>
      <c r="I420" s="190">
        <v>10</v>
      </c>
      <c r="J420" s="212">
        <v>5.14</v>
      </c>
      <c r="K420" s="212">
        <f t="shared" ref="K420:K424" si="464">ROUND((J420*$C$3),2)</f>
        <v>6.27</v>
      </c>
      <c r="L420" s="212">
        <f>K420*G420</f>
        <v>0</v>
      </c>
      <c r="M420" s="212">
        <f t="shared" ref="M420:M424" si="465">J420*(1-$E$5-$E$7)*(1-$E$9)*(1+$E$11)</f>
        <v>5.14</v>
      </c>
      <c r="N420" s="212">
        <f>M420*G420</f>
        <v>0</v>
      </c>
      <c r="O420" s="213">
        <f t="shared" ref="O420:O424" si="466">ROUND((M420*$C$3),2)</f>
        <v>6.27</v>
      </c>
      <c r="P420" s="213">
        <f>O420*G420</f>
        <v>0</v>
      </c>
      <c r="Q420" s="3"/>
      <c r="R420" s="222">
        <f t="shared" si="388"/>
        <v>502</v>
      </c>
      <c r="AK420" s="141">
        <f t="shared" si="389"/>
        <v>501.6</v>
      </c>
    </row>
    <row r="421" spans="1:37" outlineLevel="1">
      <c r="A421" s="147"/>
      <c r="B421" s="188" t="s">
        <v>30</v>
      </c>
      <c r="C421" s="238" t="s">
        <v>23</v>
      </c>
      <c r="D421" s="240"/>
      <c r="E421" s="188">
        <v>11093541001</v>
      </c>
      <c r="F421" s="210" t="s">
        <v>363</v>
      </c>
      <c r="G421" s="211"/>
      <c r="H421" s="190" t="s">
        <v>65</v>
      </c>
      <c r="I421" s="190">
        <v>10</v>
      </c>
      <c r="J421" s="212">
        <v>9.52</v>
      </c>
      <c r="K421" s="212">
        <f t="shared" si="464"/>
        <v>11.61</v>
      </c>
      <c r="L421" s="212">
        <f>K421*G421</f>
        <v>0</v>
      </c>
      <c r="M421" s="212">
        <f t="shared" si="465"/>
        <v>9.52</v>
      </c>
      <c r="N421" s="212">
        <f>M421*G421</f>
        <v>0</v>
      </c>
      <c r="O421" s="213">
        <f t="shared" si="466"/>
        <v>11.61</v>
      </c>
      <c r="P421" s="213">
        <f>O421*G421</f>
        <v>0</v>
      </c>
      <c r="Q421" s="3"/>
      <c r="R421" s="222">
        <f t="shared" si="388"/>
        <v>929</v>
      </c>
      <c r="AK421" s="141">
        <f t="shared" si="389"/>
        <v>928.80000000000007</v>
      </c>
    </row>
    <row r="422" spans="1:37" outlineLevel="1">
      <c r="A422" s="147"/>
      <c r="B422" s="188" t="s">
        <v>30</v>
      </c>
      <c r="C422" s="238" t="s">
        <v>23</v>
      </c>
      <c r="D422" s="240"/>
      <c r="E422" s="188">
        <v>11097121001</v>
      </c>
      <c r="F422" s="210" t="s">
        <v>364</v>
      </c>
      <c r="G422" s="211"/>
      <c r="H422" s="190" t="s">
        <v>65</v>
      </c>
      <c r="I422" s="190">
        <v>10</v>
      </c>
      <c r="J422" s="212">
        <v>6.47</v>
      </c>
      <c r="K422" s="212">
        <f t="shared" si="464"/>
        <v>7.89</v>
      </c>
      <c r="L422" s="212">
        <f>K422*G422</f>
        <v>0</v>
      </c>
      <c r="M422" s="212">
        <f t="shared" si="465"/>
        <v>6.47</v>
      </c>
      <c r="N422" s="212">
        <f>M422*G422</f>
        <v>0</v>
      </c>
      <c r="O422" s="213">
        <f t="shared" si="466"/>
        <v>7.89</v>
      </c>
      <c r="P422" s="213">
        <f>O422*G422</f>
        <v>0</v>
      </c>
      <c r="Q422" s="3"/>
      <c r="R422" s="222">
        <f t="shared" si="388"/>
        <v>631</v>
      </c>
      <c r="AK422" s="141">
        <f t="shared" si="389"/>
        <v>631.20000000000005</v>
      </c>
    </row>
    <row r="423" spans="1:37" outlineLevel="1">
      <c r="A423" s="147"/>
      <c r="B423" s="188" t="s">
        <v>30</v>
      </c>
      <c r="C423" s="238" t="s">
        <v>23</v>
      </c>
      <c r="D423" s="240"/>
      <c r="E423" s="188">
        <v>11097151001</v>
      </c>
      <c r="F423" s="210" t="s">
        <v>365</v>
      </c>
      <c r="G423" s="211"/>
      <c r="H423" s="190" t="s">
        <v>65</v>
      </c>
      <c r="I423" s="190">
        <v>10</v>
      </c>
      <c r="J423" s="212">
        <v>9.6</v>
      </c>
      <c r="K423" s="212">
        <f t="shared" si="464"/>
        <v>11.71</v>
      </c>
      <c r="L423" s="212">
        <f>K423*G423</f>
        <v>0</v>
      </c>
      <c r="M423" s="212">
        <f t="shared" si="465"/>
        <v>9.6</v>
      </c>
      <c r="N423" s="212">
        <f>M423*G423</f>
        <v>0</v>
      </c>
      <c r="O423" s="213">
        <f t="shared" si="466"/>
        <v>11.71</v>
      </c>
      <c r="P423" s="213">
        <f>O423*G423</f>
        <v>0</v>
      </c>
      <c r="Q423" s="3"/>
      <c r="R423" s="222">
        <f t="shared" si="388"/>
        <v>937</v>
      </c>
      <c r="AK423" s="141">
        <f t="shared" si="389"/>
        <v>936.80000000000007</v>
      </c>
    </row>
    <row r="424" spans="1:37" outlineLevel="1">
      <c r="A424" s="147"/>
      <c r="B424" s="240" t="s">
        <v>30</v>
      </c>
      <c r="C424" s="238" t="s">
        <v>23</v>
      </c>
      <c r="D424" s="238"/>
      <c r="E424" s="256">
        <v>11093571001</v>
      </c>
      <c r="F424" s="243" t="s">
        <v>366</v>
      </c>
      <c r="G424" s="211"/>
      <c r="H424" s="190" t="s">
        <v>65</v>
      </c>
      <c r="I424" s="190">
        <v>10</v>
      </c>
      <c r="J424" s="212">
        <v>18.920000000000002</v>
      </c>
      <c r="K424" s="212">
        <f t="shared" si="464"/>
        <v>23.08</v>
      </c>
      <c r="L424" s="212">
        <f>K424*G424</f>
        <v>0</v>
      </c>
      <c r="M424" s="212">
        <f t="shared" si="465"/>
        <v>18.920000000000002</v>
      </c>
      <c r="N424" s="212">
        <f>M424*G424</f>
        <v>0</v>
      </c>
      <c r="O424" s="213">
        <f t="shared" si="466"/>
        <v>23.08</v>
      </c>
      <c r="P424" s="213">
        <f>O424*G424</f>
        <v>0</v>
      </c>
      <c r="Q424" s="3"/>
      <c r="R424" s="222">
        <f t="shared" si="388"/>
        <v>1846</v>
      </c>
      <c r="AK424" s="141">
        <f t="shared" si="389"/>
        <v>1846.4</v>
      </c>
    </row>
    <row r="425" spans="1:37" outlineLevel="1">
      <c r="A425" s="147"/>
      <c r="B425" s="281"/>
      <c r="C425" s="282"/>
      <c r="D425" s="281"/>
      <c r="E425" s="217"/>
      <c r="F425" s="218"/>
      <c r="G425" s="211"/>
      <c r="H425" s="215"/>
      <c r="I425" s="215"/>
      <c r="J425" s="220"/>
      <c r="K425" s="220"/>
      <c r="L425" s="220"/>
      <c r="M425" s="220"/>
      <c r="N425" s="220"/>
      <c r="O425" s="221"/>
      <c r="P425" s="221"/>
      <c r="Q425" s="3"/>
      <c r="R425" s="222"/>
      <c r="AK425" s="141"/>
    </row>
    <row r="426" spans="1:37" ht="30.6" outlineLevel="1">
      <c r="A426" s="148" t="s">
        <v>25</v>
      </c>
      <c r="B426" s="208" t="s">
        <v>26</v>
      </c>
      <c r="C426" s="238" t="s">
        <v>23</v>
      </c>
      <c r="D426" s="238">
        <v>13660951001</v>
      </c>
      <c r="E426" s="188">
        <v>14563541001</v>
      </c>
      <c r="F426" s="210" t="s">
        <v>367</v>
      </c>
      <c r="G426" s="211"/>
      <c r="H426" s="190" t="s">
        <v>65</v>
      </c>
      <c r="I426" s="190">
        <v>10</v>
      </c>
      <c r="J426" s="212">
        <v>9.8000000000000007</v>
      </c>
      <c r="K426" s="212">
        <f t="shared" si="413"/>
        <v>11.96</v>
      </c>
      <c r="L426" s="212">
        <f>K426*G426</f>
        <v>0</v>
      </c>
      <c r="M426" s="212">
        <f t="shared" si="414"/>
        <v>9.8000000000000007</v>
      </c>
      <c r="N426" s="212">
        <f>M426*G426</f>
        <v>0</v>
      </c>
      <c r="O426" s="213">
        <f t="shared" si="415"/>
        <v>11.96</v>
      </c>
      <c r="P426" s="213">
        <f>O426*G426</f>
        <v>0</v>
      </c>
      <c r="Q426" s="3"/>
      <c r="R426" s="214">
        <f t="shared" si="388"/>
        <v>957</v>
      </c>
      <c r="AK426" s="141">
        <f t="shared" si="389"/>
        <v>956.80000000000007</v>
      </c>
    </row>
    <row r="427" spans="1:37" s="73" customFormat="1" ht="30.6" outlineLevel="1">
      <c r="A427" s="148" t="s">
        <v>25</v>
      </c>
      <c r="B427" s="208" t="s">
        <v>26</v>
      </c>
      <c r="C427" s="238" t="s">
        <v>23</v>
      </c>
      <c r="D427" s="238">
        <v>13660961001</v>
      </c>
      <c r="E427" s="188">
        <v>14563551001</v>
      </c>
      <c r="F427" s="210" t="s">
        <v>368</v>
      </c>
      <c r="G427" s="211"/>
      <c r="H427" s="190" t="s">
        <v>65</v>
      </c>
      <c r="I427" s="190">
        <v>10</v>
      </c>
      <c r="J427" s="212">
        <v>9.7999999999999989</v>
      </c>
      <c r="K427" s="212">
        <f t="shared" si="413"/>
        <v>11.96</v>
      </c>
      <c r="L427" s="212">
        <f>K427*G427</f>
        <v>0</v>
      </c>
      <c r="M427" s="212">
        <f t="shared" si="414"/>
        <v>9.7999999999999989</v>
      </c>
      <c r="N427" s="212">
        <f>M427*G427</f>
        <v>0</v>
      </c>
      <c r="O427" s="213">
        <f t="shared" si="415"/>
        <v>11.96</v>
      </c>
      <c r="P427" s="213">
        <f>O427*G427</f>
        <v>0</v>
      </c>
      <c r="Q427" s="3"/>
      <c r="R427" s="214">
        <f t="shared" ref="R427:R469" si="467">ROUND(AK427,0)</f>
        <v>957</v>
      </c>
      <c r="AK427" s="141">
        <f t="shared" ref="AK427:AK469" si="468">K427*$AK$11*(1-$AK$10)</f>
        <v>956.80000000000007</v>
      </c>
    </row>
    <row r="428" spans="1:37" outlineLevel="1">
      <c r="A428" s="147"/>
      <c r="B428" s="283"/>
      <c r="C428" s="282"/>
      <c r="D428" s="282"/>
      <c r="E428" s="217"/>
      <c r="F428" s="218"/>
      <c r="G428" s="211"/>
      <c r="H428" s="215"/>
      <c r="I428" s="215"/>
      <c r="J428" s="220"/>
      <c r="K428" s="220"/>
      <c r="L428" s="220"/>
      <c r="M428" s="220"/>
      <c r="N428" s="220"/>
      <c r="O428" s="221"/>
      <c r="P428" s="221"/>
      <c r="Q428" s="3"/>
      <c r="R428" s="222"/>
      <c r="AK428" s="141"/>
    </row>
    <row r="429" spans="1:37" outlineLevel="1">
      <c r="A429" s="147"/>
      <c r="B429" s="188" t="s">
        <v>30</v>
      </c>
      <c r="C429" s="190" t="s">
        <v>23</v>
      </c>
      <c r="D429" s="248">
        <v>14563581001</v>
      </c>
      <c r="E429" s="242">
        <v>14563583001</v>
      </c>
      <c r="F429" s="243" t="s">
        <v>369</v>
      </c>
      <c r="G429" s="211"/>
      <c r="H429" s="244" t="s">
        <v>65</v>
      </c>
      <c r="I429" s="244">
        <v>10</v>
      </c>
      <c r="J429" s="245">
        <v>10.91</v>
      </c>
      <c r="K429" s="212">
        <f t="shared" ref="K429:K438" si="469">ROUND((J429*$C$3),2)</f>
        <v>13.31</v>
      </c>
      <c r="L429" s="212">
        <f>K429*G429</f>
        <v>0</v>
      </c>
      <c r="M429" s="212">
        <f t="shared" ref="M429:M438" si="470">J429*(1-$E$5-$E$7)*(1-$E$9)*(1+$E$11)</f>
        <v>10.91</v>
      </c>
      <c r="N429" s="212">
        <f>M429*G429</f>
        <v>0</v>
      </c>
      <c r="O429" s="213">
        <f t="shared" ref="O429:O438" si="471">ROUND((M429*$C$3),2)</f>
        <v>13.31</v>
      </c>
      <c r="P429" s="213">
        <f>O429*G429</f>
        <v>0</v>
      </c>
      <c r="Q429" s="3"/>
      <c r="R429" s="222">
        <f t="shared" ref="R429:R438" si="472">ROUND(AK429,0)</f>
        <v>1065</v>
      </c>
      <c r="AK429" s="141">
        <f t="shared" ref="AK429:AK438" si="473">K429*$AK$11*(1-$AK$10)</f>
        <v>1064.8</v>
      </c>
    </row>
    <row r="430" spans="1:37" outlineLevel="1">
      <c r="A430" s="147"/>
      <c r="B430" s="188" t="s">
        <v>30</v>
      </c>
      <c r="C430" s="190" t="s">
        <v>23</v>
      </c>
      <c r="D430" s="248">
        <v>14563591001</v>
      </c>
      <c r="E430" s="242">
        <v>14563593001</v>
      </c>
      <c r="F430" s="243" t="s">
        <v>370</v>
      </c>
      <c r="G430" s="211"/>
      <c r="H430" s="244" t="s">
        <v>65</v>
      </c>
      <c r="I430" s="244">
        <v>10</v>
      </c>
      <c r="J430" s="245">
        <v>11.76</v>
      </c>
      <c r="K430" s="212">
        <f t="shared" si="469"/>
        <v>14.35</v>
      </c>
      <c r="L430" s="212">
        <f>K430*G430</f>
        <v>0</v>
      </c>
      <c r="M430" s="212">
        <f t="shared" si="470"/>
        <v>11.76</v>
      </c>
      <c r="N430" s="212">
        <f>M430*G430</f>
        <v>0</v>
      </c>
      <c r="O430" s="213">
        <f t="shared" si="471"/>
        <v>14.35</v>
      </c>
      <c r="P430" s="213">
        <f>O430*G430</f>
        <v>0</v>
      </c>
      <c r="Q430" s="3"/>
      <c r="R430" s="222">
        <f t="shared" si="472"/>
        <v>1148</v>
      </c>
      <c r="AK430" s="141">
        <f t="shared" si="473"/>
        <v>1148</v>
      </c>
    </row>
    <row r="431" spans="1:37" outlineLevel="1">
      <c r="A431" s="147"/>
      <c r="B431" s="188" t="s">
        <v>30</v>
      </c>
      <c r="C431" s="190" t="s">
        <v>23</v>
      </c>
      <c r="D431" s="248">
        <v>14563601001</v>
      </c>
      <c r="E431" s="242">
        <v>14563603001</v>
      </c>
      <c r="F431" s="243" t="s">
        <v>371</v>
      </c>
      <c r="G431" s="211"/>
      <c r="H431" s="244" t="s">
        <v>65</v>
      </c>
      <c r="I431" s="244">
        <v>10</v>
      </c>
      <c r="J431" s="245">
        <v>13.24</v>
      </c>
      <c r="K431" s="212">
        <f t="shared" si="469"/>
        <v>16.149999999999999</v>
      </c>
      <c r="L431" s="212">
        <f>K431*G431</f>
        <v>0</v>
      </c>
      <c r="M431" s="212">
        <f t="shared" si="470"/>
        <v>13.24</v>
      </c>
      <c r="N431" s="212">
        <f>M431*G431</f>
        <v>0</v>
      </c>
      <c r="O431" s="213">
        <f t="shared" si="471"/>
        <v>16.149999999999999</v>
      </c>
      <c r="P431" s="213">
        <f>O431*G431</f>
        <v>0</v>
      </c>
      <c r="Q431" s="3"/>
      <c r="R431" s="222">
        <f t="shared" si="472"/>
        <v>1292</v>
      </c>
      <c r="AK431" s="141">
        <f t="shared" si="473"/>
        <v>1292</v>
      </c>
    </row>
    <row r="432" spans="1:37" outlineLevel="1">
      <c r="A432" s="147"/>
      <c r="B432" s="188" t="s">
        <v>30</v>
      </c>
      <c r="C432" s="190" t="s">
        <v>23</v>
      </c>
      <c r="D432" s="248">
        <v>14563611001</v>
      </c>
      <c r="E432" s="242">
        <v>14563613001</v>
      </c>
      <c r="F432" s="243" t="s">
        <v>372</v>
      </c>
      <c r="G432" s="211"/>
      <c r="H432" s="244" t="s">
        <v>65</v>
      </c>
      <c r="I432" s="244">
        <v>10</v>
      </c>
      <c r="J432" s="245">
        <v>17.87</v>
      </c>
      <c r="K432" s="212">
        <f t="shared" si="469"/>
        <v>21.8</v>
      </c>
      <c r="L432" s="212">
        <f>K432*G432</f>
        <v>0</v>
      </c>
      <c r="M432" s="212">
        <f t="shared" si="470"/>
        <v>17.87</v>
      </c>
      <c r="N432" s="212">
        <f>M432*G432</f>
        <v>0</v>
      </c>
      <c r="O432" s="213">
        <f t="shared" si="471"/>
        <v>21.8</v>
      </c>
      <c r="P432" s="213">
        <f>O432*G432</f>
        <v>0</v>
      </c>
      <c r="Q432" s="3"/>
      <c r="R432" s="222">
        <f t="shared" si="472"/>
        <v>1744</v>
      </c>
      <c r="AK432" s="141">
        <f t="shared" si="473"/>
        <v>1744</v>
      </c>
    </row>
    <row r="433" spans="1:37" outlineLevel="1">
      <c r="A433" s="147"/>
      <c r="B433" s="188"/>
      <c r="C433" s="190"/>
      <c r="D433" s="217"/>
      <c r="E433" s="217"/>
      <c r="F433" s="218"/>
      <c r="G433" s="211"/>
      <c r="H433" s="215"/>
      <c r="I433" s="215"/>
      <c r="J433" s="220"/>
      <c r="K433" s="212"/>
      <c r="L433" s="212"/>
      <c r="M433" s="212"/>
      <c r="N433" s="212"/>
      <c r="O433" s="213"/>
      <c r="P433" s="213"/>
      <c r="Q433" s="3"/>
      <c r="R433" s="222"/>
      <c r="AK433" s="141"/>
    </row>
    <row r="434" spans="1:37" ht="26.45" outlineLevel="1">
      <c r="A434" s="147"/>
      <c r="B434" s="188" t="s">
        <v>30</v>
      </c>
      <c r="C434" s="190" t="s">
        <v>23</v>
      </c>
      <c r="D434" s="248">
        <v>14563621001</v>
      </c>
      <c r="E434" s="242">
        <v>14563623001</v>
      </c>
      <c r="F434" s="243" t="s">
        <v>373</v>
      </c>
      <c r="G434" s="211"/>
      <c r="H434" s="244" t="s">
        <v>65</v>
      </c>
      <c r="I434" s="244">
        <v>10</v>
      </c>
      <c r="J434" s="245">
        <v>12.96</v>
      </c>
      <c r="K434" s="212">
        <f t="shared" si="469"/>
        <v>15.81</v>
      </c>
      <c r="L434" s="212">
        <f>K434*G434</f>
        <v>0</v>
      </c>
      <c r="M434" s="212">
        <f t="shared" si="470"/>
        <v>12.96</v>
      </c>
      <c r="N434" s="212">
        <f>M434*G434</f>
        <v>0</v>
      </c>
      <c r="O434" s="213">
        <f t="shared" si="471"/>
        <v>15.81</v>
      </c>
      <c r="P434" s="213">
        <f>O434*G434</f>
        <v>0</v>
      </c>
      <c r="Q434" s="3"/>
      <c r="R434" s="222">
        <f t="shared" si="472"/>
        <v>1265</v>
      </c>
      <c r="AK434" s="141">
        <f t="shared" si="473"/>
        <v>1264.8000000000002</v>
      </c>
    </row>
    <row r="435" spans="1:37" ht="26.45" outlineLevel="1">
      <c r="A435" s="147"/>
      <c r="B435" s="188" t="s">
        <v>30</v>
      </c>
      <c r="C435" s="190" t="s">
        <v>23</v>
      </c>
      <c r="D435" s="248">
        <v>14563631001</v>
      </c>
      <c r="E435" s="242">
        <v>14563633001</v>
      </c>
      <c r="F435" s="243" t="s">
        <v>374</v>
      </c>
      <c r="G435" s="211"/>
      <c r="H435" s="244" t="s">
        <v>65</v>
      </c>
      <c r="I435" s="244">
        <v>10</v>
      </c>
      <c r="J435" s="245">
        <v>14.84</v>
      </c>
      <c r="K435" s="212">
        <f t="shared" si="469"/>
        <v>18.100000000000001</v>
      </c>
      <c r="L435" s="212">
        <f>K435*G435</f>
        <v>0</v>
      </c>
      <c r="M435" s="212">
        <f t="shared" si="470"/>
        <v>14.84</v>
      </c>
      <c r="N435" s="212">
        <f>M435*G435</f>
        <v>0</v>
      </c>
      <c r="O435" s="213">
        <f t="shared" si="471"/>
        <v>18.100000000000001</v>
      </c>
      <c r="P435" s="213">
        <f>O435*G435</f>
        <v>0</v>
      </c>
      <c r="Q435" s="3"/>
      <c r="R435" s="222">
        <f t="shared" si="472"/>
        <v>1448</v>
      </c>
      <c r="AK435" s="141">
        <f t="shared" si="473"/>
        <v>1448.0000000000002</v>
      </c>
    </row>
    <row r="436" spans="1:37" outlineLevel="1">
      <c r="A436" s="147"/>
      <c r="B436" s="188"/>
      <c r="C436" s="190"/>
      <c r="D436" s="248"/>
      <c r="E436" s="242"/>
      <c r="F436" s="243"/>
      <c r="G436" s="211"/>
      <c r="H436" s="244"/>
      <c r="I436" s="244"/>
      <c r="J436" s="245"/>
      <c r="K436" s="212"/>
      <c r="L436" s="212"/>
      <c r="M436" s="212"/>
      <c r="N436" s="212"/>
      <c r="O436" s="213"/>
      <c r="P436" s="213"/>
      <c r="Q436" s="3"/>
      <c r="R436" s="222"/>
      <c r="AK436" s="141"/>
    </row>
    <row r="437" spans="1:37" outlineLevel="1">
      <c r="A437" s="147"/>
      <c r="B437" s="188" t="s">
        <v>30</v>
      </c>
      <c r="C437" s="190" t="s">
        <v>23</v>
      </c>
      <c r="D437" s="248">
        <v>14563641001</v>
      </c>
      <c r="E437" s="242">
        <v>14563643001</v>
      </c>
      <c r="F437" s="243" t="s">
        <v>375</v>
      </c>
      <c r="G437" s="211"/>
      <c r="H437" s="244" t="s">
        <v>65</v>
      </c>
      <c r="I437" s="244">
        <v>10</v>
      </c>
      <c r="J437" s="245">
        <v>12.51</v>
      </c>
      <c r="K437" s="212">
        <f t="shared" si="469"/>
        <v>15.26</v>
      </c>
      <c r="L437" s="212">
        <f>K437*G437</f>
        <v>0</v>
      </c>
      <c r="M437" s="212">
        <f t="shared" si="470"/>
        <v>12.51</v>
      </c>
      <c r="N437" s="212">
        <f>M437*G437</f>
        <v>0</v>
      </c>
      <c r="O437" s="213">
        <f t="shared" si="471"/>
        <v>15.26</v>
      </c>
      <c r="P437" s="213">
        <f>O437*G437</f>
        <v>0</v>
      </c>
      <c r="Q437" s="3"/>
      <c r="R437" s="222">
        <f t="shared" si="472"/>
        <v>1221</v>
      </c>
      <c r="AK437" s="141">
        <f t="shared" si="473"/>
        <v>1220.8</v>
      </c>
    </row>
    <row r="438" spans="1:37" outlineLevel="1">
      <c r="A438" s="147"/>
      <c r="B438" s="188" t="s">
        <v>30</v>
      </c>
      <c r="C438" s="190" t="s">
        <v>23</v>
      </c>
      <c r="D438" s="248">
        <v>14563651001</v>
      </c>
      <c r="E438" s="242">
        <v>14563653001</v>
      </c>
      <c r="F438" s="243" t="s">
        <v>376</v>
      </c>
      <c r="G438" s="211"/>
      <c r="H438" s="244" t="s">
        <v>65</v>
      </c>
      <c r="I438" s="244">
        <v>10</v>
      </c>
      <c r="J438" s="245">
        <v>16.89</v>
      </c>
      <c r="K438" s="212">
        <f t="shared" si="469"/>
        <v>20.61</v>
      </c>
      <c r="L438" s="212">
        <f>K438*G438</f>
        <v>0</v>
      </c>
      <c r="M438" s="212">
        <f t="shared" si="470"/>
        <v>16.89</v>
      </c>
      <c r="N438" s="212">
        <f>M438*G438</f>
        <v>0</v>
      </c>
      <c r="O438" s="213">
        <f t="shared" si="471"/>
        <v>20.61</v>
      </c>
      <c r="P438" s="213">
        <f>O438*G438</f>
        <v>0</v>
      </c>
      <c r="Q438" s="3"/>
      <c r="R438" s="222">
        <f t="shared" si="472"/>
        <v>1649</v>
      </c>
      <c r="AK438" s="141">
        <f t="shared" si="473"/>
        <v>1648.8000000000002</v>
      </c>
    </row>
    <row r="439" spans="1:37" outlineLevel="1">
      <c r="A439" s="147"/>
      <c r="B439" s="283"/>
      <c r="C439" s="282"/>
      <c r="D439" s="282"/>
      <c r="E439" s="217"/>
      <c r="F439" s="218"/>
      <c r="G439" s="211"/>
      <c r="H439" s="215"/>
      <c r="I439" s="215"/>
      <c r="J439" s="220"/>
      <c r="K439" s="220"/>
      <c r="L439" s="220"/>
      <c r="M439" s="220"/>
      <c r="N439" s="220"/>
      <c r="O439" s="221"/>
      <c r="P439" s="221"/>
      <c r="Q439" s="3"/>
      <c r="R439" s="222"/>
      <c r="AK439" s="141"/>
    </row>
    <row r="440" spans="1:37" outlineLevel="1">
      <c r="A440" s="147"/>
      <c r="B440" s="240" t="s">
        <v>30</v>
      </c>
      <c r="C440" s="238" t="s">
        <v>23</v>
      </c>
      <c r="D440" s="238"/>
      <c r="E440" s="188">
        <v>11096631001</v>
      </c>
      <c r="F440" s="210" t="s">
        <v>377</v>
      </c>
      <c r="G440" s="211"/>
      <c r="H440" s="190" t="s">
        <v>65</v>
      </c>
      <c r="I440" s="190">
        <v>10</v>
      </c>
      <c r="J440" s="212">
        <v>6.38</v>
      </c>
      <c r="K440" s="212">
        <f t="shared" ref="K440:K443" si="474">ROUND((J440*$C$3),2)</f>
        <v>7.78</v>
      </c>
      <c r="L440" s="212">
        <f>K440*G440</f>
        <v>0</v>
      </c>
      <c r="M440" s="212">
        <f t="shared" ref="M440:M443" si="475">J440*(1-$E$5-$E$7)*(1-$E$9)*(1+$E$11)</f>
        <v>6.38</v>
      </c>
      <c r="N440" s="212">
        <f>M440*G440</f>
        <v>0</v>
      </c>
      <c r="O440" s="213">
        <f t="shared" ref="O440:O443" si="476">ROUND((M440*$C$3),2)</f>
        <v>7.78</v>
      </c>
      <c r="P440" s="213">
        <f>O440*G440</f>
        <v>0</v>
      </c>
      <c r="Q440" s="3"/>
      <c r="R440" s="222">
        <f t="shared" si="467"/>
        <v>622</v>
      </c>
      <c r="AK440" s="141">
        <f t="shared" si="468"/>
        <v>622.40000000000009</v>
      </c>
    </row>
    <row r="441" spans="1:37" outlineLevel="1">
      <c r="A441" s="147"/>
      <c r="B441" s="240" t="s">
        <v>30</v>
      </c>
      <c r="C441" s="238" t="s">
        <v>23</v>
      </c>
      <c r="D441" s="238"/>
      <c r="E441" s="188">
        <v>11096781001</v>
      </c>
      <c r="F441" s="210" t="s">
        <v>378</v>
      </c>
      <c r="G441" s="211"/>
      <c r="H441" s="190" t="s">
        <v>65</v>
      </c>
      <c r="I441" s="190">
        <v>10</v>
      </c>
      <c r="J441" s="212">
        <v>7.49</v>
      </c>
      <c r="K441" s="212">
        <f t="shared" si="474"/>
        <v>9.14</v>
      </c>
      <c r="L441" s="212">
        <f>K441*G441</f>
        <v>0</v>
      </c>
      <c r="M441" s="212">
        <f t="shared" si="475"/>
        <v>7.49</v>
      </c>
      <c r="N441" s="212">
        <f>M441*G441</f>
        <v>0</v>
      </c>
      <c r="O441" s="213">
        <f t="shared" si="476"/>
        <v>9.14</v>
      </c>
      <c r="P441" s="213">
        <f>O441*G441</f>
        <v>0</v>
      </c>
      <c r="Q441" s="3"/>
      <c r="R441" s="222">
        <f t="shared" si="467"/>
        <v>731</v>
      </c>
      <c r="AK441" s="141">
        <f t="shared" si="468"/>
        <v>731.2</v>
      </c>
    </row>
    <row r="442" spans="1:37" outlineLevel="1">
      <c r="A442" s="147"/>
      <c r="B442" s="240" t="s">
        <v>30</v>
      </c>
      <c r="C442" s="238" t="s">
        <v>23</v>
      </c>
      <c r="D442" s="238"/>
      <c r="E442" s="188">
        <v>11097071001</v>
      </c>
      <c r="F442" s="210" t="s">
        <v>379</v>
      </c>
      <c r="G442" s="211"/>
      <c r="H442" s="190" t="s">
        <v>65</v>
      </c>
      <c r="I442" s="190">
        <v>10</v>
      </c>
      <c r="J442" s="212">
        <v>8.43</v>
      </c>
      <c r="K442" s="212">
        <f t="shared" si="474"/>
        <v>10.28</v>
      </c>
      <c r="L442" s="212">
        <f>K442*G442</f>
        <v>0</v>
      </c>
      <c r="M442" s="212">
        <f t="shared" si="475"/>
        <v>8.43</v>
      </c>
      <c r="N442" s="212">
        <f>M442*G442</f>
        <v>0</v>
      </c>
      <c r="O442" s="213">
        <f t="shared" si="476"/>
        <v>10.28</v>
      </c>
      <c r="P442" s="213">
        <f>O442*G442</f>
        <v>0</v>
      </c>
      <c r="Q442" s="3"/>
      <c r="R442" s="222">
        <f t="shared" si="467"/>
        <v>822</v>
      </c>
      <c r="AK442" s="141">
        <f t="shared" si="468"/>
        <v>822.40000000000009</v>
      </c>
    </row>
    <row r="443" spans="1:37" outlineLevel="1">
      <c r="A443" s="147"/>
      <c r="B443" s="240" t="s">
        <v>30</v>
      </c>
      <c r="C443" s="238" t="s">
        <v>23</v>
      </c>
      <c r="D443" s="238"/>
      <c r="E443" s="256">
        <v>11093611001</v>
      </c>
      <c r="F443" s="243" t="s">
        <v>380</v>
      </c>
      <c r="G443" s="211"/>
      <c r="H443" s="190" t="s">
        <v>65</v>
      </c>
      <c r="I443" s="190">
        <v>10</v>
      </c>
      <c r="J443" s="212">
        <v>11.38</v>
      </c>
      <c r="K443" s="212">
        <f t="shared" si="474"/>
        <v>13.88</v>
      </c>
      <c r="L443" s="212">
        <f>K443*G443</f>
        <v>0</v>
      </c>
      <c r="M443" s="212">
        <f t="shared" si="475"/>
        <v>11.38</v>
      </c>
      <c r="N443" s="212">
        <f>M443*G443</f>
        <v>0</v>
      </c>
      <c r="O443" s="213">
        <f t="shared" si="476"/>
        <v>13.88</v>
      </c>
      <c r="P443" s="213">
        <f>O443*G443</f>
        <v>0</v>
      </c>
      <c r="Q443" s="3"/>
      <c r="R443" s="222">
        <f t="shared" si="467"/>
        <v>1110</v>
      </c>
      <c r="AK443" s="141">
        <f t="shared" si="468"/>
        <v>1110.4000000000001</v>
      </c>
    </row>
    <row r="444" spans="1:37" outlineLevel="1">
      <c r="A444" s="147"/>
      <c r="B444" s="281"/>
      <c r="C444" s="282"/>
      <c r="D444" s="282"/>
      <c r="E444" s="217"/>
      <c r="F444" s="218"/>
      <c r="G444" s="211"/>
      <c r="H444" s="215"/>
      <c r="I444" s="215"/>
      <c r="J444" s="220"/>
      <c r="K444" s="220"/>
      <c r="L444" s="220"/>
      <c r="M444" s="220"/>
      <c r="N444" s="220"/>
      <c r="O444" s="221"/>
      <c r="P444" s="221"/>
      <c r="Q444" s="3"/>
      <c r="R444" s="222"/>
      <c r="AK444" s="141"/>
    </row>
    <row r="445" spans="1:37" outlineLevel="1">
      <c r="A445" s="147"/>
      <c r="B445" s="240" t="s">
        <v>30</v>
      </c>
      <c r="C445" s="238" t="s">
        <v>23</v>
      </c>
      <c r="D445" s="238"/>
      <c r="E445" s="188">
        <v>11096761001</v>
      </c>
      <c r="F445" s="210" t="s">
        <v>381</v>
      </c>
      <c r="G445" s="211"/>
      <c r="H445" s="190" t="s">
        <v>65</v>
      </c>
      <c r="I445" s="190">
        <v>10</v>
      </c>
      <c r="J445" s="212">
        <v>8.84</v>
      </c>
      <c r="K445" s="212">
        <f t="shared" ref="K445:K446" si="477">ROUND((J445*$C$3),2)</f>
        <v>10.78</v>
      </c>
      <c r="L445" s="212">
        <f>K445*G445</f>
        <v>0</v>
      </c>
      <c r="M445" s="212">
        <f t="shared" ref="M445:M446" si="478">J445*(1-$E$5-$E$7)*(1-$E$9)*(1+$E$11)</f>
        <v>8.84</v>
      </c>
      <c r="N445" s="212">
        <f>M445*G445</f>
        <v>0</v>
      </c>
      <c r="O445" s="213">
        <f t="shared" ref="O445:O446" si="479">ROUND((M445*$C$3),2)</f>
        <v>10.78</v>
      </c>
      <c r="P445" s="213">
        <f>O445*G445</f>
        <v>0</v>
      </c>
      <c r="Q445" s="3"/>
      <c r="R445" s="222">
        <f t="shared" si="467"/>
        <v>862</v>
      </c>
      <c r="AK445" s="141">
        <f t="shared" si="468"/>
        <v>862.40000000000009</v>
      </c>
    </row>
    <row r="446" spans="1:37" outlineLevel="1">
      <c r="A446" s="147"/>
      <c r="B446" s="240" t="s">
        <v>30</v>
      </c>
      <c r="C446" s="238" t="s">
        <v>23</v>
      </c>
      <c r="D446" s="238"/>
      <c r="E446" s="188">
        <v>11096881001</v>
      </c>
      <c r="F446" s="210" t="s">
        <v>382</v>
      </c>
      <c r="G446" s="211"/>
      <c r="H446" s="190" t="s">
        <v>65</v>
      </c>
      <c r="I446" s="190">
        <v>10</v>
      </c>
      <c r="J446" s="212">
        <v>9.81</v>
      </c>
      <c r="K446" s="212">
        <f t="shared" si="477"/>
        <v>11.97</v>
      </c>
      <c r="L446" s="212">
        <f>K446*G446</f>
        <v>0</v>
      </c>
      <c r="M446" s="212">
        <f t="shared" si="478"/>
        <v>9.81</v>
      </c>
      <c r="N446" s="212">
        <f>M446*G446</f>
        <v>0</v>
      </c>
      <c r="O446" s="213">
        <f t="shared" si="479"/>
        <v>11.97</v>
      </c>
      <c r="P446" s="213">
        <f>O446*G446</f>
        <v>0</v>
      </c>
      <c r="Q446" s="3"/>
      <c r="R446" s="222">
        <f t="shared" si="467"/>
        <v>958</v>
      </c>
      <c r="AK446" s="141">
        <f t="shared" si="468"/>
        <v>957.6</v>
      </c>
    </row>
    <row r="447" spans="1:37" outlineLevel="1">
      <c r="A447" s="147"/>
      <c r="B447" s="283"/>
      <c r="C447" s="282"/>
      <c r="D447" s="282"/>
      <c r="E447" s="217"/>
      <c r="F447" s="218"/>
      <c r="G447" s="211"/>
      <c r="H447" s="215"/>
      <c r="I447" s="215"/>
      <c r="J447" s="220"/>
      <c r="K447" s="220"/>
      <c r="L447" s="220"/>
      <c r="M447" s="220"/>
      <c r="N447" s="220"/>
      <c r="O447" s="221"/>
      <c r="P447" s="221"/>
      <c r="Q447" s="3"/>
      <c r="R447" s="222"/>
      <c r="AK447" s="141"/>
    </row>
    <row r="448" spans="1:37" outlineLevel="1">
      <c r="A448" s="147"/>
      <c r="B448" s="240" t="s">
        <v>30</v>
      </c>
      <c r="C448" s="238" t="s">
        <v>23</v>
      </c>
      <c r="D448" s="238"/>
      <c r="E448" s="188">
        <v>11097211001</v>
      </c>
      <c r="F448" s="210" t="s">
        <v>383</v>
      </c>
      <c r="G448" s="211"/>
      <c r="H448" s="190" t="s">
        <v>65</v>
      </c>
      <c r="I448" s="190">
        <v>10</v>
      </c>
      <c r="J448" s="212">
        <v>7.97</v>
      </c>
      <c r="K448" s="212">
        <f t="shared" ref="K448" si="480">ROUND((J448*$C$3),2)</f>
        <v>9.7200000000000006</v>
      </c>
      <c r="L448" s="212">
        <f>K448*G448</f>
        <v>0</v>
      </c>
      <c r="M448" s="212">
        <f t="shared" ref="M448" si="481">J448*(1-$E$5-$E$7)*(1-$E$9)*(1+$E$11)</f>
        <v>7.97</v>
      </c>
      <c r="N448" s="212">
        <f>M448*G448</f>
        <v>0</v>
      </c>
      <c r="O448" s="213">
        <f t="shared" ref="O448" si="482">ROUND((M448*$C$3),2)</f>
        <v>9.7200000000000006</v>
      </c>
      <c r="P448" s="213">
        <f>O448*G448</f>
        <v>0</v>
      </c>
      <c r="Q448" s="3"/>
      <c r="R448" s="222">
        <f t="shared" si="467"/>
        <v>778</v>
      </c>
      <c r="AK448" s="141">
        <f t="shared" si="468"/>
        <v>777.60000000000014</v>
      </c>
    </row>
    <row r="449" spans="1:37" outlineLevel="1">
      <c r="A449" s="147"/>
      <c r="B449" s="240" t="s">
        <v>30</v>
      </c>
      <c r="C449" s="238" t="s">
        <v>23</v>
      </c>
      <c r="D449" s="238"/>
      <c r="E449" s="256">
        <v>11093651001</v>
      </c>
      <c r="F449" s="243" t="s">
        <v>384</v>
      </c>
      <c r="G449" s="211"/>
      <c r="H449" s="190" t="s">
        <v>65</v>
      </c>
      <c r="I449" s="190">
        <v>10</v>
      </c>
      <c r="J449" s="212">
        <v>11.38</v>
      </c>
      <c r="K449" s="212">
        <f t="shared" ref="K449" si="483">ROUND((J449*$C$3),2)</f>
        <v>13.88</v>
      </c>
      <c r="L449" s="212">
        <f>K449*G449</f>
        <v>0</v>
      </c>
      <c r="M449" s="212">
        <f t="shared" ref="M449" si="484">J449*(1-$E$5-$E$7)*(1-$E$9)*(1+$E$11)</f>
        <v>11.38</v>
      </c>
      <c r="N449" s="212">
        <f>M449*G449</f>
        <v>0</v>
      </c>
      <c r="O449" s="213">
        <f t="shared" ref="O449" si="485">ROUND((M449*$C$3),2)</f>
        <v>13.88</v>
      </c>
      <c r="P449" s="213">
        <f>O449*G449</f>
        <v>0</v>
      </c>
      <c r="Q449" s="3"/>
      <c r="R449" s="222">
        <f t="shared" ref="R449" si="486">ROUND(AK449,0)</f>
        <v>1110</v>
      </c>
      <c r="AK449" s="141">
        <f t="shared" ref="AK449" si="487">K449*$AK$11*(1-$AK$10)</f>
        <v>1110.4000000000001</v>
      </c>
    </row>
    <row r="450" spans="1:37" outlineLevel="1">
      <c r="A450" s="147"/>
      <c r="B450" s="283"/>
      <c r="C450" s="282"/>
      <c r="D450" s="282"/>
      <c r="E450" s="217"/>
      <c r="F450" s="218"/>
      <c r="G450" s="211"/>
      <c r="H450" s="215"/>
      <c r="I450" s="215"/>
      <c r="J450" s="220"/>
      <c r="K450" s="220"/>
      <c r="L450" s="220"/>
      <c r="M450" s="220"/>
      <c r="N450" s="220"/>
      <c r="O450" s="221"/>
      <c r="P450" s="221"/>
      <c r="Q450" s="3"/>
      <c r="R450" s="222"/>
      <c r="AK450" s="141"/>
    </row>
    <row r="451" spans="1:37" ht="30.6" outlineLevel="1">
      <c r="A451" s="148" t="s">
        <v>25</v>
      </c>
      <c r="B451" s="208" t="s">
        <v>26</v>
      </c>
      <c r="C451" s="238" t="s">
        <v>23</v>
      </c>
      <c r="D451" s="238">
        <v>13661001008</v>
      </c>
      <c r="E451" s="188">
        <v>14563591001</v>
      </c>
      <c r="F451" s="210" t="s">
        <v>385</v>
      </c>
      <c r="G451" s="211"/>
      <c r="H451" s="190" t="s">
        <v>65</v>
      </c>
      <c r="I451" s="190">
        <v>10</v>
      </c>
      <c r="J451" s="212">
        <v>12.89</v>
      </c>
      <c r="K451" s="212">
        <f t="shared" si="413"/>
        <v>15.73</v>
      </c>
      <c r="L451" s="212">
        <f>K451*G451</f>
        <v>0</v>
      </c>
      <c r="M451" s="212">
        <f t="shared" si="414"/>
        <v>12.89</v>
      </c>
      <c r="N451" s="212">
        <f>M451*G451</f>
        <v>0</v>
      </c>
      <c r="O451" s="213">
        <f t="shared" si="415"/>
        <v>15.73</v>
      </c>
      <c r="P451" s="213">
        <f>O451*G451</f>
        <v>0</v>
      </c>
      <c r="Q451" s="3"/>
      <c r="R451" s="214">
        <f t="shared" si="467"/>
        <v>1258</v>
      </c>
      <c r="AK451" s="141">
        <f t="shared" si="468"/>
        <v>1258.4000000000001</v>
      </c>
    </row>
    <row r="452" spans="1:37" outlineLevel="1">
      <c r="A452" s="147"/>
      <c r="B452" s="281"/>
      <c r="C452" s="282"/>
      <c r="D452" s="282"/>
      <c r="E452" s="217"/>
      <c r="F452" s="218"/>
      <c r="G452" s="211"/>
      <c r="H452" s="215"/>
      <c r="I452" s="215"/>
      <c r="J452" s="220"/>
      <c r="K452" s="220"/>
      <c r="L452" s="220"/>
      <c r="M452" s="220"/>
      <c r="N452" s="220"/>
      <c r="O452" s="221"/>
      <c r="P452" s="221"/>
      <c r="Q452" s="3"/>
      <c r="R452" s="222"/>
      <c r="AK452" s="141"/>
    </row>
    <row r="453" spans="1:37" ht="30.6" outlineLevel="1">
      <c r="A453" s="148" t="s">
        <v>25</v>
      </c>
      <c r="B453" s="208" t="s">
        <v>26</v>
      </c>
      <c r="C453" s="238" t="s">
        <v>23</v>
      </c>
      <c r="D453" s="238">
        <v>13661081008</v>
      </c>
      <c r="E453" s="188">
        <v>14563651001</v>
      </c>
      <c r="F453" s="210" t="s">
        <v>386</v>
      </c>
      <c r="G453" s="211"/>
      <c r="H453" s="190" t="s">
        <v>65</v>
      </c>
      <c r="I453" s="190">
        <v>10</v>
      </c>
      <c r="J453" s="212">
        <v>12.87</v>
      </c>
      <c r="K453" s="212">
        <f t="shared" si="413"/>
        <v>15.7</v>
      </c>
      <c r="L453" s="212">
        <f>K453*G453</f>
        <v>0</v>
      </c>
      <c r="M453" s="212">
        <f t="shared" si="414"/>
        <v>12.87</v>
      </c>
      <c r="N453" s="212">
        <f>M453*G453</f>
        <v>0</v>
      </c>
      <c r="O453" s="213">
        <f t="shared" si="415"/>
        <v>15.7</v>
      </c>
      <c r="P453" s="213">
        <f>O453*G453</f>
        <v>0</v>
      </c>
      <c r="Q453" s="3"/>
      <c r="R453" s="214">
        <f t="shared" si="467"/>
        <v>1256</v>
      </c>
      <c r="AK453" s="141">
        <f t="shared" si="468"/>
        <v>1256</v>
      </c>
    </row>
    <row r="454" spans="1:37" outlineLevel="1">
      <c r="A454" s="147"/>
      <c r="B454" s="281"/>
      <c r="C454" s="282"/>
      <c r="D454" s="282"/>
      <c r="E454" s="217"/>
      <c r="F454" s="218"/>
      <c r="G454" s="211"/>
      <c r="H454" s="215"/>
      <c r="I454" s="215"/>
      <c r="J454" s="220"/>
      <c r="K454" s="220"/>
      <c r="L454" s="220"/>
      <c r="M454" s="220"/>
      <c r="N454" s="220"/>
      <c r="O454" s="221"/>
      <c r="P454" s="221"/>
      <c r="Q454" s="3"/>
      <c r="R454" s="222"/>
      <c r="AK454" s="141"/>
    </row>
    <row r="455" spans="1:37" ht="26.45" outlineLevel="1">
      <c r="A455" s="147"/>
      <c r="B455" s="188" t="s">
        <v>30</v>
      </c>
      <c r="C455" s="190" t="s">
        <v>23</v>
      </c>
      <c r="D455" s="248">
        <v>14563711001</v>
      </c>
      <c r="E455" s="242">
        <v>14563713001</v>
      </c>
      <c r="F455" s="243" t="s">
        <v>387</v>
      </c>
      <c r="G455" s="211"/>
      <c r="H455" s="244" t="s">
        <v>65</v>
      </c>
      <c r="I455" s="244">
        <v>5</v>
      </c>
      <c r="J455" s="245">
        <v>23.27</v>
      </c>
      <c r="K455" s="212">
        <f t="shared" ref="K455" si="488">ROUND((J455*$C$3),2)</f>
        <v>28.39</v>
      </c>
      <c r="L455" s="212">
        <f>K455*G455</f>
        <v>0</v>
      </c>
      <c r="M455" s="212">
        <f t="shared" ref="M455" si="489">J455*(1-$E$5-$E$7)*(1-$E$9)*(1+$E$11)</f>
        <v>23.27</v>
      </c>
      <c r="N455" s="212">
        <f>M455*G455</f>
        <v>0</v>
      </c>
      <c r="O455" s="213">
        <f t="shared" ref="O455" si="490">ROUND((M455*$C$3),2)</f>
        <v>28.39</v>
      </c>
      <c r="P455" s="213">
        <f>O455*G455</f>
        <v>0</v>
      </c>
      <c r="Q455" s="3"/>
      <c r="R455" s="222">
        <f t="shared" ref="R455" si="491">ROUND(AK455,0)</f>
        <v>2271</v>
      </c>
      <c r="AK455" s="141">
        <f t="shared" ref="AK455" si="492">K455*$AK$11*(1-$AK$10)</f>
        <v>2271.2000000000003</v>
      </c>
    </row>
    <row r="456" spans="1:37" outlineLevel="1">
      <c r="A456" s="147"/>
      <c r="B456" s="281"/>
      <c r="C456" s="282"/>
      <c r="D456" s="282"/>
      <c r="E456" s="217"/>
      <c r="F456" s="218"/>
      <c r="G456" s="211"/>
      <c r="H456" s="215"/>
      <c r="I456" s="215"/>
      <c r="J456" s="220"/>
      <c r="K456" s="220"/>
      <c r="L456" s="220"/>
      <c r="M456" s="220"/>
      <c r="N456" s="220"/>
      <c r="O456" s="221"/>
      <c r="P456" s="221"/>
      <c r="Q456" s="3"/>
      <c r="R456" s="222"/>
      <c r="AK456" s="141"/>
    </row>
    <row r="457" spans="1:37" ht="26.45" outlineLevel="1">
      <c r="A457" s="147"/>
      <c r="B457" s="240" t="s">
        <v>30</v>
      </c>
      <c r="C457" s="238" t="s">
        <v>23</v>
      </c>
      <c r="D457" s="282"/>
      <c r="E457" s="188">
        <v>11093711001</v>
      </c>
      <c r="F457" s="210" t="s">
        <v>388</v>
      </c>
      <c r="G457" s="211"/>
      <c r="H457" s="190" t="s">
        <v>65</v>
      </c>
      <c r="I457" s="190">
        <v>5</v>
      </c>
      <c r="J457" s="212">
        <v>14.82</v>
      </c>
      <c r="K457" s="212">
        <f t="shared" ref="K457" si="493">ROUND((J457*$C$3),2)</f>
        <v>18.079999999999998</v>
      </c>
      <c r="L457" s="212">
        <f>K457*G457</f>
        <v>0</v>
      </c>
      <c r="M457" s="212">
        <f t="shared" ref="M457" si="494">J457*(1-$E$5-$E$7)*(1-$E$9)*(1+$E$11)</f>
        <v>14.82</v>
      </c>
      <c r="N457" s="212">
        <f>M457*G457</f>
        <v>0</v>
      </c>
      <c r="O457" s="213">
        <f t="shared" ref="O457" si="495">ROUND((M457*$C$3),2)</f>
        <v>18.079999999999998</v>
      </c>
      <c r="P457" s="213">
        <f>O457*G457</f>
        <v>0</v>
      </c>
      <c r="Q457" s="3"/>
      <c r="R457" s="222">
        <f t="shared" ref="R457" si="496">ROUND(AK457,0)</f>
        <v>1446</v>
      </c>
      <c r="AK457" s="141">
        <f t="shared" ref="AK457" si="497">K457*$AK$11*(1-$AK$10)</f>
        <v>1446.3999999999999</v>
      </c>
    </row>
    <row r="458" spans="1:37" outlineLevel="1">
      <c r="A458" s="147"/>
      <c r="B458" s="281"/>
      <c r="C458" s="282"/>
      <c r="D458" s="282"/>
      <c r="E458" s="217"/>
      <c r="F458" s="218"/>
      <c r="G458" s="211"/>
      <c r="H458" s="215"/>
      <c r="I458" s="215"/>
      <c r="J458" s="220"/>
      <c r="K458" s="220"/>
      <c r="L458" s="220"/>
      <c r="M458" s="220"/>
      <c r="N458" s="220"/>
      <c r="O458" s="221"/>
      <c r="P458" s="221"/>
      <c r="Q458" s="3"/>
      <c r="R458" s="222"/>
      <c r="AK458" s="141"/>
    </row>
    <row r="459" spans="1:37" s="73" customFormat="1" ht="30.6" outlineLevel="1">
      <c r="A459" s="148" t="s">
        <v>25</v>
      </c>
      <c r="B459" s="208" t="s">
        <v>26</v>
      </c>
      <c r="C459" s="238" t="s">
        <v>23</v>
      </c>
      <c r="D459" s="238">
        <v>13661101001</v>
      </c>
      <c r="E459" s="188">
        <v>14563671001</v>
      </c>
      <c r="F459" s="210" t="s">
        <v>389</v>
      </c>
      <c r="G459" s="211"/>
      <c r="H459" s="190" t="s">
        <v>65</v>
      </c>
      <c r="I459" s="190">
        <v>10</v>
      </c>
      <c r="J459" s="212">
        <v>8.91</v>
      </c>
      <c r="K459" s="212">
        <f t="shared" si="413"/>
        <v>10.87</v>
      </c>
      <c r="L459" s="212">
        <f>K459*G459</f>
        <v>0</v>
      </c>
      <c r="M459" s="212">
        <f t="shared" si="414"/>
        <v>8.91</v>
      </c>
      <c r="N459" s="212">
        <f>M459*G459</f>
        <v>0</v>
      </c>
      <c r="O459" s="213">
        <f t="shared" si="415"/>
        <v>10.87</v>
      </c>
      <c r="P459" s="213">
        <f>O459*G459</f>
        <v>0</v>
      </c>
      <c r="Q459" s="3"/>
      <c r="R459" s="214">
        <f t="shared" si="467"/>
        <v>870</v>
      </c>
      <c r="AK459" s="141">
        <f t="shared" si="468"/>
        <v>869.6</v>
      </c>
    </row>
    <row r="460" spans="1:37" outlineLevel="1">
      <c r="A460" s="147"/>
      <c r="B460" s="240"/>
      <c r="C460" s="238"/>
      <c r="D460" s="238"/>
      <c r="E460" s="188"/>
      <c r="F460" s="210"/>
      <c r="G460" s="211"/>
      <c r="H460" s="190"/>
      <c r="I460" s="190"/>
      <c r="J460" s="212"/>
      <c r="K460" s="212"/>
      <c r="L460" s="212"/>
      <c r="M460" s="212"/>
      <c r="N460" s="212"/>
      <c r="O460" s="213"/>
      <c r="P460" s="213"/>
      <c r="Q460" s="3"/>
      <c r="R460" s="222"/>
      <c r="AK460" s="141"/>
    </row>
    <row r="461" spans="1:37" outlineLevel="1">
      <c r="A461" s="147"/>
      <c r="B461" s="240" t="s">
        <v>30</v>
      </c>
      <c r="C461" s="238" t="s">
        <v>23</v>
      </c>
      <c r="D461" s="248">
        <v>14563741001</v>
      </c>
      <c r="E461" s="242">
        <v>14563743001</v>
      </c>
      <c r="F461" s="243" t="s">
        <v>390</v>
      </c>
      <c r="G461" s="211"/>
      <c r="H461" s="244" t="s">
        <v>65</v>
      </c>
      <c r="I461" s="244">
        <v>10</v>
      </c>
      <c r="J461" s="245">
        <v>35.81</v>
      </c>
      <c r="K461" s="212">
        <f t="shared" ref="K461:K462" si="498">ROUND((J461*$C$3),2)</f>
        <v>43.69</v>
      </c>
      <c r="L461" s="212">
        <f>K461*G461</f>
        <v>0</v>
      </c>
      <c r="M461" s="212">
        <f t="shared" ref="M461:M462" si="499">J461*(1-$E$5-$E$7)*(1-$E$9)*(1+$E$11)</f>
        <v>35.81</v>
      </c>
      <c r="N461" s="212">
        <f>M461*G461</f>
        <v>0</v>
      </c>
      <c r="O461" s="213">
        <f t="shared" ref="O461:O462" si="500">ROUND((M461*$C$3),2)</f>
        <v>43.69</v>
      </c>
      <c r="P461" s="213">
        <f>O461*G461</f>
        <v>0</v>
      </c>
      <c r="Q461" s="3"/>
      <c r="R461" s="222">
        <f t="shared" ref="R461:R462" si="501">ROUND(AK461,0)</f>
        <v>3495</v>
      </c>
      <c r="AK461" s="141">
        <f t="shared" ref="AK461:AK462" si="502">K461*$AK$11*(1-$AK$10)</f>
        <v>3495.2000000000003</v>
      </c>
    </row>
    <row r="462" spans="1:37" outlineLevel="1">
      <c r="A462" s="147"/>
      <c r="B462" s="240" t="s">
        <v>30</v>
      </c>
      <c r="C462" s="238" t="s">
        <v>23</v>
      </c>
      <c r="D462" s="248">
        <v>14563751001</v>
      </c>
      <c r="E462" s="242">
        <v>14563753001</v>
      </c>
      <c r="F462" s="243" t="s">
        <v>391</v>
      </c>
      <c r="G462" s="211"/>
      <c r="H462" s="244" t="s">
        <v>65</v>
      </c>
      <c r="I462" s="244">
        <v>10</v>
      </c>
      <c r="J462" s="245">
        <v>37.15</v>
      </c>
      <c r="K462" s="212">
        <f t="shared" si="498"/>
        <v>45.32</v>
      </c>
      <c r="L462" s="212">
        <f>K462*G462</f>
        <v>0</v>
      </c>
      <c r="M462" s="212">
        <f t="shared" si="499"/>
        <v>37.15</v>
      </c>
      <c r="N462" s="212">
        <f>M462*G462</f>
        <v>0</v>
      </c>
      <c r="O462" s="213">
        <f t="shared" si="500"/>
        <v>45.32</v>
      </c>
      <c r="P462" s="213">
        <f>O462*G462</f>
        <v>0</v>
      </c>
      <c r="Q462" s="3"/>
      <c r="R462" s="222">
        <f t="shared" si="501"/>
        <v>3626</v>
      </c>
      <c r="AK462" s="141">
        <f t="shared" si="502"/>
        <v>3625.6000000000004</v>
      </c>
    </row>
    <row r="463" spans="1:37" outlineLevel="1">
      <c r="A463" s="147"/>
      <c r="B463" s="240"/>
      <c r="C463" s="238"/>
      <c r="D463" s="238"/>
      <c r="E463" s="188"/>
      <c r="F463" s="210"/>
      <c r="G463" s="211"/>
      <c r="H463" s="190"/>
      <c r="I463" s="190"/>
      <c r="J463" s="212"/>
      <c r="K463" s="212"/>
      <c r="L463" s="212"/>
      <c r="M463" s="212"/>
      <c r="N463" s="212"/>
      <c r="O463" s="213"/>
      <c r="P463" s="213"/>
      <c r="Q463" s="3"/>
      <c r="R463" s="222"/>
      <c r="AK463" s="141"/>
    </row>
    <row r="464" spans="1:37" outlineLevel="1">
      <c r="A464" s="147"/>
      <c r="B464" s="240" t="s">
        <v>30</v>
      </c>
      <c r="C464" s="238" t="s">
        <v>23</v>
      </c>
      <c r="D464" s="238"/>
      <c r="E464" s="188">
        <v>11093741001</v>
      </c>
      <c r="F464" s="210" t="s">
        <v>392</v>
      </c>
      <c r="G464" s="211"/>
      <c r="H464" s="190" t="s">
        <v>65</v>
      </c>
      <c r="I464" s="190">
        <v>10</v>
      </c>
      <c r="J464" s="212">
        <v>29.84</v>
      </c>
      <c r="K464" s="212">
        <f t="shared" ref="K464" si="503">ROUND((J464*$C$3),2)</f>
        <v>36.4</v>
      </c>
      <c r="L464" s="212">
        <f>K464*G464</f>
        <v>0</v>
      </c>
      <c r="M464" s="212">
        <f t="shared" ref="M464" si="504">J464*(1-$E$5-$E$7)*(1-$E$9)*(1+$E$11)</f>
        <v>29.84</v>
      </c>
      <c r="N464" s="212">
        <f>M464*G464</f>
        <v>0</v>
      </c>
      <c r="O464" s="213">
        <f t="shared" ref="O464" si="505">ROUND((M464*$C$3),2)</f>
        <v>36.4</v>
      </c>
      <c r="P464" s="213">
        <f>O464*G464</f>
        <v>0</v>
      </c>
      <c r="Q464" s="3"/>
      <c r="R464" s="222">
        <f t="shared" ref="R464" si="506">ROUND(AK464,0)</f>
        <v>2912</v>
      </c>
      <c r="AK464" s="141">
        <f t="shared" ref="AK464" si="507">K464*$AK$11*(1-$AK$10)</f>
        <v>2912</v>
      </c>
    </row>
    <row r="465" spans="1:37" outlineLevel="1">
      <c r="A465" s="147"/>
      <c r="B465" s="240" t="s">
        <v>30</v>
      </c>
      <c r="C465" s="238" t="s">
        <v>23</v>
      </c>
      <c r="D465" s="238"/>
      <c r="E465" s="256">
        <v>11093751001</v>
      </c>
      <c r="F465" s="243" t="s">
        <v>393</v>
      </c>
      <c r="G465" s="211"/>
      <c r="H465" s="190" t="s">
        <v>65</v>
      </c>
      <c r="I465" s="190">
        <v>10</v>
      </c>
      <c r="J465" s="212">
        <v>30.96</v>
      </c>
      <c r="K465" s="212">
        <f t="shared" ref="K465" si="508">ROUND((J465*$C$3),2)</f>
        <v>37.770000000000003</v>
      </c>
      <c r="L465" s="212">
        <f>K465*G465</f>
        <v>0</v>
      </c>
      <c r="M465" s="212">
        <f t="shared" ref="M465" si="509">J465*(1-$E$5-$E$7)*(1-$E$9)*(1+$E$11)</f>
        <v>30.96</v>
      </c>
      <c r="N465" s="212">
        <f>M465*G465</f>
        <v>0</v>
      </c>
      <c r="O465" s="213">
        <f t="shared" ref="O465" si="510">ROUND((M465*$C$3),2)</f>
        <v>37.770000000000003</v>
      </c>
      <c r="P465" s="213">
        <f>O465*G465</f>
        <v>0</v>
      </c>
      <c r="Q465" s="3"/>
      <c r="R465" s="222">
        <f t="shared" ref="R465" si="511">ROUND(AK465,0)</f>
        <v>3022</v>
      </c>
      <c r="AK465" s="141">
        <f t="shared" ref="AK465" si="512">K465*$AK$11*(1-$AK$10)</f>
        <v>3021.6000000000004</v>
      </c>
    </row>
    <row r="466" spans="1:37" outlineLevel="1">
      <c r="A466" s="147"/>
      <c r="B466" s="240"/>
      <c r="C466" s="238"/>
      <c r="D466" s="238"/>
      <c r="E466" s="188"/>
      <c r="F466" s="210"/>
      <c r="G466" s="211"/>
      <c r="H466" s="190"/>
      <c r="I466" s="190"/>
      <c r="J466" s="212"/>
      <c r="K466" s="212"/>
      <c r="L466" s="212"/>
      <c r="M466" s="212"/>
      <c r="N466" s="212"/>
      <c r="O466" s="213"/>
      <c r="P466" s="213"/>
      <c r="Q466" s="3"/>
      <c r="R466" s="222"/>
      <c r="AK466" s="141"/>
    </row>
    <row r="467" spans="1:37" ht="30.6" outlineLevel="1">
      <c r="A467" s="148" t="s">
        <v>25</v>
      </c>
      <c r="B467" s="208" t="s">
        <v>26</v>
      </c>
      <c r="C467" s="190" t="s">
        <v>23</v>
      </c>
      <c r="D467" s="284"/>
      <c r="E467" s="188">
        <v>11455311001</v>
      </c>
      <c r="F467" s="210" t="s">
        <v>394</v>
      </c>
      <c r="G467" s="211"/>
      <c r="H467" s="190" t="s">
        <v>65</v>
      </c>
      <c r="I467" s="190">
        <v>1</v>
      </c>
      <c r="J467" s="212">
        <v>14.54</v>
      </c>
      <c r="K467" s="212">
        <f t="shared" ref="K467" si="513">ROUND((J467*$C$3),2)</f>
        <v>17.739999999999998</v>
      </c>
      <c r="L467" s="212">
        <f>K467*G467</f>
        <v>0</v>
      </c>
      <c r="M467" s="212">
        <f t="shared" ref="M467" si="514">J467*(1-$E$5-$E$7)*(1-$E$9)*(1+$E$11)</f>
        <v>14.54</v>
      </c>
      <c r="N467" s="212">
        <f>M467*G467</f>
        <v>0</v>
      </c>
      <c r="O467" s="213">
        <f t="shared" ref="O467" si="515">ROUND((M467*$C$3),2)</f>
        <v>17.739999999999998</v>
      </c>
      <c r="P467" s="213">
        <f>O467*G467</f>
        <v>0</v>
      </c>
      <c r="Q467" s="3"/>
      <c r="R467" s="214">
        <f t="shared" si="467"/>
        <v>1419</v>
      </c>
      <c r="AK467" s="141">
        <f t="shared" si="468"/>
        <v>1419.1999999999998</v>
      </c>
    </row>
    <row r="468" spans="1:37" ht="30.6" outlineLevel="1">
      <c r="A468" s="148" t="s">
        <v>25</v>
      </c>
      <c r="B468" s="208" t="s">
        <v>26</v>
      </c>
      <c r="C468" s="190" t="s">
        <v>23</v>
      </c>
      <c r="D468" s="284"/>
      <c r="E468" s="188">
        <v>11455321001</v>
      </c>
      <c r="F468" s="210" t="s">
        <v>395</v>
      </c>
      <c r="G468" s="211"/>
      <c r="H468" s="190" t="s">
        <v>65</v>
      </c>
      <c r="I468" s="190">
        <v>1</v>
      </c>
      <c r="J468" s="212">
        <v>22.130000000000003</v>
      </c>
      <c r="K468" s="212">
        <f t="shared" ref="K468:K469" si="516">ROUND((J468*$C$3),2)</f>
        <v>27</v>
      </c>
      <c r="L468" s="212">
        <f>K468*G468</f>
        <v>0</v>
      </c>
      <c r="M468" s="212">
        <f t="shared" ref="M468:M469" si="517">J468*(1-$E$5-$E$7)*(1-$E$9)*(1+$E$11)</f>
        <v>22.130000000000003</v>
      </c>
      <c r="N468" s="212">
        <f>M468*G468</f>
        <v>0</v>
      </c>
      <c r="O468" s="213">
        <f t="shared" ref="O468:O469" si="518">ROUND((M468*$C$3),2)</f>
        <v>27</v>
      </c>
      <c r="P468" s="213">
        <f>O468*G468</f>
        <v>0</v>
      </c>
      <c r="Q468" s="3"/>
      <c r="R468" s="214">
        <f t="shared" si="467"/>
        <v>2160</v>
      </c>
      <c r="AK468" s="141">
        <f t="shared" si="468"/>
        <v>2160</v>
      </c>
    </row>
    <row r="469" spans="1:37" ht="30.6" outlineLevel="1">
      <c r="A469" s="148" t="s">
        <v>25</v>
      </c>
      <c r="B469" s="208" t="s">
        <v>26</v>
      </c>
      <c r="C469" s="190" t="s">
        <v>23</v>
      </c>
      <c r="D469" s="284"/>
      <c r="E469" s="188">
        <v>11455331001</v>
      </c>
      <c r="F469" s="210" t="s">
        <v>396</v>
      </c>
      <c r="G469" s="211"/>
      <c r="H469" s="190" t="s">
        <v>65</v>
      </c>
      <c r="I469" s="190">
        <v>1</v>
      </c>
      <c r="J469" s="212">
        <v>31.76</v>
      </c>
      <c r="K469" s="212">
        <f t="shared" si="516"/>
        <v>38.75</v>
      </c>
      <c r="L469" s="212">
        <f>K469*G469</f>
        <v>0</v>
      </c>
      <c r="M469" s="212">
        <f t="shared" si="517"/>
        <v>31.76</v>
      </c>
      <c r="N469" s="212">
        <f>M469*G469</f>
        <v>0</v>
      </c>
      <c r="O469" s="213">
        <f t="shared" si="518"/>
        <v>38.75</v>
      </c>
      <c r="P469" s="213">
        <f>O469*G469</f>
        <v>0</v>
      </c>
      <c r="Q469" s="3"/>
      <c r="R469" s="214">
        <f t="shared" si="467"/>
        <v>3100</v>
      </c>
      <c r="AK469" s="141">
        <f t="shared" si="468"/>
        <v>3100</v>
      </c>
    </row>
    <row r="470" spans="1:37" outlineLevel="1">
      <c r="A470" s="147"/>
      <c r="B470" s="240"/>
      <c r="C470" s="190"/>
      <c r="D470" s="284"/>
      <c r="E470" s="188"/>
      <c r="F470" s="210"/>
      <c r="G470" s="211"/>
      <c r="H470" s="190"/>
      <c r="I470" s="190"/>
      <c r="J470" s="212"/>
      <c r="K470" s="212"/>
      <c r="L470" s="212"/>
      <c r="M470" s="212"/>
      <c r="N470" s="212"/>
      <c r="O470" s="213"/>
      <c r="P470" s="213"/>
      <c r="Q470" s="3"/>
      <c r="R470" s="222"/>
      <c r="AK470" s="141"/>
    </row>
    <row r="471" spans="1:37" s="73" customFormat="1" outlineLevel="1">
      <c r="A471" s="152"/>
      <c r="B471" s="188" t="s">
        <v>397</v>
      </c>
      <c r="C471" s="190" t="s">
        <v>23</v>
      </c>
      <c r="D471" s="190"/>
      <c r="E471" s="188">
        <v>12296961001</v>
      </c>
      <c r="F471" s="210" t="s">
        <v>398</v>
      </c>
      <c r="G471" s="211"/>
      <c r="H471" s="190" t="s">
        <v>65</v>
      </c>
      <c r="I471" s="190">
        <v>1</v>
      </c>
      <c r="J471" s="212">
        <v>7.14</v>
      </c>
      <c r="K471" s="212">
        <f t="shared" ref="K471" si="519">ROUND((J471*$C$3),2)</f>
        <v>8.7100000000000009</v>
      </c>
      <c r="L471" s="212">
        <f>K471*G471</f>
        <v>0</v>
      </c>
      <c r="M471" s="212">
        <f t="shared" ref="M471" si="520">J471*(1-$E$5-$E$7)*(1-$E$9)*(1+$E$11)</f>
        <v>7.14</v>
      </c>
      <c r="N471" s="212">
        <f>M471*G471</f>
        <v>0</v>
      </c>
      <c r="O471" s="213">
        <f t="shared" ref="O471" si="521">ROUND((M471*$C$3),2)</f>
        <v>8.7100000000000009</v>
      </c>
      <c r="P471" s="213">
        <f>O471*G471</f>
        <v>0</v>
      </c>
      <c r="Q471" s="93"/>
      <c r="R471" s="214">
        <f t="shared" ref="R471" si="522">ROUND(AK471,0)</f>
        <v>697</v>
      </c>
      <c r="AK471" s="142">
        <f t="shared" ref="AK471" si="523">K471*$AK$11*(1-$AK$10)</f>
        <v>696.80000000000018</v>
      </c>
    </row>
    <row r="472" spans="1:37" outlineLevel="1">
      <c r="A472" s="147"/>
      <c r="B472" s="240"/>
      <c r="C472" s="247"/>
      <c r="D472" s="284"/>
      <c r="E472" s="264"/>
      <c r="F472" s="210"/>
      <c r="G472" s="211"/>
      <c r="H472" s="190"/>
      <c r="I472" s="190"/>
      <c r="J472" s="212"/>
      <c r="K472" s="212"/>
      <c r="L472" s="212"/>
      <c r="M472" s="212"/>
      <c r="N472" s="212"/>
      <c r="O472" s="213"/>
      <c r="P472" s="213"/>
      <c r="Q472" s="3"/>
      <c r="R472" s="222"/>
      <c r="AK472" s="141"/>
    </row>
    <row r="473" spans="1:37" outlineLevel="1">
      <c r="A473" s="147"/>
      <c r="B473" s="188" t="s">
        <v>30</v>
      </c>
      <c r="C473" s="190" t="s">
        <v>23</v>
      </c>
      <c r="D473" s="190">
        <v>11055291008</v>
      </c>
      <c r="E473" s="188">
        <v>11055293008</v>
      </c>
      <c r="F473" s="210" t="s">
        <v>399</v>
      </c>
      <c r="G473" s="211"/>
      <c r="H473" s="190" t="s">
        <v>65</v>
      </c>
      <c r="I473" s="190">
        <v>6</v>
      </c>
      <c r="J473" s="212">
        <v>8</v>
      </c>
      <c r="K473" s="212">
        <f>ROUND((J473*$C$3),2)</f>
        <v>9.76</v>
      </c>
      <c r="L473" s="212">
        <f>K473*G473</f>
        <v>0</v>
      </c>
      <c r="M473" s="212">
        <f t="shared" ref="M473:M476" si="524">J473*(1-$E$5-$E$7)*(1-$E$9)*(1+$E$11)</f>
        <v>8</v>
      </c>
      <c r="N473" s="212">
        <f>M473*G473</f>
        <v>0</v>
      </c>
      <c r="O473" s="213">
        <f t="shared" ref="O473:O476" si="525">ROUND((M473*$C$3),2)</f>
        <v>9.76</v>
      </c>
      <c r="P473" s="213">
        <f>O473*G473</f>
        <v>0</v>
      </c>
      <c r="Q473" s="3"/>
      <c r="R473" s="222">
        <f>ROUND(AK473,0)</f>
        <v>781</v>
      </c>
      <c r="AK473" s="141">
        <f>K473*$AK$11*(1-$AK$10)</f>
        <v>780.80000000000007</v>
      </c>
    </row>
    <row r="474" spans="1:37" outlineLevel="1">
      <c r="A474" s="147"/>
      <c r="B474" s="188" t="s">
        <v>30</v>
      </c>
      <c r="C474" s="190" t="s">
        <v>23</v>
      </c>
      <c r="D474" s="238">
        <v>11055361008</v>
      </c>
      <c r="E474" s="188">
        <v>11055363008</v>
      </c>
      <c r="F474" s="210" t="s">
        <v>400</v>
      </c>
      <c r="G474" s="211"/>
      <c r="H474" s="190" t="s">
        <v>65</v>
      </c>
      <c r="I474" s="190">
        <v>5</v>
      </c>
      <c r="J474" s="212">
        <v>6.21</v>
      </c>
      <c r="K474" s="212">
        <f t="shared" ref="K474:K476" si="526">ROUND((J474*$C$3),2)</f>
        <v>7.58</v>
      </c>
      <c r="L474" s="212">
        <f>K474*G474</f>
        <v>0</v>
      </c>
      <c r="M474" s="212">
        <f t="shared" si="524"/>
        <v>6.21</v>
      </c>
      <c r="N474" s="212">
        <f>M474*G474</f>
        <v>0</v>
      </c>
      <c r="O474" s="213">
        <f t="shared" si="525"/>
        <v>7.58</v>
      </c>
      <c r="P474" s="213">
        <f>O474*G474</f>
        <v>0</v>
      </c>
      <c r="Q474" s="3"/>
      <c r="R474" s="222">
        <f t="shared" ref="R474:R476" si="527">ROUND(AK474,0)</f>
        <v>606</v>
      </c>
      <c r="AK474" s="141">
        <f t="shared" ref="AK474:AK476" si="528">K474*$AK$11*(1-$AK$10)</f>
        <v>606.4</v>
      </c>
    </row>
    <row r="475" spans="1:37" outlineLevel="1">
      <c r="A475" s="147"/>
      <c r="B475" s="188" t="s">
        <v>30</v>
      </c>
      <c r="C475" s="190" t="s">
        <v>23</v>
      </c>
      <c r="D475" s="238">
        <v>11055321008</v>
      </c>
      <c r="E475" s="188">
        <v>11055323008</v>
      </c>
      <c r="F475" s="210" t="s">
        <v>401</v>
      </c>
      <c r="G475" s="211"/>
      <c r="H475" s="190" t="s">
        <v>65</v>
      </c>
      <c r="I475" s="190">
        <v>5</v>
      </c>
      <c r="J475" s="212">
        <v>3.62</v>
      </c>
      <c r="K475" s="212">
        <f t="shared" si="526"/>
        <v>4.42</v>
      </c>
      <c r="L475" s="212">
        <f>K475*G475</f>
        <v>0</v>
      </c>
      <c r="M475" s="212">
        <f t="shared" si="524"/>
        <v>3.62</v>
      </c>
      <c r="N475" s="212">
        <f>M475*G475</f>
        <v>0</v>
      </c>
      <c r="O475" s="213">
        <f t="shared" si="525"/>
        <v>4.42</v>
      </c>
      <c r="P475" s="213">
        <f>O475*G475</f>
        <v>0</v>
      </c>
      <c r="Q475" s="3"/>
      <c r="R475" s="222">
        <f t="shared" si="527"/>
        <v>354</v>
      </c>
      <c r="AK475" s="141">
        <f t="shared" si="528"/>
        <v>353.6</v>
      </c>
    </row>
    <row r="476" spans="1:37" outlineLevel="1">
      <c r="A476" s="147"/>
      <c r="B476" s="188" t="s">
        <v>30</v>
      </c>
      <c r="C476" s="190" t="s">
        <v>23</v>
      </c>
      <c r="D476" s="285">
        <v>11056231008</v>
      </c>
      <c r="E476" s="286">
        <v>11056233008</v>
      </c>
      <c r="F476" s="210" t="s">
        <v>402</v>
      </c>
      <c r="G476" s="211"/>
      <c r="H476" s="190" t="s">
        <v>65</v>
      </c>
      <c r="I476" s="190">
        <v>5</v>
      </c>
      <c r="J476" s="212">
        <v>23.07</v>
      </c>
      <c r="K476" s="212">
        <f t="shared" si="526"/>
        <v>28.15</v>
      </c>
      <c r="L476" s="212">
        <f>K476*G476</f>
        <v>0</v>
      </c>
      <c r="M476" s="212">
        <f t="shared" si="524"/>
        <v>23.07</v>
      </c>
      <c r="N476" s="212">
        <f>M476*G476</f>
        <v>0</v>
      </c>
      <c r="O476" s="213">
        <f t="shared" si="525"/>
        <v>28.15</v>
      </c>
      <c r="P476" s="213">
        <f>O476*G476</f>
        <v>0</v>
      </c>
      <c r="Q476" s="3"/>
      <c r="R476" s="222">
        <f t="shared" si="527"/>
        <v>2252</v>
      </c>
      <c r="AK476" s="141">
        <f t="shared" si="528"/>
        <v>2252</v>
      </c>
    </row>
    <row r="477" spans="1:37" outlineLevel="1">
      <c r="A477" s="147"/>
      <c r="B477" s="188"/>
      <c r="C477" s="190"/>
      <c r="D477" s="190"/>
      <c r="E477" s="286"/>
      <c r="F477" s="287"/>
      <c r="G477" s="211"/>
      <c r="H477" s="190"/>
      <c r="I477" s="190"/>
      <c r="J477" s="212"/>
      <c r="K477" s="212"/>
      <c r="L477" s="212"/>
      <c r="M477" s="212"/>
      <c r="N477" s="212"/>
      <c r="O477" s="213"/>
      <c r="P477" s="213"/>
      <c r="Q477" s="3"/>
      <c r="R477" s="222"/>
      <c r="AK477" s="141"/>
    </row>
    <row r="478" spans="1:37" s="73" customFormat="1" outlineLevel="1">
      <c r="A478" s="150"/>
      <c r="B478" s="188" t="s">
        <v>397</v>
      </c>
      <c r="C478" s="190" t="s">
        <v>23</v>
      </c>
      <c r="D478" s="190">
        <v>11370951001</v>
      </c>
      <c r="E478" s="188">
        <v>11055351008</v>
      </c>
      <c r="F478" s="210" t="s">
        <v>403</v>
      </c>
      <c r="G478" s="211"/>
      <c r="H478" s="190" t="s">
        <v>65</v>
      </c>
      <c r="I478" s="190">
        <v>5</v>
      </c>
      <c r="J478" s="212">
        <v>3.4</v>
      </c>
      <c r="K478" s="212">
        <f t="shared" ref="K478" si="529">ROUND((J478*$C$3),2)</f>
        <v>4.1500000000000004</v>
      </c>
      <c r="L478" s="212">
        <f>K478*G478</f>
        <v>0</v>
      </c>
      <c r="M478" s="212">
        <f t="shared" ref="M478" si="530">J478*(1-$E$5-$E$7)*(1-$E$9)*(1+$E$11)</f>
        <v>3.4</v>
      </c>
      <c r="N478" s="212">
        <f>M478*G478</f>
        <v>0</v>
      </c>
      <c r="O478" s="213">
        <f t="shared" ref="O478" si="531">ROUND((M478*$C$3),2)</f>
        <v>4.1500000000000004</v>
      </c>
      <c r="P478" s="213">
        <f>O478*G478</f>
        <v>0</v>
      </c>
      <c r="Q478" s="3"/>
      <c r="R478" s="222">
        <f t="shared" ref="R478:R484" si="532">ROUND(AK478,0)</f>
        <v>332</v>
      </c>
      <c r="AK478" s="142">
        <f t="shared" ref="AK478:AK484" si="533">K478*$AK$11*(1-$AK$10)</f>
        <v>332.00000000000006</v>
      </c>
    </row>
    <row r="479" spans="1:37" s="74" customFormat="1" outlineLevel="1">
      <c r="A479" s="149"/>
      <c r="B479" s="225"/>
      <c r="C479" s="226"/>
      <c r="D479" s="226"/>
      <c r="E479" s="288"/>
      <c r="F479" s="289"/>
      <c r="G479" s="228"/>
      <c r="H479" s="226"/>
      <c r="I479" s="226"/>
      <c r="J479" s="229"/>
      <c r="K479" s="229"/>
      <c r="L479" s="229"/>
      <c r="M479" s="229"/>
      <c r="N479" s="229"/>
      <c r="O479" s="230"/>
      <c r="P479" s="230"/>
      <c r="Q479" s="3"/>
      <c r="R479" s="222"/>
      <c r="AK479" s="143"/>
    </row>
    <row r="480" spans="1:37" outlineLevel="1">
      <c r="A480" s="147"/>
      <c r="B480" s="188" t="s">
        <v>30</v>
      </c>
      <c r="C480" s="190" t="s">
        <v>23</v>
      </c>
      <c r="D480" s="190"/>
      <c r="E480" s="188">
        <v>11316443001</v>
      </c>
      <c r="F480" s="210" t="s">
        <v>404</v>
      </c>
      <c r="G480" s="211"/>
      <c r="H480" s="190" t="s">
        <v>65</v>
      </c>
      <c r="I480" s="190">
        <v>1</v>
      </c>
      <c r="J480" s="212">
        <v>48.7</v>
      </c>
      <c r="K480" s="212">
        <f t="shared" ref="K480:K482" si="534">ROUND((J480*$C$3),2)</f>
        <v>59.41</v>
      </c>
      <c r="L480" s="212">
        <f>K480*G480</f>
        <v>0</v>
      </c>
      <c r="M480" s="212">
        <f t="shared" ref="M480:M482" si="535">J480*(1-$E$5-$E$7)*(1-$E$9)*(1+$E$11)</f>
        <v>48.7</v>
      </c>
      <c r="N480" s="212">
        <f>M480*G480</f>
        <v>0</v>
      </c>
      <c r="O480" s="213">
        <f t="shared" ref="O480:O482" si="536">ROUND((M480*$C$3),2)</f>
        <v>59.41</v>
      </c>
      <c r="P480" s="213">
        <f>O480*G480</f>
        <v>0</v>
      </c>
      <c r="Q480" s="3"/>
      <c r="R480" s="222">
        <f t="shared" si="532"/>
        <v>4753</v>
      </c>
      <c r="AK480" s="141">
        <f t="shared" si="533"/>
        <v>4752.8</v>
      </c>
    </row>
    <row r="481" spans="1:93" outlineLevel="1">
      <c r="A481" s="147"/>
      <c r="B481" s="188" t="s">
        <v>30</v>
      </c>
      <c r="C481" s="190" t="s">
        <v>23</v>
      </c>
      <c r="D481" s="190"/>
      <c r="E481" s="188">
        <v>11316453001</v>
      </c>
      <c r="F481" s="210" t="s">
        <v>405</v>
      </c>
      <c r="G481" s="211"/>
      <c r="H481" s="190" t="s">
        <v>65</v>
      </c>
      <c r="I481" s="190">
        <v>1</v>
      </c>
      <c r="J481" s="212">
        <v>72.37</v>
      </c>
      <c r="K481" s="212">
        <f t="shared" si="534"/>
        <v>88.29</v>
      </c>
      <c r="L481" s="212">
        <f>K481*G481</f>
        <v>0</v>
      </c>
      <c r="M481" s="212">
        <f t="shared" si="535"/>
        <v>72.37</v>
      </c>
      <c r="N481" s="212">
        <f>M481*G481</f>
        <v>0</v>
      </c>
      <c r="O481" s="213">
        <f t="shared" si="536"/>
        <v>88.29</v>
      </c>
      <c r="P481" s="213">
        <f>O481*G481</f>
        <v>0</v>
      </c>
      <c r="Q481" s="3"/>
      <c r="R481" s="222">
        <f t="shared" si="532"/>
        <v>7063</v>
      </c>
      <c r="AK481" s="141">
        <f t="shared" si="533"/>
        <v>7063.2000000000007</v>
      </c>
    </row>
    <row r="482" spans="1:93" outlineLevel="1">
      <c r="A482" s="147"/>
      <c r="B482" s="188" t="s">
        <v>30</v>
      </c>
      <c r="C482" s="190" t="s">
        <v>23</v>
      </c>
      <c r="D482" s="190"/>
      <c r="E482" s="188">
        <v>11316473001</v>
      </c>
      <c r="F482" s="210" t="s">
        <v>406</v>
      </c>
      <c r="G482" s="211"/>
      <c r="H482" s="190" t="s">
        <v>65</v>
      </c>
      <c r="I482" s="190">
        <v>1</v>
      </c>
      <c r="J482" s="212">
        <v>95.28</v>
      </c>
      <c r="K482" s="212">
        <f t="shared" si="534"/>
        <v>116.24</v>
      </c>
      <c r="L482" s="212">
        <f>K482*G482</f>
        <v>0</v>
      </c>
      <c r="M482" s="212">
        <f t="shared" si="535"/>
        <v>95.28</v>
      </c>
      <c r="N482" s="212">
        <f>M482*G482</f>
        <v>0</v>
      </c>
      <c r="O482" s="213">
        <f t="shared" si="536"/>
        <v>116.24</v>
      </c>
      <c r="P482" s="213">
        <f>O482*G482</f>
        <v>0</v>
      </c>
      <c r="Q482" s="3"/>
      <c r="R482" s="222">
        <f t="shared" si="532"/>
        <v>9299</v>
      </c>
      <c r="AK482" s="141">
        <f t="shared" si="533"/>
        <v>9299.2000000000007</v>
      </c>
    </row>
    <row r="483" spans="1:93" outlineLevel="1">
      <c r="A483" s="147"/>
      <c r="B483" s="188" t="s">
        <v>30</v>
      </c>
      <c r="C483" s="190" t="s">
        <v>23</v>
      </c>
      <c r="D483" s="190"/>
      <c r="E483" s="188">
        <v>11077551001</v>
      </c>
      <c r="F483" s="210" t="s">
        <v>407</v>
      </c>
      <c r="G483" s="211"/>
      <c r="H483" s="190" t="s">
        <v>65</v>
      </c>
      <c r="I483" s="190">
        <v>5</v>
      </c>
      <c r="J483" s="212">
        <v>4.12</v>
      </c>
      <c r="K483" s="212">
        <f t="shared" ref="K483:K484" si="537">ROUND((J483*$C$3),2)</f>
        <v>5.03</v>
      </c>
      <c r="L483" s="212">
        <f>K483*G483</f>
        <v>0</v>
      </c>
      <c r="M483" s="212">
        <f t="shared" ref="M483:M484" si="538">J483*(1-$E$5-$E$7)*(1-$E$9)*(1+$E$11)</f>
        <v>4.12</v>
      </c>
      <c r="N483" s="212">
        <f>M483*G483</f>
        <v>0</v>
      </c>
      <c r="O483" s="213">
        <f t="shared" ref="O483:O484" si="539">ROUND((M483*$C$3),2)</f>
        <v>5.03</v>
      </c>
      <c r="P483" s="213">
        <f>O483*G483</f>
        <v>0</v>
      </c>
      <c r="Q483" s="3"/>
      <c r="R483" s="222">
        <f t="shared" si="532"/>
        <v>402</v>
      </c>
      <c r="AK483" s="141">
        <f t="shared" si="533"/>
        <v>402.40000000000003</v>
      </c>
    </row>
    <row r="484" spans="1:93" outlineLevel="1">
      <c r="A484" s="147"/>
      <c r="B484" s="188" t="s">
        <v>30</v>
      </c>
      <c r="C484" s="190" t="s">
        <v>23</v>
      </c>
      <c r="D484" s="190"/>
      <c r="E484" s="188">
        <v>11077561001</v>
      </c>
      <c r="F484" s="210" t="s">
        <v>408</v>
      </c>
      <c r="G484" s="211"/>
      <c r="H484" s="190" t="s">
        <v>65</v>
      </c>
      <c r="I484" s="190">
        <v>5</v>
      </c>
      <c r="J484" s="212">
        <v>4.12</v>
      </c>
      <c r="K484" s="212">
        <f t="shared" si="537"/>
        <v>5.03</v>
      </c>
      <c r="L484" s="212">
        <f>K484*G484</f>
        <v>0</v>
      </c>
      <c r="M484" s="212">
        <f t="shared" si="538"/>
        <v>4.12</v>
      </c>
      <c r="N484" s="212">
        <f>M484*G484</f>
        <v>0</v>
      </c>
      <c r="O484" s="213">
        <f t="shared" si="539"/>
        <v>5.03</v>
      </c>
      <c r="P484" s="213">
        <f>O484*G484</f>
        <v>0</v>
      </c>
      <c r="Q484" s="3"/>
      <c r="R484" s="222">
        <f t="shared" si="532"/>
        <v>402</v>
      </c>
      <c r="AK484" s="141">
        <f t="shared" si="533"/>
        <v>402.40000000000003</v>
      </c>
    </row>
    <row r="485" spans="1:93" outlineLevel="1">
      <c r="A485" s="147"/>
      <c r="B485" s="188"/>
      <c r="C485" s="224"/>
      <c r="D485" s="190"/>
      <c r="E485" s="188"/>
      <c r="F485" s="210"/>
      <c r="G485" s="211"/>
      <c r="H485" s="190"/>
      <c r="I485" s="190"/>
      <c r="J485" s="212"/>
      <c r="K485" s="212"/>
      <c r="L485" s="212"/>
      <c r="M485" s="212"/>
      <c r="N485" s="212"/>
      <c r="O485" s="213"/>
      <c r="P485" s="213"/>
      <c r="Q485" s="3"/>
      <c r="R485" s="222"/>
      <c r="AK485" s="141"/>
    </row>
    <row r="486" spans="1:93" outlineLevel="1">
      <c r="A486" s="147"/>
      <c r="B486" s="188" t="s">
        <v>30</v>
      </c>
      <c r="C486" s="190" t="s">
        <v>23</v>
      </c>
      <c r="D486" s="190"/>
      <c r="E486" s="188">
        <v>11093871001</v>
      </c>
      <c r="F486" s="210" t="s">
        <v>409</v>
      </c>
      <c r="G486" s="211"/>
      <c r="H486" s="190" t="s">
        <v>65</v>
      </c>
      <c r="I486" s="190">
        <v>10</v>
      </c>
      <c r="J486" s="212">
        <v>3.3</v>
      </c>
      <c r="K486" s="212">
        <f t="shared" ref="K486" si="540">ROUND((J486*$C$3),2)</f>
        <v>4.03</v>
      </c>
      <c r="L486" s="212">
        <f>K486*G486</f>
        <v>0</v>
      </c>
      <c r="M486" s="212">
        <f t="shared" ref="M486" si="541">J486*(1-$E$5-$E$7)*(1-$E$9)*(1+$E$11)</f>
        <v>3.3</v>
      </c>
      <c r="N486" s="212">
        <f>M486*G486</f>
        <v>0</v>
      </c>
      <c r="O486" s="213">
        <f t="shared" ref="O486" si="542">ROUND((M486*$C$3),2)</f>
        <v>4.03</v>
      </c>
      <c r="P486" s="213">
        <f>O486*G486</f>
        <v>0</v>
      </c>
      <c r="Q486" s="3"/>
      <c r="R486" s="214">
        <f t="shared" ref="R486" si="543">ROUND(AK486,0)</f>
        <v>322</v>
      </c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141">
        <f t="shared" ref="AK486" si="544">K486*$AK$11*(1-$AK$10)</f>
        <v>322.40000000000003</v>
      </c>
    </row>
    <row r="487" spans="1:93" outlineLevel="1">
      <c r="A487" s="147"/>
      <c r="B487" s="188" t="s">
        <v>30</v>
      </c>
      <c r="C487" s="190" t="s">
        <v>23</v>
      </c>
      <c r="D487" s="190"/>
      <c r="E487" s="256">
        <v>11093881001</v>
      </c>
      <c r="F487" s="243" t="s">
        <v>410</v>
      </c>
      <c r="G487" s="211"/>
      <c r="H487" s="190" t="s">
        <v>65</v>
      </c>
      <c r="I487" s="190">
        <v>5</v>
      </c>
      <c r="J487" s="212">
        <v>3.96</v>
      </c>
      <c r="K487" s="212">
        <f t="shared" ref="K487" si="545">ROUND((J487*$C$3),2)</f>
        <v>4.83</v>
      </c>
      <c r="L487" s="212">
        <f>K487*G487</f>
        <v>0</v>
      </c>
      <c r="M487" s="212">
        <f t="shared" ref="M487" si="546">J487*(1-$E$5-$E$7)*(1-$E$9)*(1+$E$11)</f>
        <v>3.96</v>
      </c>
      <c r="N487" s="212">
        <f>M487*G487</f>
        <v>0</v>
      </c>
      <c r="O487" s="213">
        <f t="shared" ref="O487" si="547">ROUND((M487*$C$3),2)</f>
        <v>4.83</v>
      </c>
      <c r="P487" s="213">
        <f>O487*G487</f>
        <v>0</v>
      </c>
      <c r="Q487" s="3"/>
      <c r="R487" s="214">
        <f t="shared" ref="R487" si="548">ROUND(AK487,0)</f>
        <v>386</v>
      </c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141">
        <f t="shared" ref="AK487" si="549">K487*$AK$11*(1-$AK$10)</f>
        <v>386.40000000000003</v>
      </c>
    </row>
    <row r="488" spans="1:93" outlineLevel="1">
      <c r="A488" s="147"/>
      <c r="B488" s="188"/>
      <c r="C488" s="224"/>
      <c r="D488" s="238"/>
      <c r="E488" s="240"/>
      <c r="F488" s="280"/>
      <c r="G488" s="211"/>
      <c r="H488" s="190"/>
      <c r="I488" s="190"/>
      <c r="J488" s="212"/>
      <c r="K488" s="212"/>
      <c r="L488" s="212"/>
      <c r="M488" s="212"/>
      <c r="N488" s="212"/>
      <c r="O488" s="213"/>
      <c r="P488" s="213"/>
      <c r="Q488" s="3"/>
      <c r="R488" s="222"/>
      <c r="AK488" s="141"/>
    </row>
    <row r="489" spans="1:93">
      <c r="A489" s="147"/>
      <c r="B489" s="225"/>
      <c r="C489" s="232" t="s">
        <v>23</v>
      </c>
      <c r="D489" s="232"/>
      <c r="E489" s="233"/>
      <c r="F489" s="201" t="s">
        <v>411</v>
      </c>
      <c r="G489" s="290"/>
      <c r="H489" s="203"/>
      <c r="I489" s="203"/>
      <c r="J489" s="235"/>
      <c r="K489" s="235"/>
      <c r="L489" s="235"/>
      <c r="M489" s="235"/>
      <c r="N489" s="235"/>
      <c r="O489" s="236"/>
      <c r="P489" s="237"/>
      <c r="Q489" s="3"/>
      <c r="R489" s="207"/>
      <c r="AK489" s="141"/>
    </row>
    <row r="490" spans="1:93" s="92" customFormat="1" outlineLevel="1">
      <c r="A490" s="151"/>
      <c r="B490" s="188" t="s">
        <v>30</v>
      </c>
      <c r="C490" s="238" t="s">
        <v>23</v>
      </c>
      <c r="D490" s="190">
        <v>11096641001</v>
      </c>
      <c r="E490" s="188">
        <v>11096641002</v>
      </c>
      <c r="F490" s="210" t="s">
        <v>412</v>
      </c>
      <c r="G490" s="211"/>
      <c r="H490" s="190" t="s">
        <v>65</v>
      </c>
      <c r="I490" s="190">
        <v>10</v>
      </c>
      <c r="J490" s="212">
        <v>17.079999999999998</v>
      </c>
      <c r="K490" s="212">
        <f t="shared" ref="K490:K491" si="550">ROUND((J490*$C$3),2)</f>
        <v>20.84</v>
      </c>
      <c r="L490" s="212">
        <f>K490*G490</f>
        <v>0</v>
      </c>
      <c r="M490" s="212">
        <f t="shared" ref="M490:M491" si="551">J490*(1-$E$5-$E$7)*(1-$E$9)*(1+$E$11)</f>
        <v>17.079999999999998</v>
      </c>
      <c r="N490" s="212">
        <f>M490*G490</f>
        <v>0</v>
      </c>
      <c r="O490" s="213">
        <f t="shared" ref="O490:O491" si="552">ROUND((M490*$C$3),2)</f>
        <v>20.84</v>
      </c>
      <c r="P490" s="213">
        <f>O490*G490</f>
        <v>0</v>
      </c>
      <c r="Q490" s="3"/>
      <c r="R490" s="222">
        <f t="shared" ref="R490:R491" si="553">ROUND(AK490,0)</f>
        <v>1667</v>
      </c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 s="141">
        <f t="shared" ref="AK490:AK491" si="554">K490*$AK$11*(1-$AK$10)</f>
        <v>1667.2</v>
      </c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</row>
    <row r="491" spans="1:93" s="92" customFormat="1" outlineLevel="1">
      <c r="A491" s="151"/>
      <c r="B491" s="188" t="s">
        <v>30</v>
      </c>
      <c r="C491" s="238" t="s">
        <v>23</v>
      </c>
      <c r="D491" s="190">
        <v>11096651001</v>
      </c>
      <c r="E491" s="188">
        <v>11096651002</v>
      </c>
      <c r="F491" s="210" t="s">
        <v>413</v>
      </c>
      <c r="G491" s="211"/>
      <c r="H491" s="190" t="s">
        <v>65</v>
      </c>
      <c r="I491" s="190">
        <v>10</v>
      </c>
      <c r="J491" s="212">
        <v>23.26</v>
      </c>
      <c r="K491" s="212">
        <f t="shared" si="550"/>
        <v>28.38</v>
      </c>
      <c r="L491" s="212">
        <f>K491*G491</f>
        <v>0</v>
      </c>
      <c r="M491" s="212">
        <f t="shared" si="551"/>
        <v>23.26</v>
      </c>
      <c r="N491" s="212">
        <f>M491*G491</f>
        <v>0</v>
      </c>
      <c r="O491" s="213">
        <f t="shared" si="552"/>
        <v>28.38</v>
      </c>
      <c r="P491" s="213">
        <f>O491*G491</f>
        <v>0</v>
      </c>
      <c r="Q491" s="3"/>
      <c r="R491" s="222">
        <f t="shared" si="553"/>
        <v>2270</v>
      </c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 s="141">
        <f t="shared" si="554"/>
        <v>2270.4</v>
      </c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</row>
    <row r="492" spans="1:93" s="92" customFormat="1" outlineLevel="1">
      <c r="A492" s="151"/>
      <c r="B492" s="188" t="s">
        <v>30</v>
      </c>
      <c r="C492" s="238" t="s">
        <v>23</v>
      </c>
      <c r="D492" s="190">
        <v>12662521001</v>
      </c>
      <c r="E492" s="188">
        <v>11096671002</v>
      </c>
      <c r="F492" s="210" t="s">
        <v>414</v>
      </c>
      <c r="G492" s="211"/>
      <c r="H492" s="190" t="s">
        <v>65</v>
      </c>
      <c r="I492" s="190">
        <v>10</v>
      </c>
      <c r="J492" s="212">
        <v>37.130000000000003</v>
      </c>
      <c r="K492" s="212">
        <f>ROUND((J492*$C$3),2)</f>
        <v>45.3</v>
      </c>
      <c r="L492" s="212">
        <f>K492*G492</f>
        <v>0</v>
      </c>
      <c r="M492" s="212">
        <f>J492*(1-$E$5-$E$7)*(1-$E$9)*(1+$E$11)</f>
        <v>37.130000000000003</v>
      </c>
      <c r="N492" s="212">
        <f>M492*G492</f>
        <v>0</v>
      </c>
      <c r="O492" s="213">
        <f>ROUND((M492*$C$3),2)</f>
        <v>45.3</v>
      </c>
      <c r="P492" s="213">
        <f>O492*G492</f>
        <v>0</v>
      </c>
      <c r="Q492" s="3"/>
      <c r="R492" s="222">
        <f>ROUND(AK492,0)</f>
        <v>3624</v>
      </c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 s="141">
        <f>K492*$AK$11*(1-$AK$10)</f>
        <v>3624</v>
      </c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</row>
    <row r="493" spans="1:93" s="92" customFormat="1" outlineLevel="1">
      <c r="A493" s="151"/>
      <c r="B493" s="188"/>
      <c r="C493" s="238"/>
      <c r="D493" s="190"/>
      <c r="E493" s="188"/>
      <c r="F493" s="210"/>
      <c r="G493" s="211"/>
      <c r="H493" s="190"/>
      <c r="I493" s="190"/>
      <c r="J493" s="212"/>
      <c r="K493" s="212"/>
      <c r="L493" s="212"/>
      <c r="M493" s="212"/>
      <c r="N493" s="212"/>
      <c r="O493" s="213"/>
      <c r="P493" s="213"/>
      <c r="Q493" s="3"/>
      <c r="R493" s="222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 s="141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</row>
    <row r="494" spans="1:93" s="125" customFormat="1" outlineLevel="1">
      <c r="A494" s="153"/>
      <c r="B494" s="188" t="s">
        <v>30</v>
      </c>
      <c r="C494" s="238" t="s">
        <v>23</v>
      </c>
      <c r="D494" s="190">
        <v>11096681001</v>
      </c>
      <c r="E494" s="188">
        <v>11096681002</v>
      </c>
      <c r="F494" s="210" t="s">
        <v>415</v>
      </c>
      <c r="G494" s="211"/>
      <c r="H494" s="190" t="s">
        <v>65</v>
      </c>
      <c r="I494" s="190">
        <v>10</v>
      </c>
      <c r="J494" s="212">
        <v>18.489999999999998</v>
      </c>
      <c r="K494" s="212">
        <f>ROUND((J494*$C$3),2)</f>
        <v>22.56</v>
      </c>
      <c r="L494" s="212">
        <f>K494*G494</f>
        <v>0</v>
      </c>
      <c r="M494" s="212">
        <f>J494*(1-$E$5-$E$7)*(1-$E$9)*(1+$E$11)</f>
        <v>18.489999999999998</v>
      </c>
      <c r="N494" s="212">
        <f>M494*G494</f>
        <v>0</v>
      </c>
      <c r="O494" s="213">
        <f>ROUND((M494*$C$3),2)</f>
        <v>22.56</v>
      </c>
      <c r="P494" s="213">
        <f>O494*G494</f>
        <v>0</v>
      </c>
      <c r="Q494" s="3"/>
      <c r="R494" s="214">
        <f>ROUND(AK494,0)</f>
        <v>1805</v>
      </c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142">
        <f>K494*$AK$11*(1-$AK$10)</f>
        <v>1804.8000000000002</v>
      </c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73"/>
      <c r="BG494" s="73"/>
      <c r="BH494" s="73"/>
      <c r="BI494" s="73"/>
      <c r="BJ494" s="73"/>
      <c r="BK494" s="73"/>
      <c r="BL494" s="73"/>
      <c r="BM494" s="73"/>
      <c r="BN494" s="73"/>
      <c r="BO494" s="73"/>
      <c r="BP494" s="73"/>
      <c r="BQ494" s="73"/>
      <c r="BR494" s="73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  <c r="CC494" s="73"/>
      <c r="CD494" s="73"/>
      <c r="CE494" s="73"/>
      <c r="CF494" s="73"/>
      <c r="CG494" s="73"/>
      <c r="CH494" s="73"/>
      <c r="CI494" s="73"/>
      <c r="CJ494" s="73"/>
      <c r="CK494" s="73"/>
      <c r="CL494" s="73"/>
      <c r="CM494" s="73"/>
      <c r="CN494" s="73"/>
      <c r="CO494" s="73"/>
    </row>
    <row r="495" spans="1:93" s="125" customFormat="1" outlineLevel="1">
      <c r="A495" s="153"/>
      <c r="B495" s="188" t="s">
        <v>30</v>
      </c>
      <c r="C495" s="238" t="s">
        <v>23</v>
      </c>
      <c r="D495" s="190">
        <v>11096691001</v>
      </c>
      <c r="E495" s="188">
        <v>11096691002</v>
      </c>
      <c r="F495" s="210" t="s">
        <v>416</v>
      </c>
      <c r="G495" s="211"/>
      <c r="H495" s="190" t="s">
        <v>65</v>
      </c>
      <c r="I495" s="190">
        <v>10</v>
      </c>
      <c r="J495" s="212">
        <v>24.93</v>
      </c>
      <c r="K495" s="212">
        <f t="shared" ref="K495" si="555">ROUND((J495*$C$3),2)</f>
        <v>30.41</v>
      </c>
      <c r="L495" s="212">
        <f>K495*G495</f>
        <v>0</v>
      </c>
      <c r="M495" s="212">
        <f t="shared" ref="M495" si="556">J495*(1-$E$5-$E$7)*(1-$E$9)*(1+$E$11)</f>
        <v>24.93</v>
      </c>
      <c r="N495" s="212">
        <f>M495*G495</f>
        <v>0</v>
      </c>
      <c r="O495" s="213">
        <f t="shared" ref="O495" si="557">ROUND((M495*$C$3),2)</f>
        <v>30.41</v>
      </c>
      <c r="P495" s="213">
        <f>O495*G495</f>
        <v>0</v>
      </c>
      <c r="Q495" s="3"/>
      <c r="R495" s="214">
        <f t="shared" ref="R495" si="558">ROUND(AK495,0)</f>
        <v>2433</v>
      </c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142">
        <f t="shared" ref="AK495" si="559">K495*$AK$11*(1-$AK$10)</f>
        <v>2432.8000000000002</v>
      </c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73"/>
      <c r="BG495" s="73"/>
      <c r="BH495" s="73"/>
      <c r="BI495" s="73"/>
      <c r="BJ495" s="73"/>
      <c r="BK495" s="73"/>
      <c r="BL495" s="73"/>
      <c r="BM495" s="73"/>
      <c r="BN495" s="73"/>
      <c r="BO495" s="73"/>
      <c r="BP495" s="73"/>
      <c r="BQ495" s="73"/>
      <c r="BR495" s="73"/>
      <c r="BS495" s="73"/>
      <c r="BT495" s="73"/>
      <c r="BU495" s="73"/>
      <c r="BV495" s="73"/>
      <c r="BW495" s="73"/>
      <c r="BX495" s="73"/>
      <c r="BY495" s="73"/>
      <c r="BZ495" s="73"/>
      <c r="CA495" s="73"/>
      <c r="CB495" s="73"/>
      <c r="CC495" s="73"/>
      <c r="CD495" s="73"/>
      <c r="CE495" s="73"/>
      <c r="CF495" s="73"/>
      <c r="CG495" s="73"/>
      <c r="CH495" s="73"/>
      <c r="CI495" s="73"/>
      <c r="CJ495" s="73"/>
      <c r="CK495" s="73"/>
      <c r="CL495" s="73"/>
      <c r="CM495" s="73"/>
      <c r="CN495" s="73"/>
      <c r="CO495" s="73"/>
    </row>
    <row r="496" spans="1:93" s="92" customFormat="1" outlineLevel="1">
      <c r="A496" s="151"/>
      <c r="B496" s="188" t="s">
        <v>30</v>
      </c>
      <c r="C496" s="238" t="s">
        <v>23</v>
      </c>
      <c r="D496" s="190">
        <v>12662721001</v>
      </c>
      <c r="E496" s="188">
        <v>11096711001</v>
      </c>
      <c r="F496" s="210" t="s">
        <v>417</v>
      </c>
      <c r="G496" s="211"/>
      <c r="H496" s="190" t="s">
        <v>65</v>
      </c>
      <c r="I496" s="190">
        <v>10</v>
      </c>
      <c r="J496" s="212">
        <v>40.93</v>
      </c>
      <c r="K496" s="212">
        <f>ROUND((J496*$C$3),2)</f>
        <v>49.93</v>
      </c>
      <c r="L496" s="212">
        <f>K496*G496</f>
        <v>0</v>
      </c>
      <c r="M496" s="212">
        <f>J496*(1-$E$5-$E$7)*(1-$E$9)*(1+$E$11)</f>
        <v>40.93</v>
      </c>
      <c r="N496" s="212">
        <f>M496*G496</f>
        <v>0</v>
      </c>
      <c r="O496" s="213">
        <f>ROUND((M496*$C$3),2)</f>
        <v>49.93</v>
      </c>
      <c r="P496" s="213">
        <f>O496*G496</f>
        <v>0</v>
      </c>
      <c r="Q496" s="3"/>
      <c r="R496" s="222">
        <f>ROUND(AK496,0)</f>
        <v>3994</v>
      </c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 s="141">
        <f>K496*$AK$11*(1-$AK$10)</f>
        <v>3994.4</v>
      </c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</row>
    <row r="497" spans="1:93" s="92" customFormat="1" outlineLevel="1">
      <c r="A497" s="151"/>
      <c r="B497" s="188"/>
      <c r="C497" s="238"/>
      <c r="D497" s="274"/>
      <c r="E497" s="188"/>
      <c r="F497" s="210"/>
      <c r="G497" s="211"/>
      <c r="H497" s="190"/>
      <c r="I497" s="190"/>
      <c r="J497" s="212"/>
      <c r="K497" s="212"/>
      <c r="L497" s="212"/>
      <c r="M497" s="212"/>
      <c r="N497" s="212"/>
      <c r="O497" s="213"/>
      <c r="P497" s="213"/>
      <c r="Q497" s="3"/>
      <c r="R497" s="222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 s="141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</row>
    <row r="498" spans="1:93" s="92" customFormat="1" outlineLevel="1">
      <c r="A498" s="151"/>
      <c r="B498" s="188" t="s">
        <v>30</v>
      </c>
      <c r="C498" s="238" t="s">
        <v>23</v>
      </c>
      <c r="D498" s="274">
        <v>12662821001</v>
      </c>
      <c r="E498" s="188">
        <v>12662823002</v>
      </c>
      <c r="F498" s="210" t="s">
        <v>418</v>
      </c>
      <c r="G498" s="211"/>
      <c r="H498" s="190" t="s">
        <v>65</v>
      </c>
      <c r="I498" s="190">
        <v>10</v>
      </c>
      <c r="J498" s="212">
        <v>29.56</v>
      </c>
      <c r="K498" s="212">
        <f t="shared" ref="K498:K499" si="560">ROUND((J498*$C$3),2)</f>
        <v>36.06</v>
      </c>
      <c r="L498" s="212">
        <f>K498*G498</f>
        <v>0</v>
      </c>
      <c r="M498" s="212">
        <f t="shared" ref="M498:M499" si="561">J498*(1-$E$5-$E$7)*(1-$E$9)*(1+$E$11)</f>
        <v>29.56</v>
      </c>
      <c r="N498" s="212">
        <f>M498*G498</f>
        <v>0</v>
      </c>
      <c r="O498" s="213">
        <f t="shared" ref="O498:O499" si="562">ROUND((M498*$C$3),2)</f>
        <v>36.06</v>
      </c>
      <c r="P498" s="213">
        <f>O498*G498</f>
        <v>0</v>
      </c>
      <c r="Q498" s="3"/>
      <c r="R498" s="214">
        <f t="shared" ref="R498:R499" si="563">ROUND(AK498,0)</f>
        <v>2885</v>
      </c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142">
        <f t="shared" ref="AK498:AK499" si="564">K498*$AK$11*(1-$AK$10)</f>
        <v>2884.8</v>
      </c>
      <c r="AL498" s="73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</row>
    <row r="499" spans="1:93" s="92" customFormat="1" outlineLevel="1">
      <c r="A499" s="151"/>
      <c r="B499" s="188" t="s">
        <v>30</v>
      </c>
      <c r="C499" s="238" t="s">
        <v>23</v>
      </c>
      <c r="D499" s="274">
        <v>12663021001</v>
      </c>
      <c r="E499" s="188">
        <v>12663023002</v>
      </c>
      <c r="F499" s="210" t="s">
        <v>419</v>
      </c>
      <c r="G499" s="211"/>
      <c r="H499" s="190" t="s">
        <v>65</v>
      </c>
      <c r="I499" s="190">
        <v>10</v>
      </c>
      <c r="J499" s="212">
        <v>30.34</v>
      </c>
      <c r="K499" s="212">
        <f t="shared" si="560"/>
        <v>37.01</v>
      </c>
      <c r="L499" s="212">
        <f>K499*G499</f>
        <v>0</v>
      </c>
      <c r="M499" s="212">
        <f t="shared" si="561"/>
        <v>30.34</v>
      </c>
      <c r="N499" s="212">
        <f>M499*G499</f>
        <v>0</v>
      </c>
      <c r="O499" s="213">
        <f t="shared" si="562"/>
        <v>37.01</v>
      </c>
      <c r="P499" s="213">
        <f>O499*G499</f>
        <v>0</v>
      </c>
      <c r="Q499" s="3"/>
      <c r="R499" s="214">
        <f t="shared" si="563"/>
        <v>2961</v>
      </c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142">
        <f t="shared" si="564"/>
        <v>2960.8</v>
      </c>
      <c r="AL499" s="73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</row>
    <row r="500" spans="1:93" s="92" customFormat="1" outlineLevel="1">
      <c r="A500" s="151"/>
      <c r="B500" s="188"/>
      <c r="C500" s="238"/>
      <c r="D500" s="190"/>
      <c r="E500" s="136"/>
      <c r="F500" s="210"/>
      <c r="G500" s="211"/>
      <c r="H500" s="190"/>
      <c r="I500" s="190"/>
      <c r="J500" s="212"/>
      <c r="K500" s="212"/>
      <c r="L500" s="212"/>
      <c r="M500" s="212"/>
      <c r="N500" s="212"/>
      <c r="O500" s="213"/>
      <c r="P500" s="213"/>
      <c r="Q500" s="3"/>
      <c r="R500" s="222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 s="141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</row>
    <row r="501" spans="1:93" s="73" customFormat="1" ht="30.6" outlineLevel="1">
      <c r="A501" s="148" t="s">
        <v>25</v>
      </c>
      <c r="B501" s="208" t="s">
        <v>26</v>
      </c>
      <c r="C501" s="190" t="s">
        <v>23</v>
      </c>
      <c r="D501" s="190"/>
      <c r="E501" s="188">
        <v>12662921001</v>
      </c>
      <c r="F501" s="210" t="s">
        <v>420</v>
      </c>
      <c r="G501" s="211"/>
      <c r="H501" s="190" t="s">
        <v>65</v>
      </c>
      <c r="I501" s="190">
        <v>10</v>
      </c>
      <c r="J501" s="212">
        <v>16.96</v>
      </c>
      <c r="K501" s="212">
        <f t="shared" ref="K501:K511" si="565">ROUND((J501*$C$3),2)</f>
        <v>20.69</v>
      </c>
      <c r="L501" s="212">
        <f>K501*G501</f>
        <v>0</v>
      </c>
      <c r="M501" s="212">
        <f t="shared" ref="M501:M511" si="566">J501*(1-$E$5-$E$7)*(1-$E$9)*(1+$E$11)</f>
        <v>16.96</v>
      </c>
      <c r="N501" s="212">
        <f>M501*G501</f>
        <v>0</v>
      </c>
      <c r="O501" s="213">
        <f t="shared" ref="O501:O511" si="567">ROUND((M501*$C$3),2)</f>
        <v>20.69</v>
      </c>
      <c r="P501" s="213">
        <f>O501*G501</f>
        <v>0</v>
      </c>
      <c r="Q501" s="3"/>
      <c r="R501" s="214">
        <f t="shared" ref="R501:R511" si="568">ROUND(AK501,0)</f>
        <v>1655</v>
      </c>
      <c r="AK501" s="142">
        <f t="shared" ref="AK501:AK511" si="569">K501*$AK$11*(1-$AK$10)</f>
        <v>1655.2</v>
      </c>
    </row>
    <row r="502" spans="1:93" s="73" customFormat="1" ht="30.6" outlineLevel="1">
      <c r="A502" s="148" t="s">
        <v>25</v>
      </c>
      <c r="B502" s="208" t="s">
        <v>26</v>
      </c>
      <c r="C502" s="190" t="s">
        <v>23</v>
      </c>
      <c r="D502" s="190"/>
      <c r="E502" s="188">
        <v>12408611001</v>
      </c>
      <c r="F502" s="210" t="s">
        <v>421</v>
      </c>
      <c r="G502" s="211"/>
      <c r="H502" s="190" t="s">
        <v>65</v>
      </c>
      <c r="I502" s="190">
        <v>10</v>
      </c>
      <c r="J502" s="212">
        <v>12.52</v>
      </c>
      <c r="K502" s="212">
        <f t="shared" si="565"/>
        <v>15.27</v>
      </c>
      <c r="L502" s="212">
        <f>K502*G502</f>
        <v>0</v>
      </c>
      <c r="M502" s="212">
        <f t="shared" si="566"/>
        <v>12.52</v>
      </c>
      <c r="N502" s="212">
        <f>M502*G502</f>
        <v>0</v>
      </c>
      <c r="O502" s="213">
        <f t="shared" si="567"/>
        <v>15.27</v>
      </c>
      <c r="P502" s="213">
        <f>O502*G502</f>
        <v>0</v>
      </c>
      <c r="Q502" s="3"/>
      <c r="R502" s="214">
        <f t="shared" si="568"/>
        <v>1222</v>
      </c>
      <c r="AK502" s="142">
        <f t="shared" si="569"/>
        <v>1221.6000000000001</v>
      </c>
    </row>
    <row r="503" spans="1:93" s="74" customFormat="1" outlineLevel="1">
      <c r="A503" s="149"/>
      <c r="B503" s="225"/>
      <c r="C503" s="226"/>
      <c r="D503" s="226"/>
      <c r="E503" s="225"/>
      <c r="F503" s="227"/>
      <c r="G503" s="228"/>
      <c r="H503" s="226"/>
      <c r="I503" s="226"/>
      <c r="J503" s="229"/>
      <c r="K503" s="229"/>
      <c r="L503" s="229"/>
      <c r="M503" s="229"/>
      <c r="N503" s="229"/>
      <c r="O503" s="230"/>
      <c r="P503" s="230"/>
      <c r="Q503" s="139"/>
      <c r="R503" s="231"/>
      <c r="AK503" s="143"/>
    </row>
    <row r="504" spans="1:93" outlineLevel="1">
      <c r="A504" s="154"/>
      <c r="B504" s="188" t="s">
        <v>30</v>
      </c>
      <c r="C504" s="190" t="s">
        <v>23</v>
      </c>
      <c r="D504" s="190">
        <v>12404571002</v>
      </c>
      <c r="E504" s="188">
        <v>12404573002</v>
      </c>
      <c r="F504" s="210" t="s">
        <v>422</v>
      </c>
      <c r="G504" s="211"/>
      <c r="H504" s="190" t="s">
        <v>65</v>
      </c>
      <c r="I504" s="190">
        <v>10</v>
      </c>
      <c r="J504" s="212">
        <v>3.98</v>
      </c>
      <c r="K504" s="212">
        <f t="shared" ref="K504" si="570">ROUND((J504*$C$3),2)</f>
        <v>4.8600000000000003</v>
      </c>
      <c r="L504" s="212">
        <f>K504*G504</f>
        <v>0</v>
      </c>
      <c r="M504" s="212">
        <f t="shared" ref="M504" si="571">J504*(1-$E$5-$E$7)*(1-$E$9)*(1+$E$11)</f>
        <v>3.98</v>
      </c>
      <c r="N504" s="212">
        <f>M504*G504</f>
        <v>0</v>
      </c>
      <c r="O504" s="213">
        <f t="shared" ref="O504" si="572">ROUND((M504*$C$3),2)</f>
        <v>4.8600000000000003</v>
      </c>
      <c r="P504" s="213">
        <f>O504*G504</f>
        <v>0</v>
      </c>
      <c r="Q504" s="3"/>
      <c r="R504" s="222">
        <f t="shared" ref="R504" si="573">ROUND(AK504,0)</f>
        <v>389</v>
      </c>
      <c r="AK504" s="141">
        <f t="shared" ref="AK504" si="574">K504*$AK$11*(1-$AK$10)</f>
        <v>388.80000000000007</v>
      </c>
    </row>
    <row r="505" spans="1:93" outlineLevel="1">
      <c r="A505" s="147"/>
      <c r="B505" s="291"/>
      <c r="C505" s="215"/>
      <c r="D505" s="215"/>
      <c r="E505" s="217"/>
      <c r="F505" s="218"/>
      <c r="G505" s="219"/>
      <c r="H505" s="215"/>
      <c r="I505" s="215"/>
      <c r="J505" s="220"/>
      <c r="K505" s="220"/>
      <c r="L505" s="220"/>
      <c r="M505" s="220"/>
      <c r="N505" s="220"/>
      <c r="O505" s="221"/>
      <c r="P505" s="221"/>
      <c r="Q505" s="3"/>
      <c r="R505" s="222"/>
      <c r="AK505" s="141"/>
    </row>
    <row r="506" spans="1:93" outlineLevel="1">
      <c r="A506" s="147"/>
      <c r="B506" s="188" t="s">
        <v>30</v>
      </c>
      <c r="C506" s="190" t="s">
        <v>23</v>
      </c>
      <c r="D506" s="190">
        <v>12407111001</v>
      </c>
      <c r="E506" s="188">
        <v>12407113001</v>
      </c>
      <c r="F506" s="210" t="s">
        <v>423</v>
      </c>
      <c r="G506" s="211"/>
      <c r="H506" s="292" t="s">
        <v>65</v>
      </c>
      <c r="I506" s="190">
        <v>2</v>
      </c>
      <c r="J506" s="212">
        <v>2.81</v>
      </c>
      <c r="K506" s="212">
        <f t="shared" ref="K506" si="575">ROUND((J506*$C$3),2)</f>
        <v>3.43</v>
      </c>
      <c r="L506" s="212">
        <f>K506*G506</f>
        <v>0</v>
      </c>
      <c r="M506" s="212">
        <f t="shared" ref="M506" si="576">J506*(1-$E$5-$E$7)*(1-$E$9)*(1+$E$11)</f>
        <v>2.81</v>
      </c>
      <c r="N506" s="212">
        <f>M506*G506</f>
        <v>0</v>
      </c>
      <c r="O506" s="213">
        <f t="shared" ref="O506" si="577">ROUND((M506*$C$3),2)</f>
        <v>3.43</v>
      </c>
      <c r="P506" s="213">
        <f>O506*G506</f>
        <v>0</v>
      </c>
      <c r="Q506" s="3"/>
      <c r="R506" s="222">
        <f t="shared" ref="R506" si="578">ROUND(AK506,0)</f>
        <v>274</v>
      </c>
      <c r="AK506" s="141">
        <f t="shared" ref="AK506" si="579">K506*$AK$11*(1-$AK$10)</f>
        <v>274.40000000000003</v>
      </c>
    </row>
    <row r="507" spans="1:93" outlineLevel="1">
      <c r="A507" s="147"/>
      <c r="B507" s="188"/>
      <c r="C507" s="224"/>
      <c r="D507" s="190"/>
      <c r="E507" s="188"/>
      <c r="F507" s="210"/>
      <c r="G507" s="211"/>
      <c r="H507" s="190"/>
      <c r="I507" s="190"/>
      <c r="J507" s="212"/>
      <c r="K507" s="212"/>
      <c r="L507" s="212"/>
      <c r="M507" s="212"/>
      <c r="N507" s="212"/>
      <c r="O507" s="213"/>
      <c r="P507" s="213"/>
      <c r="Q507" s="3"/>
      <c r="R507" s="222"/>
      <c r="AK507" s="141"/>
    </row>
    <row r="508" spans="1:93" outlineLevel="1">
      <c r="A508" s="147"/>
      <c r="B508" s="188" t="s">
        <v>30</v>
      </c>
      <c r="C508" s="190" t="s">
        <v>23</v>
      </c>
      <c r="D508" s="190">
        <v>12406011003</v>
      </c>
      <c r="E508" s="188">
        <v>12406013003</v>
      </c>
      <c r="F508" s="210" t="s">
        <v>424</v>
      </c>
      <c r="G508" s="211"/>
      <c r="H508" s="190" t="s">
        <v>65</v>
      </c>
      <c r="I508" s="190">
        <v>10</v>
      </c>
      <c r="J508" s="212">
        <v>5.64</v>
      </c>
      <c r="K508" s="212">
        <f t="shared" ref="K508" si="580">ROUND((J508*$C$3),2)</f>
        <v>6.88</v>
      </c>
      <c r="L508" s="212">
        <f>K508*G508</f>
        <v>0</v>
      </c>
      <c r="M508" s="212">
        <f t="shared" ref="M508" si="581">J508*(1-$E$5-$E$7)*(1-$E$9)*(1+$E$11)</f>
        <v>5.64</v>
      </c>
      <c r="N508" s="212">
        <f>M508*G508</f>
        <v>0</v>
      </c>
      <c r="O508" s="213">
        <f t="shared" ref="O508" si="582">ROUND((M508*$C$3),2)</f>
        <v>6.88</v>
      </c>
      <c r="P508" s="213">
        <f>O508*G508</f>
        <v>0</v>
      </c>
      <c r="Q508" s="3"/>
      <c r="R508" s="222">
        <f t="shared" si="568"/>
        <v>550</v>
      </c>
      <c r="AK508" s="141">
        <f t="shared" si="569"/>
        <v>550.4</v>
      </c>
    </row>
    <row r="509" spans="1:93" outlineLevel="1">
      <c r="A509" s="147"/>
      <c r="B509" s="260"/>
      <c r="C509" s="215"/>
      <c r="D509" s="215"/>
      <c r="E509" s="217"/>
      <c r="F509" s="218"/>
      <c r="G509" s="219"/>
      <c r="H509" s="215"/>
      <c r="I509" s="215"/>
      <c r="J509" s="220"/>
      <c r="K509" s="220"/>
      <c r="L509" s="220"/>
      <c r="M509" s="220"/>
      <c r="N509" s="220"/>
      <c r="O509" s="221"/>
      <c r="P509" s="221"/>
      <c r="Q509" s="3"/>
      <c r="R509" s="222"/>
      <c r="AK509" s="141"/>
    </row>
    <row r="510" spans="1:93" outlineLevel="1">
      <c r="A510" s="147"/>
      <c r="B510" s="260" t="s">
        <v>30</v>
      </c>
      <c r="C510" s="190" t="s">
        <v>23</v>
      </c>
      <c r="D510" s="190">
        <v>12407371001</v>
      </c>
      <c r="E510" s="188">
        <v>12407373001</v>
      </c>
      <c r="F510" s="210" t="s">
        <v>425</v>
      </c>
      <c r="G510" s="211"/>
      <c r="H510" s="190" t="s">
        <v>65</v>
      </c>
      <c r="I510" s="190">
        <v>1</v>
      </c>
      <c r="J510" s="212">
        <v>31.88</v>
      </c>
      <c r="K510" s="212">
        <f t="shared" ref="K510" si="583">ROUND((J510*$C$3),2)</f>
        <v>38.89</v>
      </c>
      <c r="L510" s="212">
        <f>K510*G510</f>
        <v>0</v>
      </c>
      <c r="M510" s="212">
        <f t="shared" ref="M510" si="584">J510*(1-$E$5-$E$7)*(1-$E$9)*(1+$E$11)</f>
        <v>31.88</v>
      </c>
      <c r="N510" s="212">
        <f>M510*G510</f>
        <v>0</v>
      </c>
      <c r="O510" s="213">
        <f t="shared" ref="O510" si="585">ROUND((M510*$C$3),2)</f>
        <v>38.89</v>
      </c>
      <c r="P510" s="213">
        <f>O510*G510</f>
        <v>0</v>
      </c>
      <c r="Q510" s="3"/>
      <c r="R510" s="222">
        <f t="shared" ref="R510" si="586">ROUND(AK510,0)</f>
        <v>3111</v>
      </c>
      <c r="AK510" s="141">
        <f t="shared" si="569"/>
        <v>3111.2000000000003</v>
      </c>
    </row>
    <row r="511" spans="1:93" outlineLevel="1">
      <c r="A511" s="147"/>
      <c r="B511" s="188" t="s">
        <v>397</v>
      </c>
      <c r="C511" s="190" t="s">
        <v>23</v>
      </c>
      <c r="D511" s="190"/>
      <c r="E511" s="188">
        <v>12407271001</v>
      </c>
      <c r="F511" s="210" t="s">
        <v>426</v>
      </c>
      <c r="G511" s="211"/>
      <c r="H511" s="190" t="s">
        <v>65</v>
      </c>
      <c r="I511" s="190">
        <v>1</v>
      </c>
      <c r="J511" s="212">
        <v>31.88</v>
      </c>
      <c r="K511" s="212">
        <f t="shared" si="565"/>
        <v>38.89</v>
      </c>
      <c r="L511" s="212">
        <f>K511*G511</f>
        <v>0</v>
      </c>
      <c r="M511" s="212">
        <f t="shared" si="566"/>
        <v>31.88</v>
      </c>
      <c r="N511" s="212">
        <f>M511*G511</f>
        <v>0</v>
      </c>
      <c r="O511" s="213">
        <f t="shared" si="567"/>
        <v>38.89</v>
      </c>
      <c r="P511" s="213">
        <f>O511*G511</f>
        <v>0</v>
      </c>
      <c r="Q511" s="3"/>
      <c r="R511" s="222">
        <f t="shared" si="568"/>
        <v>3111</v>
      </c>
      <c r="AK511" s="141">
        <f t="shared" si="569"/>
        <v>3111.2000000000003</v>
      </c>
    </row>
    <row r="512" spans="1:93" outlineLevel="1">
      <c r="A512" s="147"/>
      <c r="B512" s="260"/>
      <c r="C512" s="215"/>
      <c r="D512" s="215"/>
      <c r="E512" s="217"/>
      <c r="F512" s="218"/>
      <c r="G512" s="219"/>
      <c r="H512" s="215"/>
      <c r="I512" s="215"/>
      <c r="J512" s="220"/>
      <c r="K512" s="220"/>
      <c r="L512" s="220"/>
      <c r="M512" s="220"/>
      <c r="N512" s="220"/>
      <c r="O512" s="221"/>
      <c r="P512" s="221"/>
      <c r="Q512" s="3"/>
      <c r="R512" s="222"/>
      <c r="AK512" s="141"/>
    </row>
    <row r="513" spans="1:37" outlineLevel="1">
      <c r="A513" s="147"/>
      <c r="B513" s="188" t="s">
        <v>397</v>
      </c>
      <c r="C513" s="190" t="s">
        <v>23</v>
      </c>
      <c r="D513" s="190">
        <v>232021</v>
      </c>
      <c r="E513" s="188">
        <v>11102021001</v>
      </c>
      <c r="F513" s="210" t="s">
        <v>427</v>
      </c>
      <c r="G513" s="211"/>
      <c r="H513" s="190" t="s">
        <v>65</v>
      </c>
      <c r="I513" s="190">
        <v>1</v>
      </c>
      <c r="J513" s="212">
        <v>99.64</v>
      </c>
      <c r="K513" s="212">
        <f t="shared" ref="K513:K545" si="587">ROUND((J513*$C$3),2)</f>
        <v>121.56</v>
      </c>
      <c r="L513" s="212">
        <f t="shared" ref="L513:L523" si="588">K513*G513</f>
        <v>0</v>
      </c>
      <c r="M513" s="212">
        <f t="shared" ref="M513:M545" si="589">J513*(1-$E$5-$E$7)*(1-$E$9)*(1+$E$11)</f>
        <v>99.64</v>
      </c>
      <c r="N513" s="212">
        <f t="shared" ref="N513:N523" si="590">M513*G513</f>
        <v>0</v>
      </c>
      <c r="O513" s="213">
        <f t="shared" ref="O513:O545" si="591">ROUND((M513*$C$3),2)</f>
        <v>121.56</v>
      </c>
      <c r="P513" s="213">
        <f t="shared" ref="P513:P523" si="592">O513*G513</f>
        <v>0</v>
      </c>
      <c r="Q513" s="3"/>
      <c r="R513" s="222">
        <f t="shared" ref="R513:R545" si="593">ROUND(AK513,0)</f>
        <v>9725</v>
      </c>
      <c r="AK513" s="141">
        <f t="shared" ref="AK513:AK526" si="594">K513*$AK$11*(1-$AK$10)</f>
        <v>9724.8000000000011</v>
      </c>
    </row>
    <row r="514" spans="1:37" outlineLevel="1">
      <c r="A514" s="147"/>
      <c r="B514" s="188" t="s">
        <v>397</v>
      </c>
      <c r="C514" s="190" t="s">
        <v>23</v>
      </c>
      <c r="D514" s="190">
        <v>232031</v>
      </c>
      <c r="E514" s="188">
        <v>11102041001</v>
      </c>
      <c r="F514" s="210" t="s">
        <v>428</v>
      </c>
      <c r="G514" s="211"/>
      <c r="H514" s="190" t="s">
        <v>65</v>
      </c>
      <c r="I514" s="190">
        <v>1</v>
      </c>
      <c r="J514" s="212">
        <v>129.21</v>
      </c>
      <c r="K514" s="212">
        <f t="shared" si="587"/>
        <v>157.63999999999999</v>
      </c>
      <c r="L514" s="212">
        <f t="shared" si="588"/>
        <v>0</v>
      </c>
      <c r="M514" s="212">
        <f t="shared" si="589"/>
        <v>129.21</v>
      </c>
      <c r="N514" s="212">
        <f t="shared" si="590"/>
        <v>0</v>
      </c>
      <c r="O514" s="213">
        <f t="shared" si="591"/>
        <v>157.63999999999999</v>
      </c>
      <c r="P514" s="213">
        <f t="shared" si="592"/>
        <v>0</v>
      </c>
      <c r="Q514" s="3"/>
      <c r="R514" s="222">
        <f t="shared" si="593"/>
        <v>12611</v>
      </c>
      <c r="AK514" s="141">
        <f t="shared" si="594"/>
        <v>12611.199999999999</v>
      </c>
    </row>
    <row r="515" spans="1:37" outlineLevel="1">
      <c r="A515" s="147"/>
      <c r="B515" s="188" t="s">
        <v>397</v>
      </c>
      <c r="C515" s="190" t="s">
        <v>23</v>
      </c>
      <c r="D515" s="190">
        <v>232041</v>
      </c>
      <c r="E515" s="188">
        <v>11102061001</v>
      </c>
      <c r="F515" s="210" t="s">
        <v>429</v>
      </c>
      <c r="G515" s="211"/>
      <c r="H515" s="190" t="s">
        <v>65</v>
      </c>
      <c r="I515" s="190">
        <v>1</v>
      </c>
      <c r="J515" s="212">
        <v>147.82</v>
      </c>
      <c r="K515" s="212">
        <f t="shared" si="587"/>
        <v>180.34</v>
      </c>
      <c r="L515" s="212">
        <f t="shared" si="588"/>
        <v>0</v>
      </c>
      <c r="M515" s="212">
        <f t="shared" si="589"/>
        <v>147.82</v>
      </c>
      <c r="N515" s="212">
        <f t="shared" si="590"/>
        <v>0</v>
      </c>
      <c r="O515" s="213">
        <f t="shared" si="591"/>
        <v>180.34</v>
      </c>
      <c r="P515" s="213">
        <f t="shared" si="592"/>
        <v>0</v>
      </c>
      <c r="Q515" s="3"/>
      <c r="R515" s="222">
        <f t="shared" si="593"/>
        <v>14427</v>
      </c>
      <c r="AK515" s="141">
        <f t="shared" si="594"/>
        <v>14427.2</v>
      </c>
    </row>
    <row r="516" spans="1:37" outlineLevel="1">
      <c r="A516" s="147"/>
      <c r="B516" s="188" t="s">
        <v>397</v>
      </c>
      <c r="C516" s="190" t="s">
        <v>23</v>
      </c>
      <c r="D516" s="190">
        <v>232051</v>
      </c>
      <c r="E516" s="188">
        <v>11102071001</v>
      </c>
      <c r="F516" s="210" t="s">
        <v>430</v>
      </c>
      <c r="G516" s="211"/>
      <c r="H516" s="190" t="s">
        <v>65</v>
      </c>
      <c r="I516" s="190">
        <v>1</v>
      </c>
      <c r="J516" s="212">
        <v>166.51</v>
      </c>
      <c r="K516" s="212">
        <f t="shared" si="587"/>
        <v>203.14</v>
      </c>
      <c r="L516" s="212">
        <f t="shared" si="588"/>
        <v>0</v>
      </c>
      <c r="M516" s="212">
        <f t="shared" si="589"/>
        <v>166.51</v>
      </c>
      <c r="N516" s="212">
        <f t="shared" si="590"/>
        <v>0</v>
      </c>
      <c r="O516" s="213">
        <f t="shared" si="591"/>
        <v>203.14</v>
      </c>
      <c r="P516" s="213">
        <f t="shared" si="592"/>
        <v>0</v>
      </c>
      <c r="Q516" s="3"/>
      <c r="R516" s="222">
        <f t="shared" si="593"/>
        <v>16251</v>
      </c>
      <c r="AK516" s="141">
        <f t="shared" si="594"/>
        <v>16251.2</v>
      </c>
    </row>
    <row r="517" spans="1:37" outlineLevel="1">
      <c r="A517" s="147"/>
      <c r="B517" s="188" t="s">
        <v>397</v>
      </c>
      <c r="C517" s="190" t="s">
        <v>23</v>
      </c>
      <c r="D517" s="190">
        <v>232061</v>
      </c>
      <c r="E517" s="188">
        <v>11102081001</v>
      </c>
      <c r="F517" s="210" t="s">
        <v>431</v>
      </c>
      <c r="G517" s="211"/>
      <c r="H517" s="190" t="s">
        <v>65</v>
      </c>
      <c r="I517" s="190">
        <v>1</v>
      </c>
      <c r="J517" s="212">
        <v>188.01</v>
      </c>
      <c r="K517" s="212">
        <f t="shared" si="587"/>
        <v>229.37</v>
      </c>
      <c r="L517" s="212">
        <f t="shared" si="588"/>
        <v>0</v>
      </c>
      <c r="M517" s="212">
        <f t="shared" si="589"/>
        <v>188.01</v>
      </c>
      <c r="N517" s="212">
        <f t="shared" si="590"/>
        <v>0</v>
      </c>
      <c r="O517" s="213">
        <f t="shared" si="591"/>
        <v>229.37</v>
      </c>
      <c r="P517" s="213">
        <f t="shared" si="592"/>
        <v>0</v>
      </c>
      <c r="Q517" s="3"/>
      <c r="R517" s="222">
        <f t="shared" si="593"/>
        <v>18350</v>
      </c>
      <c r="AK517" s="141">
        <f t="shared" si="594"/>
        <v>18349.600000000002</v>
      </c>
    </row>
    <row r="518" spans="1:37" outlineLevel="1">
      <c r="A518" s="147"/>
      <c r="B518" s="188" t="s">
        <v>397</v>
      </c>
      <c r="C518" s="190" t="s">
        <v>23</v>
      </c>
      <c r="D518" s="190">
        <v>232071</v>
      </c>
      <c r="E518" s="188">
        <v>11102091001</v>
      </c>
      <c r="F518" s="210" t="s">
        <v>432</v>
      </c>
      <c r="G518" s="211"/>
      <c r="H518" s="190" t="s">
        <v>65</v>
      </c>
      <c r="I518" s="190">
        <v>1</v>
      </c>
      <c r="J518" s="212">
        <v>205.34</v>
      </c>
      <c r="K518" s="212">
        <f t="shared" si="587"/>
        <v>250.51</v>
      </c>
      <c r="L518" s="212">
        <f t="shared" si="588"/>
        <v>0</v>
      </c>
      <c r="M518" s="212">
        <f t="shared" si="589"/>
        <v>205.34</v>
      </c>
      <c r="N518" s="212">
        <f t="shared" si="590"/>
        <v>0</v>
      </c>
      <c r="O518" s="213">
        <f t="shared" si="591"/>
        <v>250.51</v>
      </c>
      <c r="P518" s="213">
        <f t="shared" si="592"/>
        <v>0</v>
      </c>
      <c r="Q518" s="3"/>
      <c r="R518" s="222">
        <f t="shared" si="593"/>
        <v>20041</v>
      </c>
      <c r="AK518" s="141">
        <f t="shared" si="594"/>
        <v>20040.800000000003</v>
      </c>
    </row>
    <row r="519" spans="1:37" outlineLevel="1">
      <c r="A519" s="147"/>
      <c r="B519" s="188" t="s">
        <v>397</v>
      </c>
      <c r="C519" s="190" t="s">
        <v>23</v>
      </c>
      <c r="D519" s="190">
        <v>232081</v>
      </c>
      <c r="E519" s="188">
        <v>11102121001</v>
      </c>
      <c r="F519" s="210" t="s">
        <v>433</v>
      </c>
      <c r="G519" s="211"/>
      <c r="H519" s="190" t="s">
        <v>65</v>
      </c>
      <c r="I519" s="190">
        <v>1</v>
      </c>
      <c r="J519" s="212">
        <v>225.15</v>
      </c>
      <c r="K519" s="212">
        <f t="shared" si="587"/>
        <v>274.68</v>
      </c>
      <c r="L519" s="212">
        <f t="shared" si="588"/>
        <v>0</v>
      </c>
      <c r="M519" s="212">
        <f t="shared" si="589"/>
        <v>225.15</v>
      </c>
      <c r="N519" s="212">
        <f t="shared" si="590"/>
        <v>0</v>
      </c>
      <c r="O519" s="213">
        <f t="shared" si="591"/>
        <v>274.68</v>
      </c>
      <c r="P519" s="213">
        <f t="shared" si="592"/>
        <v>0</v>
      </c>
      <c r="Q519" s="3"/>
      <c r="R519" s="222">
        <f t="shared" si="593"/>
        <v>21974</v>
      </c>
      <c r="AK519" s="141">
        <f t="shared" si="594"/>
        <v>21974.400000000001</v>
      </c>
    </row>
    <row r="520" spans="1:37" outlineLevel="1">
      <c r="A520" s="147"/>
      <c r="B520" s="188" t="s">
        <v>397</v>
      </c>
      <c r="C520" s="190" t="s">
        <v>23</v>
      </c>
      <c r="D520" s="190">
        <v>232091</v>
      </c>
      <c r="E520" s="188">
        <v>11102141001</v>
      </c>
      <c r="F520" s="210" t="s">
        <v>434</v>
      </c>
      <c r="G520" s="211"/>
      <c r="H520" s="190" t="s">
        <v>65</v>
      </c>
      <c r="I520" s="190">
        <v>1</v>
      </c>
      <c r="J520" s="212">
        <v>243.14</v>
      </c>
      <c r="K520" s="212">
        <f t="shared" si="587"/>
        <v>296.63</v>
      </c>
      <c r="L520" s="212">
        <f t="shared" si="588"/>
        <v>0</v>
      </c>
      <c r="M520" s="212">
        <f t="shared" si="589"/>
        <v>243.14</v>
      </c>
      <c r="N520" s="212">
        <f t="shared" si="590"/>
        <v>0</v>
      </c>
      <c r="O520" s="213">
        <f t="shared" si="591"/>
        <v>296.63</v>
      </c>
      <c r="P520" s="213">
        <f t="shared" si="592"/>
        <v>0</v>
      </c>
      <c r="Q520" s="3"/>
      <c r="R520" s="222">
        <f t="shared" si="593"/>
        <v>23730</v>
      </c>
      <c r="AK520" s="141">
        <f t="shared" si="594"/>
        <v>23730.400000000001</v>
      </c>
    </row>
    <row r="521" spans="1:37" outlineLevel="1">
      <c r="A521" s="147"/>
      <c r="B521" s="188" t="s">
        <v>397</v>
      </c>
      <c r="C521" s="190" t="s">
        <v>23</v>
      </c>
      <c r="D521" s="190">
        <v>232101</v>
      </c>
      <c r="E521" s="188">
        <v>11102161001</v>
      </c>
      <c r="F521" s="210" t="s">
        <v>435</v>
      </c>
      <c r="G521" s="211"/>
      <c r="H521" s="190" t="s">
        <v>65</v>
      </c>
      <c r="I521" s="190">
        <v>1</v>
      </c>
      <c r="J521" s="212">
        <v>262.14</v>
      </c>
      <c r="K521" s="212">
        <f t="shared" si="587"/>
        <v>319.81</v>
      </c>
      <c r="L521" s="212">
        <f t="shared" si="588"/>
        <v>0</v>
      </c>
      <c r="M521" s="212">
        <f t="shared" si="589"/>
        <v>262.14</v>
      </c>
      <c r="N521" s="212">
        <f t="shared" si="590"/>
        <v>0</v>
      </c>
      <c r="O521" s="213">
        <f t="shared" si="591"/>
        <v>319.81</v>
      </c>
      <c r="P521" s="213">
        <f t="shared" si="592"/>
        <v>0</v>
      </c>
      <c r="Q521" s="3"/>
      <c r="R521" s="222">
        <f t="shared" si="593"/>
        <v>25585</v>
      </c>
      <c r="AK521" s="141">
        <f t="shared" si="594"/>
        <v>25584.800000000003</v>
      </c>
    </row>
    <row r="522" spans="1:37" outlineLevel="1">
      <c r="A522" s="147"/>
      <c r="B522" s="188" t="s">
        <v>397</v>
      </c>
      <c r="C522" s="190" t="s">
        <v>23</v>
      </c>
      <c r="D522" s="190">
        <v>232111</v>
      </c>
      <c r="E522" s="188">
        <v>11102171001</v>
      </c>
      <c r="F522" s="210" t="s">
        <v>436</v>
      </c>
      <c r="G522" s="211"/>
      <c r="H522" s="190" t="s">
        <v>65</v>
      </c>
      <c r="I522" s="190">
        <v>1</v>
      </c>
      <c r="J522" s="212">
        <v>282.64999999999998</v>
      </c>
      <c r="K522" s="212">
        <f t="shared" si="587"/>
        <v>344.83</v>
      </c>
      <c r="L522" s="212">
        <f t="shared" si="588"/>
        <v>0</v>
      </c>
      <c r="M522" s="212">
        <f t="shared" si="589"/>
        <v>282.64999999999998</v>
      </c>
      <c r="N522" s="212">
        <f t="shared" si="590"/>
        <v>0</v>
      </c>
      <c r="O522" s="213">
        <f t="shared" si="591"/>
        <v>344.83</v>
      </c>
      <c r="P522" s="213">
        <f t="shared" si="592"/>
        <v>0</v>
      </c>
      <c r="Q522" s="3"/>
      <c r="R522" s="222">
        <f t="shared" si="593"/>
        <v>27586</v>
      </c>
      <c r="AK522" s="141">
        <f t="shared" si="594"/>
        <v>27586.400000000001</v>
      </c>
    </row>
    <row r="523" spans="1:37" outlineLevel="1">
      <c r="A523" s="147"/>
      <c r="B523" s="188" t="s">
        <v>397</v>
      </c>
      <c r="C523" s="190" t="s">
        <v>23</v>
      </c>
      <c r="D523" s="190">
        <v>232121</v>
      </c>
      <c r="E523" s="188">
        <v>11102181001</v>
      </c>
      <c r="F523" s="210" t="s">
        <v>437</v>
      </c>
      <c r="G523" s="211"/>
      <c r="H523" s="190" t="s">
        <v>65</v>
      </c>
      <c r="I523" s="190">
        <v>1</v>
      </c>
      <c r="J523" s="212">
        <v>302.07</v>
      </c>
      <c r="K523" s="212">
        <f t="shared" si="587"/>
        <v>368.53</v>
      </c>
      <c r="L523" s="212">
        <f t="shared" si="588"/>
        <v>0</v>
      </c>
      <c r="M523" s="212">
        <f t="shared" si="589"/>
        <v>302.07</v>
      </c>
      <c r="N523" s="212">
        <f t="shared" si="590"/>
        <v>0</v>
      </c>
      <c r="O523" s="213">
        <f t="shared" si="591"/>
        <v>368.53</v>
      </c>
      <c r="P523" s="213">
        <f t="shared" si="592"/>
        <v>0</v>
      </c>
      <c r="Q523" s="3"/>
      <c r="R523" s="222">
        <f t="shared" si="593"/>
        <v>29482</v>
      </c>
      <c r="AK523" s="141">
        <f t="shared" si="594"/>
        <v>29482.400000000001</v>
      </c>
    </row>
    <row r="524" spans="1:37" outlineLevel="1">
      <c r="A524" s="147"/>
      <c r="B524" s="188"/>
      <c r="C524" s="224"/>
      <c r="D524" s="190"/>
      <c r="E524" s="188"/>
      <c r="F524" s="210"/>
      <c r="G524" s="211"/>
      <c r="H524" s="190"/>
      <c r="I524" s="190"/>
      <c r="J524" s="212"/>
      <c r="K524" s="212"/>
      <c r="L524" s="212"/>
      <c r="M524" s="212"/>
      <c r="N524" s="212"/>
      <c r="O524" s="213"/>
      <c r="P524" s="213"/>
      <c r="Q524" s="3"/>
      <c r="R524" s="222"/>
      <c r="AK524" s="141"/>
    </row>
    <row r="525" spans="1:37" outlineLevel="1">
      <c r="A525" s="147"/>
      <c r="B525" s="188" t="s">
        <v>30</v>
      </c>
      <c r="C525" s="190" t="s">
        <v>23</v>
      </c>
      <c r="D525" s="190">
        <v>12663521003</v>
      </c>
      <c r="E525" s="188">
        <v>12663523003</v>
      </c>
      <c r="F525" s="210" t="s">
        <v>438</v>
      </c>
      <c r="G525" s="211"/>
      <c r="H525" s="190" t="s">
        <v>65</v>
      </c>
      <c r="I525" s="190">
        <v>10</v>
      </c>
      <c r="J525" s="212">
        <v>7.45</v>
      </c>
      <c r="K525" s="212">
        <f t="shared" ref="K525" si="595">ROUND((J525*$C$3),2)</f>
        <v>9.09</v>
      </c>
      <c r="L525" s="212">
        <f>K525*G525</f>
        <v>0</v>
      </c>
      <c r="M525" s="212">
        <f t="shared" ref="M525" si="596">J525*(1-$E$5-$E$7)*(1-$E$9)*(1+$E$11)</f>
        <v>7.45</v>
      </c>
      <c r="N525" s="212">
        <f>M525*G525</f>
        <v>0</v>
      </c>
      <c r="O525" s="213">
        <f t="shared" ref="O525" si="597">ROUND((M525*$C$3),2)</f>
        <v>9.09</v>
      </c>
      <c r="P525" s="213">
        <f>O525*G525</f>
        <v>0</v>
      </c>
      <c r="Q525" s="3"/>
      <c r="R525" s="214">
        <f t="shared" ref="R525" si="598">ROUND(AK525,0)</f>
        <v>727</v>
      </c>
      <c r="AK525" s="141">
        <f>K525*$AK$11*(1-$AK$10)</f>
        <v>727.2</v>
      </c>
    </row>
    <row r="526" spans="1:37" outlineLevel="1">
      <c r="A526" s="147"/>
      <c r="B526" s="188" t="s">
        <v>30</v>
      </c>
      <c r="C526" s="190" t="s">
        <v>23</v>
      </c>
      <c r="D526" s="190">
        <v>12663621003</v>
      </c>
      <c r="E526" s="188">
        <v>12663623003</v>
      </c>
      <c r="F526" s="210" t="s">
        <v>439</v>
      </c>
      <c r="G526" s="211"/>
      <c r="H526" s="190" t="s">
        <v>65</v>
      </c>
      <c r="I526" s="190">
        <v>10</v>
      </c>
      <c r="J526" s="212">
        <v>7.52</v>
      </c>
      <c r="K526" s="212">
        <f t="shared" ref="K526" si="599">ROUND((J526*$C$3),2)</f>
        <v>9.17</v>
      </c>
      <c r="L526" s="212">
        <f>K526*G526</f>
        <v>0</v>
      </c>
      <c r="M526" s="212">
        <f t="shared" ref="M526" si="600">J526*(1-$E$5-$E$7)*(1-$E$9)*(1+$E$11)</f>
        <v>7.52</v>
      </c>
      <c r="N526" s="212">
        <f>M526*G526</f>
        <v>0</v>
      </c>
      <c r="O526" s="213">
        <f t="shared" ref="O526" si="601">ROUND((M526*$C$3),2)</f>
        <v>9.17</v>
      </c>
      <c r="P526" s="213">
        <f>O526*G526</f>
        <v>0</v>
      </c>
      <c r="Q526" s="3"/>
      <c r="R526" s="222">
        <f t="shared" ref="R526" si="602">ROUND(AK526,0)</f>
        <v>734</v>
      </c>
      <c r="AK526" s="141">
        <f t="shared" si="594"/>
        <v>733.6</v>
      </c>
    </row>
    <row r="527" spans="1:37" outlineLevel="1">
      <c r="A527" s="147"/>
      <c r="B527" s="188"/>
      <c r="C527" s="224"/>
      <c r="D527" s="190"/>
      <c r="E527" s="188"/>
      <c r="F527" s="210"/>
      <c r="G527" s="211"/>
      <c r="H527" s="190"/>
      <c r="I527" s="190"/>
      <c r="J527" s="212"/>
      <c r="K527" s="212"/>
      <c r="L527" s="212"/>
      <c r="M527" s="212"/>
      <c r="N527" s="212"/>
      <c r="O527" s="213"/>
      <c r="P527" s="213"/>
      <c r="Q527" s="3"/>
      <c r="R527" s="222"/>
      <c r="AK527" s="141"/>
    </row>
    <row r="528" spans="1:37" outlineLevel="1">
      <c r="A528" s="147"/>
      <c r="B528" s="188" t="s">
        <v>30</v>
      </c>
      <c r="C528" s="190" t="s">
        <v>23</v>
      </c>
      <c r="D528" s="190">
        <v>12664521003</v>
      </c>
      <c r="E528" s="188">
        <v>12664523003</v>
      </c>
      <c r="F528" s="210" t="s">
        <v>440</v>
      </c>
      <c r="G528" s="219"/>
      <c r="H528" s="190" t="s">
        <v>65</v>
      </c>
      <c r="I528" s="190">
        <v>10</v>
      </c>
      <c r="J528" s="212">
        <v>7.14</v>
      </c>
      <c r="K528" s="212">
        <f t="shared" ref="K528:K529" si="603">ROUND((J528*$C$3),2)</f>
        <v>8.7100000000000009</v>
      </c>
      <c r="L528" s="212">
        <f>K528*G528</f>
        <v>0</v>
      </c>
      <c r="M528" s="212">
        <f t="shared" ref="M528:M529" si="604">J528*(1-$E$5-$E$7)*(1-$E$9)*(1+$E$11)</f>
        <v>7.14</v>
      </c>
      <c r="N528" s="212">
        <f>M528*G528</f>
        <v>0</v>
      </c>
      <c r="O528" s="213">
        <f t="shared" ref="O528:O529" si="605">ROUND((M528*$C$3),2)</f>
        <v>8.7100000000000009</v>
      </c>
      <c r="P528" s="213">
        <f>O528*G528</f>
        <v>0</v>
      </c>
      <c r="Q528" s="3"/>
      <c r="R528" s="214">
        <f t="shared" ref="R528:R529" si="606">ROUND(AK528,0)</f>
        <v>697</v>
      </c>
      <c r="AK528" s="141">
        <f>K528*$AK$11*(1-$AK$10)</f>
        <v>696.80000000000018</v>
      </c>
    </row>
    <row r="529" spans="1:37" outlineLevel="1">
      <c r="A529" s="147"/>
      <c r="B529" s="188" t="s">
        <v>30</v>
      </c>
      <c r="C529" s="190" t="s">
        <v>23</v>
      </c>
      <c r="D529" s="190">
        <v>12664621003</v>
      </c>
      <c r="E529" s="188">
        <v>12664623003</v>
      </c>
      <c r="F529" s="210" t="s">
        <v>441</v>
      </c>
      <c r="G529" s="219"/>
      <c r="H529" s="190" t="s">
        <v>65</v>
      </c>
      <c r="I529" s="190">
        <v>10</v>
      </c>
      <c r="J529" s="212">
        <v>7.21</v>
      </c>
      <c r="K529" s="212">
        <f t="shared" si="603"/>
        <v>8.8000000000000007</v>
      </c>
      <c r="L529" s="212">
        <f>K529*G529</f>
        <v>0</v>
      </c>
      <c r="M529" s="212">
        <f t="shared" si="604"/>
        <v>7.21</v>
      </c>
      <c r="N529" s="212">
        <f>M529*G529</f>
        <v>0</v>
      </c>
      <c r="O529" s="213">
        <f t="shared" si="605"/>
        <v>8.8000000000000007</v>
      </c>
      <c r="P529" s="213">
        <f>O529*G529</f>
        <v>0</v>
      </c>
      <c r="Q529" s="3"/>
      <c r="R529" s="214">
        <f t="shared" si="606"/>
        <v>704</v>
      </c>
      <c r="AK529" s="141">
        <f>K529*$AK$11*(1-$AK$10)</f>
        <v>704.00000000000011</v>
      </c>
    </row>
    <row r="530" spans="1:37" outlineLevel="1">
      <c r="A530" s="147"/>
      <c r="B530" s="260"/>
      <c r="C530" s="215"/>
      <c r="D530" s="215"/>
      <c r="E530" s="217"/>
      <c r="F530" s="218"/>
      <c r="G530" s="219"/>
      <c r="H530" s="215"/>
      <c r="I530" s="215"/>
      <c r="J530" s="220"/>
      <c r="K530" s="220"/>
      <c r="L530" s="220"/>
      <c r="M530" s="220"/>
      <c r="N530" s="220"/>
      <c r="O530" s="221"/>
      <c r="P530" s="221"/>
      <c r="Q530" s="3"/>
      <c r="R530" s="222"/>
      <c r="AK530" s="141"/>
    </row>
    <row r="531" spans="1:37" s="73" customFormat="1" outlineLevel="1">
      <c r="A531" s="150"/>
      <c r="B531" s="240" t="s">
        <v>397</v>
      </c>
      <c r="C531" s="190" t="s">
        <v>23</v>
      </c>
      <c r="D531" s="248">
        <v>269262</v>
      </c>
      <c r="E531" s="188">
        <v>12081221001</v>
      </c>
      <c r="F531" s="258" t="s">
        <v>442</v>
      </c>
      <c r="G531" s="211"/>
      <c r="H531" s="190" t="s">
        <v>65</v>
      </c>
      <c r="I531" s="190">
        <v>1</v>
      </c>
      <c r="J531" s="212">
        <v>54.11</v>
      </c>
      <c r="K531" s="212">
        <f t="shared" si="587"/>
        <v>66.010000000000005</v>
      </c>
      <c r="L531" s="212">
        <f>K531*G531</f>
        <v>0</v>
      </c>
      <c r="M531" s="212">
        <f t="shared" si="589"/>
        <v>54.11</v>
      </c>
      <c r="N531" s="212">
        <f>M531*G531</f>
        <v>0</v>
      </c>
      <c r="O531" s="213">
        <f t="shared" si="591"/>
        <v>66.010000000000005</v>
      </c>
      <c r="P531" s="213">
        <f>O531*G531</f>
        <v>0</v>
      </c>
      <c r="Q531" s="3"/>
      <c r="R531" s="214">
        <f t="shared" si="593"/>
        <v>5281</v>
      </c>
      <c r="AK531" s="141">
        <f>K531*$AK$11*(1-$AK$10)</f>
        <v>5280.8000000000011</v>
      </c>
    </row>
    <row r="532" spans="1:37" outlineLevel="1">
      <c r="A532" s="147"/>
      <c r="B532" s="293"/>
      <c r="C532" s="215"/>
      <c r="D532" s="294"/>
      <c r="E532" s="217"/>
      <c r="F532" s="295"/>
      <c r="G532" s="219"/>
      <c r="H532" s="215"/>
      <c r="I532" s="215"/>
      <c r="J532" s="220"/>
      <c r="K532" s="220"/>
      <c r="L532" s="220"/>
      <c r="M532" s="220"/>
      <c r="N532" s="220"/>
      <c r="O532" s="221"/>
      <c r="P532" s="221"/>
      <c r="Q532" s="3"/>
      <c r="R532" s="222"/>
      <c r="AK532" s="141"/>
    </row>
    <row r="533" spans="1:37" outlineLevel="1">
      <c r="A533" s="147"/>
      <c r="B533" s="296" t="s">
        <v>397</v>
      </c>
      <c r="C533" s="190" t="s">
        <v>23</v>
      </c>
      <c r="D533" s="248"/>
      <c r="E533" s="188">
        <v>13454101001</v>
      </c>
      <c r="F533" s="258" t="s">
        <v>443</v>
      </c>
      <c r="G533" s="211"/>
      <c r="H533" s="248" t="s">
        <v>65</v>
      </c>
      <c r="I533" s="248">
        <v>1</v>
      </c>
      <c r="J533" s="212">
        <v>205.4</v>
      </c>
      <c r="K533" s="212">
        <f t="shared" si="587"/>
        <v>250.59</v>
      </c>
      <c r="L533" s="212">
        <f>K533*G533</f>
        <v>0</v>
      </c>
      <c r="M533" s="212">
        <f t="shared" si="589"/>
        <v>205.4</v>
      </c>
      <c r="N533" s="212">
        <f>M533*G533</f>
        <v>0</v>
      </c>
      <c r="O533" s="297">
        <f t="shared" si="591"/>
        <v>250.59</v>
      </c>
      <c r="P533" s="213">
        <f>O533*G533</f>
        <v>0</v>
      </c>
      <c r="Q533" s="3"/>
      <c r="R533" s="222">
        <f t="shared" si="593"/>
        <v>20047</v>
      </c>
      <c r="AK533" s="141">
        <f t="shared" ref="AK533:AK537" si="607">K533*$AK$11*(1-$AK$10)</f>
        <v>20047.2</v>
      </c>
    </row>
    <row r="534" spans="1:37" outlineLevel="1">
      <c r="A534" s="147"/>
      <c r="B534" s="296" t="s">
        <v>397</v>
      </c>
      <c r="C534" s="190" t="s">
        <v>23</v>
      </c>
      <c r="D534" s="248"/>
      <c r="E534" s="188">
        <v>13454201001</v>
      </c>
      <c r="F534" s="258" t="s">
        <v>444</v>
      </c>
      <c r="G534" s="211"/>
      <c r="H534" s="248" t="s">
        <v>65</v>
      </c>
      <c r="I534" s="248">
        <v>1</v>
      </c>
      <c r="J534" s="212">
        <v>243.72</v>
      </c>
      <c r="K534" s="212">
        <f t="shared" si="587"/>
        <v>297.33999999999997</v>
      </c>
      <c r="L534" s="212">
        <f>K534*G534</f>
        <v>0</v>
      </c>
      <c r="M534" s="212">
        <f t="shared" si="589"/>
        <v>243.72</v>
      </c>
      <c r="N534" s="212">
        <f>M534*G534</f>
        <v>0</v>
      </c>
      <c r="O534" s="297">
        <f t="shared" si="591"/>
        <v>297.33999999999997</v>
      </c>
      <c r="P534" s="213">
        <f>O534*G534</f>
        <v>0</v>
      </c>
      <c r="Q534" s="3"/>
      <c r="R534" s="222">
        <f t="shared" si="593"/>
        <v>23787</v>
      </c>
      <c r="AK534" s="141">
        <f t="shared" si="607"/>
        <v>23787.199999999997</v>
      </c>
    </row>
    <row r="535" spans="1:37" outlineLevel="1">
      <c r="A535" s="147"/>
      <c r="B535" s="296" t="s">
        <v>397</v>
      </c>
      <c r="C535" s="190" t="s">
        <v>23</v>
      </c>
      <c r="D535" s="248"/>
      <c r="E535" s="188">
        <v>13454301001</v>
      </c>
      <c r="F535" s="258" t="s">
        <v>445</v>
      </c>
      <c r="G535" s="211"/>
      <c r="H535" s="248" t="s">
        <v>65</v>
      </c>
      <c r="I535" s="248">
        <v>1</v>
      </c>
      <c r="J535" s="212">
        <v>278.47000000000003</v>
      </c>
      <c r="K535" s="212">
        <f t="shared" si="587"/>
        <v>339.73</v>
      </c>
      <c r="L535" s="212">
        <f>K535*G535</f>
        <v>0</v>
      </c>
      <c r="M535" s="212">
        <f t="shared" si="589"/>
        <v>278.47000000000003</v>
      </c>
      <c r="N535" s="212">
        <f>M535*G535</f>
        <v>0</v>
      </c>
      <c r="O535" s="297">
        <f t="shared" si="591"/>
        <v>339.73</v>
      </c>
      <c r="P535" s="213">
        <f>O535*G535</f>
        <v>0</v>
      </c>
      <c r="Q535" s="3"/>
      <c r="R535" s="222">
        <f t="shared" si="593"/>
        <v>27178</v>
      </c>
      <c r="AK535" s="141">
        <f t="shared" si="607"/>
        <v>27178.400000000001</v>
      </c>
    </row>
    <row r="536" spans="1:37" outlineLevel="1">
      <c r="A536" s="147"/>
      <c r="B536" s="296" t="s">
        <v>397</v>
      </c>
      <c r="C536" s="190" t="s">
        <v>23</v>
      </c>
      <c r="D536" s="248"/>
      <c r="E536" s="188">
        <v>13454401001</v>
      </c>
      <c r="F536" s="258" t="s">
        <v>446</v>
      </c>
      <c r="G536" s="211"/>
      <c r="H536" s="248" t="s">
        <v>65</v>
      </c>
      <c r="I536" s="248">
        <v>1</v>
      </c>
      <c r="J536" s="212">
        <v>327.08</v>
      </c>
      <c r="K536" s="212">
        <f t="shared" si="587"/>
        <v>399.04</v>
      </c>
      <c r="L536" s="212">
        <f>K536*G536</f>
        <v>0</v>
      </c>
      <c r="M536" s="212">
        <f t="shared" si="589"/>
        <v>327.08</v>
      </c>
      <c r="N536" s="212">
        <f>M536*G536</f>
        <v>0</v>
      </c>
      <c r="O536" s="297">
        <f t="shared" si="591"/>
        <v>399.04</v>
      </c>
      <c r="P536" s="213">
        <f>O536*G536</f>
        <v>0</v>
      </c>
      <c r="Q536" s="3"/>
      <c r="R536" s="222">
        <f t="shared" si="593"/>
        <v>31923</v>
      </c>
      <c r="AK536" s="141">
        <f t="shared" si="607"/>
        <v>31923.200000000001</v>
      </c>
    </row>
    <row r="537" spans="1:37" outlineLevel="1">
      <c r="A537" s="147"/>
      <c r="B537" s="296" t="s">
        <v>397</v>
      </c>
      <c r="C537" s="190" t="s">
        <v>23</v>
      </c>
      <c r="D537" s="248"/>
      <c r="E537" s="188">
        <v>13454501001</v>
      </c>
      <c r="F537" s="258" t="s">
        <v>447</v>
      </c>
      <c r="G537" s="211"/>
      <c r="H537" s="248" t="s">
        <v>65</v>
      </c>
      <c r="I537" s="248">
        <v>1</v>
      </c>
      <c r="J537" s="212">
        <v>360.07</v>
      </c>
      <c r="K537" s="212">
        <f t="shared" si="587"/>
        <v>439.29</v>
      </c>
      <c r="L537" s="212">
        <f>K537*G537</f>
        <v>0</v>
      </c>
      <c r="M537" s="212">
        <f t="shared" si="589"/>
        <v>360.07</v>
      </c>
      <c r="N537" s="212">
        <f>M537*G537</f>
        <v>0</v>
      </c>
      <c r="O537" s="297">
        <f t="shared" si="591"/>
        <v>439.29</v>
      </c>
      <c r="P537" s="213">
        <f>O537*G537</f>
        <v>0</v>
      </c>
      <c r="Q537" s="3"/>
      <c r="R537" s="222">
        <f t="shared" si="593"/>
        <v>35143</v>
      </c>
      <c r="AK537" s="141">
        <f t="shared" si="607"/>
        <v>35143.200000000004</v>
      </c>
    </row>
    <row r="538" spans="1:37" outlineLevel="1">
      <c r="A538" s="147"/>
      <c r="B538" s="296"/>
      <c r="C538" s="224"/>
      <c r="D538" s="248"/>
      <c r="E538" s="188"/>
      <c r="F538" s="258"/>
      <c r="G538" s="211"/>
      <c r="H538" s="248"/>
      <c r="I538" s="248"/>
      <c r="J538" s="212"/>
      <c r="K538" s="212"/>
      <c r="L538" s="212"/>
      <c r="M538" s="212"/>
      <c r="N538" s="212"/>
      <c r="O538" s="297"/>
      <c r="P538" s="213"/>
      <c r="Q538" s="3"/>
      <c r="R538" s="222"/>
      <c r="AK538" s="141"/>
    </row>
    <row r="539" spans="1:37" outlineLevel="1">
      <c r="A539" s="147"/>
      <c r="B539" s="296" t="s">
        <v>397</v>
      </c>
      <c r="C539" s="190" t="s">
        <v>23</v>
      </c>
      <c r="D539" s="248"/>
      <c r="E539" s="188">
        <v>13474101001</v>
      </c>
      <c r="F539" s="258" t="s">
        <v>448</v>
      </c>
      <c r="G539" s="211"/>
      <c r="H539" s="248" t="s">
        <v>65</v>
      </c>
      <c r="I539" s="248">
        <v>1</v>
      </c>
      <c r="J539" s="212">
        <v>185.1</v>
      </c>
      <c r="K539" s="212">
        <f t="shared" si="587"/>
        <v>225.82</v>
      </c>
      <c r="L539" s="212">
        <f>K539*G539</f>
        <v>0</v>
      </c>
      <c r="M539" s="212">
        <f t="shared" si="589"/>
        <v>185.1</v>
      </c>
      <c r="N539" s="212">
        <f>M539*G539</f>
        <v>0</v>
      </c>
      <c r="O539" s="297">
        <f t="shared" si="591"/>
        <v>225.82</v>
      </c>
      <c r="P539" s="213">
        <f>O539*G539</f>
        <v>0</v>
      </c>
      <c r="Q539" s="3"/>
      <c r="R539" s="222">
        <f t="shared" si="593"/>
        <v>18066</v>
      </c>
      <c r="AK539" s="141">
        <f t="shared" ref="AK539:AK540" si="608">K539*$AK$11*(1-$AK$10)</f>
        <v>18065.600000000002</v>
      </c>
    </row>
    <row r="540" spans="1:37" outlineLevel="1">
      <c r="A540" s="147"/>
      <c r="B540" s="296" t="s">
        <v>397</v>
      </c>
      <c r="C540" s="190" t="s">
        <v>23</v>
      </c>
      <c r="D540" s="248"/>
      <c r="E540" s="188">
        <v>13474501001</v>
      </c>
      <c r="F540" s="258" t="s">
        <v>449</v>
      </c>
      <c r="G540" s="211"/>
      <c r="H540" s="248" t="s">
        <v>65</v>
      </c>
      <c r="I540" s="248">
        <v>1</v>
      </c>
      <c r="J540" s="212">
        <v>309.70999999999998</v>
      </c>
      <c r="K540" s="212">
        <f t="shared" si="587"/>
        <v>377.85</v>
      </c>
      <c r="L540" s="212">
        <f>K540*G540</f>
        <v>0</v>
      </c>
      <c r="M540" s="212">
        <f t="shared" si="589"/>
        <v>309.70999999999998</v>
      </c>
      <c r="N540" s="212">
        <f>M540*G540</f>
        <v>0</v>
      </c>
      <c r="O540" s="297">
        <f t="shared" si="591"/>
        <v>377.85</v>
      </c>
      <c r="P540" s="213">
        <f>O540*G540</f>
        <v>0</v>
      </c>
      <c r="Q540" s="3"/>
      <c r="R540" s="222">
        <f t="shared" si="593"/>
        <v>30228</v>
      </c>
      <c r="AK540" s="141">
        <f t="shared" si="608"/>
        <v>30228</v>
      </c>
    </row>
    <row r="541" spans="1:37" outlineLevel="1">
      <c r="A541" s="147"/>
      <c r="B541" s="296"/>
      <c r="C541" s="224"/>
      <c r="D541" s="248"/>
      <c r="E541" s="188"/>
      <c r="F541" s="258"/>
      <c r="G541" s="211"/>
      <c r="H541" s="248"/>
      <c r="I541" s="248"/>
      <c r="J541" s="212"/>
      <c r="K541" s="212"/>
      <c r="L541" s="212"/>
      <c r="M541" s="212"/>
      <c r="N541" s="212"/>
      <c r="O541" s="297"/>
      <c r="P541" s="213"/>
      <c r="Q541" s="3"/>
      <c r="R541" s="222"/>
      <c r="AK541" s="141"/>
    </row>
    <row r="542" spans="1:37" outlineLevel="1">
      <c r="A542" s="147"/>
      <c r="B542" s="296" t="s">
        <v>397</v>
      </c>
      <c r="C542" s="190" t="s">
        <v>23</v>
      </c>
      <c r="D542" s="248"/>
      <c r="E542" s="188">
        <v>13464101001</v>
      </c>
      <c r="F542" s="258" t="s">
        <v>450</v>
      </c>
      <c r="G542" s="211"/>
      <c r="H542" s="248" t="s">
        <v>65</v>
      </c>
      <c r="I542" s="248">
        <v>1</v>
      </c>
      <c r="J542" s="212">
        <v>208.59</v>
      </c>
      <c r="K542" s="212">
        <f t="shared" si="587"/>
        <v>254.48</v>
      </c>
      <c r="L542" s="212">
        <f>K542*G542</f>
        <v>0</v>
      </c>
      <c r="M542" s="212">
        <f t="shared" si="589"/>
        <v>208.59</v>
      </c>
      <c r="N542" s="212">
        <f>M542*G542</f>
        <v>0</v>
      </c>
      <c r="O542" s="297">
        <f t="shared" si="591"/>
        <v>254.48</v>
      </c>
      <c r="P542" s="213">
        <f>O542*G542</f>
        <v>0</v>
      </c>
      <c r="Q542" s="3"/>
      <c r="R542" s="222">
        <f t="shared" si="593"/>
        <v>20358</v>
      </c>
      <c r="AK542" s="141">
        <f>K542*$AK$11*(1-$AK$10)</f>
        <v>20358.400000000001</v>
      </c>
    </row>
    <row r="543" spans="1:37" outlineLevel="1">
      <c r="A543" s="147"/>
      <c r="B543" s="296" t="s">
        <v>397</v>
      </c>
      <c r="C543" s="190" t="s">
        <v>23</v>
      </c>
      <c r="D543" s="248"/>
      <c r="E543" s="188">
        <v>13464201001</v>
      </c>
      <c r="F543" s="258" t="s">
        <v>451</v>
      </c>
      <c r="G543" s="211"/>
      <c r="H543" s="248" t="s">
        <v>65</v>
      </c>
      <c r="I543" s="248">
        <v>1</v>
      </c>
      <c r="J543" s="212">
        <v>250.46</v>
      </c>
      <c r="K543" s="212">
        <f t="shared" si="587"/>
        <v>305.56</v>
      </c>
      <c r="L543" s="212">
        <f>K543*G543</f>
        <v>0</v>
      </c>
      <c r="M543" s="212">
        <f t="shared" si="589"/>
        <v>250.46</v>
      </c>
      <c r="N543" s="212">
        <f>M543*G543</f>
        <v>0</v>
      </c>
      <c r="O543" s="297">
        <f t="shared" si="591"/>
        <v>305.56</v>
      </c>
      <c r="P543" s="213">
        <f>O543*G543</f>
        <v>0</v>
      </c>
      <c r="Q543" s="3"/>
      <c r="R543" s="222">
        <f t="shared" si="593"/>
        <v>24445</v>
      </c>
      <c r="AK543" s="141">
        <f>K543*$AK$11*(1-$AK$10)</f>
        <v>24444.800000000003</v>
      </c>
    </row>
    <row r="544" spans="1:37" outlineLevel="1">
      <c r="A544" s="147"/>
      <c r="B544" s="296" t="s">
        <v>397</v>
      </c>
      <c r="C544" s="190" t="s">
        <v>23</v>
      </c>
      <c r="D544" s="248"/>
      <c r="E544" s="188">
        <v>13464301001</v>
      </c>
      <c r="F544" s="258" t="s">
        <v>452</v>
      </c>
      <c r="G544" s="211"/>
      <c r="H544" s="248" t="s">
        <v>65</v>
      </c>
      <c r="I544" s="248">
        <v>1</v>
      </c>
      <c r="J544" s="212">
        <v>283.10000000000002</v>
      </c>
      <c r="K544" s="212">
        <f t="shared" si="587"/>
        <v>345.38</v>
      </c>
      <c r="L544" s="212">
        <f>K544*G544</f>
        <v>0</v>
      </c>
      <c r="M544" s="212">
        <f t="shared" si="589"/>
        <v>283.10000000000002</v>
      </c>
      <c r="N544" s="212">
        <f>M544*G544</f>
        <v>0</v>
      </c>
      <c r="O544" s="297">
        <f t="shared" si="591"/>
        <v>345.38</v>
      </c>
      <c r="P544" s="213">
        <f>O544*G544</f>
        <v>0</v>
      </c>
      <c r="Q544" s="3"/>
      <c r="R544" s="222">
        <f t="shared" si="593"/>
        <v>27630</v>
      </c>
      <c r="AK544" s="141">
        <f>K544*$AK$11*(1-$AK$10)</f>
        <v>27630.400000000001</v>
      </c>
    </row>
    <row r="545" spans="1:37" s="73" customFormat="1" outlineLevel="1">
      <c r="A545" s="150"/>
      <c r="B545" s="240" t="s">
        <v>397</v>
      </c>
      <c r="C545" s="190" t="s">
        <v>23</v>
      </c>
      <c r="D545" s="248"/>
      <c r="E545" s="188">
        <v>13464401001</v>
      </c>
      <c r="F545" s="258" t="s">
        <v>453</v>
      </c>
      <c r="G545" s="211"/>
      <c r="H545" s="248" t="s">
        <v>65</v>
      </c>
      <c r="I545" s="248">
        <v>1</v>
      </c>
      <c r="J545" s="212">
        <v>329.56</v>
      </c>
      <c r="K545" s="212">
        <f t="shared" si="587"/>
        <v>402.06</v>
      </c>
      <c r="L545" s="212">
        <f>K545*G545</f>
        <v>0</v>
      </c>
      <c r="M545" s="212">
        <f t="shared" si="589"/>
        <v>329.56</v>
      </c>
      <c r="N545" s="212">
        <f>M545*G545</f>
        <v>0</v>
      </c>
      <c r="O545" s="297">
        <f t="shared" si="591"/>
        <v>402.06</v>
      </c>
      <c r="P545" s="213">
        <f>O545*G545</f>
        <v>0</v>
      </c>
      <c r="Q545" s="3"/>
      <c r="R545" s="214">
        <f t="shared" si="593"/>
        <v>32165</v>
      </c>
      <c r="AK545" s="141">
        <f>K545*$AK$11*(1-$AK$10)</f>
        <v>32164.800000000003</v>
      </c>
    </row>
    <row r="546" spans="1:37" outlineLevel="1">
      <c r="A546" s="147"/>
      <c r="B546" s="296"/>
      <c r="C546" s="224"/>
      <c r="D546" s="248"/>
      <c r="E546" s="188"/>
      <c r="F546" s="258"/>
      <c r="G546" s="211"/>
      <c r="H546" s="248"/>
      <c r="I546" s="248"/>
      <c r="J546" s="212"/>
      <c r="K546" s="212"/>
      <c r="L546" s="212"/>
      <c r="M546" s="212"/>
      <c r="N546" s="212"/>
      <c r="O546" s="297"/>
      <c r="P546" s="213"/>
      <c r="Q546" s="3"/>
      <c r="R546" s="222"/>
      <c r="AK546" s="141"/>
    </row>
    <row r="547" spans="1:37" outlineLevel="1">
      <c r="A547" s="147"/>
      <c r="B547" s="296" t="s">
        <v>397</v>
      </c>
      <c r="C547" s="190" t="s">
        <v>23</v>
      </c>
      <c r="D547" s="190"/>
      <c r="E547" s="188">
        <v>12573781002</v>
      </c>
      <c r="F547" s="210" t="s">
        <v>454</v>
      </c>
      <c r="G547" s="211"/>
      <c r="H547" s="190" t="s">
        <v>65</v>
      </c>
      <c r="I547" s="190">
        <v>100</v>
      </c>
      <c r="J547" s="212">
        <v>0.55000000000000004</v>
      </c>
      <c r="K547" s="212">
        <f>ROUND((J547*$C$3),2)</f>
        <v>0.67</v>
      </c>
      <c r="L547" s="212">
        <f>K547*G547</f>
        <v>0</v>
      </c>
      <c r="M547" s="212">
        <f>J547*(1-$E$5-$E$7)*(1-$E$9)*(1+$E$11)</f>
        <v>0.55000000000000004</v>
      </c>
      <c r="N547" s="212">
        <f>M547*G547</f>
        <v>0</v>
      </c>
      <c r="O547" s="213">
        <f>ROUND((M547*$C$3),2)</f>
        <v>0.67</v>
      </c>
      <c r="P547" s="213">
        <f>O547*G547</f>
        <v>0</v>
      </c>
      <c r="Q547" s="3"/>
      <c r="R547" s="222">
        <f>ROUND(AK547,0)</f>
        <v>54</v>
      </c>
      <c r="AK547" s="141">
        <f>K547*$AK$11*(1-$AK$10)</f>
        <v>53.6</v>
      </c>
    </row>
    <row r="548" spans="1:37" outlineLevel="1">
      <c r="A548" s="147"/>
      <c r="B548" s="296" t="s">
        <v>30</v>
      </c>
      <c r="C548" s="190" t="s">
        <v>23</v>
      </c>
      <c r="D548" s="190"/>
      <c r="E548" s="188">
        <v>12573883002</v>
      </c>
      <c r="F548" s="210" t="s">
        <v>455</v>
      </c>
      <c r="G548" s="211"/>
      <c r="H548" s="190" t="s">
        <v>65</v>
      </c>
      <c r="I548" s="190">
        <v>100</v>
      </c>
      <c r="J548" s="212">
        <v>0.91</v>
      </c>
      <c r="K548" s="212">
        <f t="shared" ref="K548:K549" si="609">ROUND((J548*$C$3),2)</f>
        <v>1.1100000000000001</v>
      </c>
      <c r="L548" s="212">
        <f>K548*G548</f>
        <v>0</v>
      </c>
      <c r="M548" s="212">
        <f t="shared" ref="M548:M549" si="610">J548*(1-$E$5-$E$7)*(1-$E$9)*(1+$E$11)</f>
        <v>0.91</v>
      </c>
      <c r="N548" s="212">
        <f>M548*G548</f>
        <v>0</v>
      </c>
      <c r="O548" s="213">
        <f t="shared" ref="O548:O549" si="611">ROUND((M548*$C$3),2)</f>
        <v>1.1100000000000001</v>
      </c>
      <c r="P548" s="213">
        <f>O548*G548</f>
        <v>0</v>
      </c>
      <c r="Q548" s="3"/>
      <c r="R548" s="222">
        <f t="shared" ref="R548:R549" si="612">ROUND(AK548,0)</f>
        <v>89</v>
      </c>
      <c r="AK548" s="141">
        <f>K548*$AK$11*(1-$AK$10)</f>
        <v>88.800000000000011</v>
      </c>
    </row>
    <row r="549" spans="1:37" outlineLevel="1">
      <c r="A549" s="147"/>
      <c r="B549" s="296" t="s">
        <v>30</v>
      </c>
      <c r="C549" s="190" t="s">
        <v>23</v>
      </c>
      <c r="D549" s="190">
        <v>12657091001</v>
      </c>
      <c r="E549" s="188">
        <v>12657093001</v>
      </c>
      <c r="F549" s="210" t="s">
        <v>456</v>
      </c>
      <c r="G549" s="211"/>
      <c r="H549" s="190" t="s">
        <v>65</v>
      </c>
      <c r="I549" s="190">
        <v>50</v>
      </c>
      <c r="J549" s="212">
        <v>0.91</v>
      </c>
      <c r="K549" s="212">
        <f t="shared" si="609"/>
        <v>1.1100000000000001</v>
      </c>
      <c r="L549" s="212">
        <f>K549*G549</f>
        <v>0</v>
      </c>
      <c r="M549" s="212">
        <f t="shared" si="610"/>
        <v>0.91</v>
      </c>
      <c r="N549" s="212">
        <f>M549*G549</f>
        <v>0</v>
      </c>
      <c r="O549" s="213">
        <f t="shared" si="611"/>
        <v>1.1100000000000001</v>
      </c>
      <c r="P549" s="213">
        <f>O549*G549</f>
        <v>0</v>
      </c>
      <c r="Q549" s="3"/>
      <c r="R549" s="222">
        <f t="shared" si="612"/>
        <v>89</v>
      </c>
      <c r="AK549" s="141">
        <f>K549*$AK$11*(1-$AK$10)</f>
        <v>88.800000000000011</v>
      </c>
    </row>
    <row r="550" spans="1:37" outlineLevel="1">
      <c r="A550" s="147"/>
      <c r="B550" s="260"/>
      <c r="C550" s="215"/>
      <c r="D550" s="215"/>
      <c r="E550" s="217"/>
      <c r="F550" s="218"/>
      <c r="G550" s="219"/>
      <c r="H550" s="215"/>
      <c r="I550" s="215"/>
      <c r="J550" s="220"/>
      <c r="K550" s="220"/>
      <c r="L550" s="220"/>
      <c r="M550" s="220"/>
      <c r="N550" s="220"/>
      <c r="O550" s="221"/>
      <c r="P550" s="221"/>
      <c r="Q550" s="3"/>
      <c r="R550" s="222"/>
      <c r="AK550" s="141"/>
    </row>
    <row r="551" spans="1:37" ht="28.9" outlineLevel="1">
      <c r="A551" s="147"/>
      <c r="B551" s="260" t="s">
        <v>30</v>
      </c>
      <c r="C551" s="190" t="s">
        <v>23</v>
      </c>
      <c r="D551" s="248">
        <v>12658791001</v>
      </c>
      <c r="E551" s="188">
        <v>12658793001</v>
      </c>
      <c r="F551" s="275" t="s">
        <v>457</v>
      </c>
      <c r="G551" s="298"/>
      <c r="H551" s="190" t="s">
        <v>65</v>
      </c>
      <c r="I551" s="190">
        <v>1</v>
      </c>
      <c r="J551" s="212">
        <v>11.8</v>
      </c>
      <c r="K551" s="212">
        <f t="shared" ref="K551" si="613">ROUND((J551*$C$3),2)</f>
        <v>14.4</v>
      </c>
      <c r="L551" s="212">
        <f>K551*G551</f>
        <v>0</v>
      </c>
      <c r="M551" s="212">
        <f t="shared" ref="M551" si="614">J551*(1-$E$5-$E$7)*(1-$E$9)*(1+$E$11)</f>
        <v>11.8</v>
      </c>
      <c r="N551" s="212">
        <f>M551*G551</f>
        <v>0</v>
      </c>
      <c r="O551" s="213">
        <f t="shared" ref="O551" si="615">ROUND((M551*$C$3),2)</f>
        <v>14.4</v>
      </c>
      <c r="P551" s="213">
        <f>O551*G551</f>
        <v>0</v>
      </c>
      <c r="Q551" s="3"/>
      <c r="R551" s="214">
        <f>ROUND(AK551,0)</f>
        <v>1152</v>
      </c>
      <c r="AK551" s="141">
        <f t="shared" ref="AK551" si="616">K551*$AK$11*(1-$AK$10)</f>
        <v>1152</v>
      </c>
    </row>
    <row r="552" spans="1:37" outlineLevel="1">
      <c r="A552" s="147"/>
      <c r="B552" s="260"/>
      <c r="C552" s="190"/>
      <c r="D552" s="248"/>
      <c r="E552" s="188"/>
      <c r="F552" s="172"/>
      <c r="G552" s="298"/>
      <c r="H552" s="190"/>
      <c r="I552" s="190"/>
      <c r="J552" s="212"/>
      <c r="K552" s="212"/>
      <c r="L552" s="212"/>
      <c r="M552" s="212"/>
      <c r="N552" s="212"/>
      <c r="O552" s="213"/>
      <c r="P552" s="213"/>
      <c r="Q552" s="3"/>
      <c r="R552" s="214"/>
      <c r="AK552" s="141"/>
    </row>
    <row r="553" spans="1:37" outlineLevel="1">
      <c r="A553" s="147"/>
      <c r="B553" s="299"/>
      <c r="C553" s="300"/>
      <c r="D553" s="301"/>
      <c r="E553" s="302"/>
      <c r="F553" s="303" t="s">
        <v>458</v>
      </c>
      <c r="G553" s="304"/>
      <c r="H553" s="305"/>
      <c r="I553" s="305"/>
      <c r="J553" s="306"/>
      <c r="K553" s="306"/>
      <c r="L553" s="306"/>
      <c r="M553" s="306"/>
      <c r="N553" s="306"/>
      <c r="O553" s="307"/>
      <c r="P553" s="308"/>
      <c r="Q553" s="3"/>
      <c r="R553" s="309"/>
      <c r="AK553" s="141"/>
    </row>
    <row r="554" spans="1:37" outlineLevel="1">
      <c r="A554" s="147"/>
      <c r="B554" s="299"/>
      <c r="C554" s="310" t="s">
        <v>459</v>
      </c>
      <c r="D554" s="301"/>
      <c r="E554" s="302"/>
      <c r="F554" s="303" t="s">
        <v>460</v>
      </c>
      <c r="G554" s="304"/>
      <c r="H554" s="305"/>
      <c r="I554" s="305"/>
      <c r="J554" s="306"/>
      <c r="K554" s="306"/>
      <c r="L554" s="306"/>
      <c r="M554" s="306"/>
      <c r="N554" s="306"/>
      <c r="O554" s="307"/>
      <c r="P554" s="308"/>
      <c r="Q554" s="3"/>
      <c r="R554" s="309"/>
      <c r="AK554" s="141"/>
    </row>
    <row r="555" spans="1:37" outlineLevel="1">
      <c r="A555" s="147"/>
      <c r="B555" s="311" t="s">
        <v>30</v>
      </c>
      <c r="C555" s="277" t="s">
        <v>459</v>
      </c>
      <c r="D555" s="312"/>
      <c r="E555" s="313">
        <v>19101011001</v>
      </c>
      <c r="F555" s="314" t="s">
        <v>461</v>
      </c>
      <c r="G555" s="228"/>
      <c r="H555" s="277" t="s">
        <v>65</v>
      </c>
      <c r="I555" s="277">
        <v>1</v>
      </c>
      <c r="J555" s="315">
        <v>249.31</v>
      </c>
      <c r="K555" s="315">
        <f>ROUND((J555*$C$3),2)</f>
        <v>304.16000000000003</v>
      </c>
      <c r="L555" s="315">
        <f>K555*G555</f>
        <v>0</v>
      </c>
      <c r="M555" s="315">
        <f t="shared" ref="M555" si="617">J555*(1-$E$5-$E$7)*(1-$E$9)*(1+$E$11)</f>
        <v>249.31</v>
      </c>
      <c r="N555" s="315">
        <f>M555*G555</f>
        <v>0</v>
      </c>
      <c r="O555" s="316">
        <f t="shared" ref="O555" si="618">ROUND((M555*$C$3),2)</f>
        <v>304.16000000000003</v>
      </c>
      <c r="P555" s="316">
        <f>O555*G555</f>
        <v>0</v>
      </c>
      <c r="Q555" s="132"/>
      <c r="R555" s="214">
        <f>ROUND(AK555,0)</f>
        <v>23116</v>
      </c>
      <c r="U555" s="174"/>
      <c r="W555" s="175"/>
      <c r="AK555" s="141">
        <f>K555*$AK$11*(1-$AK$9)</f>
        <v>23116.160000000003</v>
      </c>
    </row>
    <row r="556" spans="1:37" outlineLevel="1">
      <c r="A556" s="147"/>
      <c r="B556" s="311"/>
      <c r="C556" s="277"/>
      <c r="D556" s="312"/>
      <c r="E556" s="313"/>
      <c r="F556" s="314"/>
      <c r="G556" s="228"/>
      <c r="H556" s="277"/>
      <c r="I556" s="277"/>
      <c r="J556" s="315"/>
      <c r="K556" s="315"/>
      <c r="L556" s="315"/>
      <c r="M556" s="315"/>
      <c r="N556" s="315"/>
      <c r="O556" s="316"/>
      <c r="P556" s="316"/>
      <c r="Q556" s="132"/>
      <c r="R556" s="317"/>
      <c r="U556" s="174"/>
      <c r="W556" s="175"/>
      <c r="AK556" s="141"/>
    </row>
    <row r="557" spans="1:37" outlineLevel="1">
      <c r="A557" s="147"/>
      <c r="B557" s="299"/>
      <c r="C557" s="310" t="s">
        <v>459</v>
      </c>
      <c r="D557" s="301"/>
      <c r="E557" s="302"/>
      <c r="F557" s="303" t="s">
        <v>462</v>
      </c>
      <c r="G557" s="304"/>
      <c r="H557" s="305"/>
      <c r="I557" s="305"/>
      <c r="J557" s="306"/>
      <c r="K557" s="306"/>
      <c r="L557" s="306"/>
      <c r="M557" s="306"/>
      <c r="N557" s="306"/>
      <c r="O557" s="318"/>
      <c r="P557" s="308"/>
      <c r="Q557" s="132"/>
      <c r="R557" s="309"/>
      <c r="U557" s="174"/>
      <c r="W557" s="175"/>
      <c r="AK557" s="141"/>
    </row>
    <row r="558" spans="1:37" ht="26.45" outlineLevel="1">
      <c r="A558" s="147"/>
      <c r="B558" s="311" t="s">
        <v>30</v>
      </c>
      <c r="C558" s="277" t="s">
        <v>459</v>
      </c>
      <c r="D558" s="312"/>
      <c r="E558" s="313">
        <v>19101021001</v>
      </c>
      <c r="F558" s="314" t="s">
        <v>463</v>
      </c>
      <c r="G558" s="228"/>
      <c r="H558" s="277" t="s">
        <v>65</v>
      </c>
      <c r="I558" s="277">
        <v>1</v>
      </c>
      <c r="J558" s="315">
        <v>264.62</v>
      </c>
      <c r="K558" s="315">
        <f t="shared" ref="K558:K566" si="619">ROUND((J558*$C$3),2)</f>
        <v>322.83999999999997</v>
      </c>
      <c r="L558" s="315">
        <f t="shared" ref="L558:L566" si="620">K558*G558</f>
        <v>0</v>
      </c>
      <c r="M558" s="315">
        <f t="shared" ref="M558:M566" si="621">J558*(1-$E$5-$E$7)*(1-$E$9)*(1+$E$11)</f>
        <v>264.62</v>
      </c>
      <c r="N558" s="315">
        <f t="shared" ref="N558:N566" si="622">M558*G558</f>
        <v>0</v>
      </c>
      <c r="O558" s="316">
        <f t="shared" ref="O558:O566" si="623">ROUND((M558*$C$3),2)</f>
        <v>322.83999999999997</v>
      </c>
      <c r="P558" s="316">
        <f t="shared" ref="P558:P566" si="624">O558*G558</f>
        <v>0</v>
      </c>
      <c r="Q558" s="132"/>
      <c r="R558" s="214">
        <f>ROUND(AK558,0)</f>
        <v>24536</v>
      </c>
      <c r="U558" s="174"/>
      <c r="W558" s="175"/>
      <c r="AK558" s="141">
        <f t="shared" ref="AK558:AK619" si="625">K558*$AK$11*(1-$AK$9)</f>
        <v>24535.839999999997</v>
      </c>
    </row>
    <row r="559" spans="1:37" ht="26.45" outlineLevel="1">
      <c r="A559" s="147"/>
      <c r="B559" s="311" t="s">
        <v>30</v>
      </c>
      <c r="C559" s="277" t="s">
        <v>459</v>
      </c>
      <c r="D559" s="312"/>
      <c r="E559" s="313">
        <v>19101031001</v>
      </c>
      <c r="F559" s="314" t="s">
        <v>464</v>
      </c>
      <c r="G559" s="228"/>
      <c r="H559" s="277" t="s">
        <v>65</v>
      </c>
      <c r="I559" s="277">
        <v>1</v>
      </c>
      <c r="J559" s="315">
        <v>293.05</v>
      </c>
      <c r="K559" s="315">
        <f t="shared" si="619"/>
        <v>357.52</v>
      </c>
      <c r="L559" s="315">
        <f t="shared" si="620"/>
        <v>0</v>
      </c>
      <c r="M559" s="315">
        <f t="shared" si="621"/>
        <v>293.05</v>
      </c>
      <c r="N559" s="315">
        <f t="shared" si="622"/>
        <v>0</v>
      </c>
      <c r="O559" s="316">
        <f t="shared" si="623"/>
        <v>357.52</v>
      </c>
      <c r="P559" s="316">
        <f t="shared" si="624"/>
        <v>0</v>
      </c>
      <c r="Q559" s="132"/>
      <c r="R559" s="214">
        <f t="shared" ref="R559:R566" si="626">ROUND(AK559,0)</f>
        <v>27172</v>
      </c>
      <c r="U559" s="174"/>
      <c r="W559" s="175"/>
      <c r="AK559" s="141">
        <f t="shared" si="625"/>
        <v>27171.52</v>
      </c>
    </row>
    <row r="560" spans="1:37" ht="26.45" outlineLevel="1">
      <c r="A560" s="147"/>
      <c r="B560" s="311" t="s">
        <v>30</v>
      </c>
      <c r="C560" s="277" t="s">
        <v>459</v>
      </c>
      <c r="D560" s="312"/>
      <c r="E560" s="313">
        <v>19101041001</v>
      </c>
      <c r="F560" s="314" t="s">
        <v>465</v>
      </c>
      <c r="G560" s="228"/>
      <c r="H560" s="277" t="s">
        <v>65</v>
      </c>
      <c r="I560" s="277">
        <v>1</v>
      </c>
      <c r="J560" s="315">
        <v>289.77</v>
      </c>
      <c r="K560" s="315">
        <f t="shared" si="619"/>
        <v>353.52</v>
      </c>
      <c r="L560" s="315">
        <f t="shared" si="620"/>
        <v>0</v>
      </c>
      <c r="M560" s="315">
        <f t="shared" si="621"/>
        <v>289.77</v>
      </c>
      <c r="N560" s="315">
        <f t="shared" si="622"/>
        <v>0</v>
      </c>
      <c r="O560" s="316">
        <f t="shared" si="623"/>
        <v>353.52</v>
      </c>
      <c r="P560" s="316">
        <f t="shared" si="624"/>
        <v>0</v>
      </c>
      <c r="Q560" s="132"/>
      <c r="R560" s="214">
        <f t="shared" si="626"/>
        <v>26868</v>
      </c>
      <c r="U560" s="174"/>
      <c r="W560" s="175"/>
      <c r="AK560" s="141">
        <f t="shared" si="625"/>
        <v>26867.52</v>
      </c>
    </row>
    <row r="561" spans="1:37" ht="26.45" outlineLevel="1">
      <c r="A561" s="147"/>
      <c r="B561" s="311" t="s">
        <v>30</v>
      </c>
      <c r="C561" s="277" t="s">
        <v>459</v>
      </c>
      <c r="D561" s="312"/>
      <c r="E561" s="313">
        <v>19101051001</v>
      </c>
      <c r="F561" s="314" t="s">
        <v>466</v>
      </c>
      <c r="G561" s="228"/>
      <c r="H561" s="277" t="s">
        <v>65</v>
      </c>
      <c r="I561" s="277">
        <v>1</v>
      </c>
      <c r="J561" s="315">
        <v>264.62</v>
      </c>
      <c r="K561" s="315">
        <f t="shared" si="619"/>
        <v>322.83999999999997</v>
      </c>
      <c r="L561" s="315">
        <f t="shared" si="620"/>
        <v>0</v>
      </c>
      <c r="M561" s="315">
        <f t="shared" si="621"/>
        <v>264.62</v>
      </c>
      <c r="N561" s="315">
        <f t="shared" si="622"/>
        <v>0</v>
      </c>
      <c r="O561" s="316">
        <f t="shared" si="623"/>
        <v>322.83999999999997</v>
      </c>
      <c r="P561" s="316">
        <f t="shared" si="624"/>
        <v>0</v>
      </c>
      <c r="Q561" s="132"/>
      <c r="R561" s="214">
        <f t="shared" si="626"/>
        <v>24536</v>
      </c>
      <c r="U561" s="174"/>
      <c r="W561" s="175"/>
      <c r="AK561" s="141">
        <f t="shared" si="625"/>
        <v>24535.839999999997</v>
      </c>
    </row>
    <row r="562" spans="1:37" ht="26.45" outlineLevel="1">
      <c r="A562" s="147"/>
      <c r="B562" s="311" t="s">
        <v>30</v>
      </c>
      <c r="C562" s="277" t="s">
        <v>459</v>
      </c>
      <c r="D562" s="312"/>
      <c r="E562" s="313">
        <v>19101061001</v>
      </c>
      <c r="F562" s="314" t="s">
        <v>467</v>
      </c>
      <c r="G562" s="228"/>
      <c r="H562" s="277" t="s">
        <v>65</v>
      </c>
      <c r="I562" s="277">
        <v>1</v>
      </c>
      <c r="J562" s="315">
        <v>293.05</v>
      </c>
      <c r="K562" s="315">
        <f t="shared" si="619"/>
        <v>357.52</v>
      </c>
      <c r="L562" s="315">
        <f t="shared" si="620"/>
        <v>0</v>
      </c>
      <c r="M562" s="315">
        <f t="shared" si="621"/>
        <v>293.05</v>
      </c>
      <c r="N562" s="315">
        <f t="shared" si="622"/>
        <v>0</v>
      </c>
      <c r="O562" s="316">
        <f t="shared" si="623"/>
        <v>357.52</v>
      </c>
      <c r="P562" s="316">
        <f t="shared" si="624"/>
        <v>0</v>
      </c>
      <c r="Q562" s="132"/>
      <c r="R562" s="214">
        <f t="shared" si="626"/>
        <v>27172</v>
      </c>
      <c r="U562" s="174"/>
      <c r="W562" s="175"/>
      <c r="AK562" s="141">
        <f t="shared" si="625"/>
        <v>27171.52</v>
      </c>
    </row>
    <row r="563" spans="1:37" ht="26.45" outlineLevel="1">
      <c r="A563" s="147"/>
      <c r="B563" s="311" t="s">
        <v>30</v>
      </c>
      <c r="C563" s="277" t="s">
        <v>459</v>
      </c>
      <c r="D563" s="312"/>
      <c r="E563" s="313">
        <v>19101071001</v>
      </c>
      <c r="F563" s="314" t="s">
        <v>468</v>
      </c>
      <c r="G563" s="228"/>
      <c r="H563" s="277" t="s">
        <v>65</v>
      </c>
      <c r="I563" s="277">
        <v>1</v>
      </c>
      <c r="J563" s="315">
        <v>289.77</v>
      </c>
      <c r="K563" s="315">
        <f t="shared" si="619"/>
        <v>353.52</v>
      </c>
      <c r="L563" s="315">
        <f t="shared" si="620"/>
        <v>0</v>
      </c>
      <c r="M563" s="315">
        <f t="shared" si="621"/>
        <v>289.77</v>
      </c>
      <c r="N563" s="315">
        <f t="shared" si="622"/>
        <v>0</v>
      </c>
      <c r="O563" s="316">
        <f t="shared" si="623"/>
        <v>353.52</v>
      </c>
      <c r="P563" s="316">
        <f t="shared" si="624"/>
        <v>0</v>
      </c>
      <c r="Q563" s="132"/>
      <c r="R563" s="214">
        <f t="shared" si="626"/>
        <v>26868</v>
      </c>
      <c r="U563" s="174"/>
      <c r="W563" s="175"/>
      <c r="AK563" s="141">
        <f t="shared" si="625"/>
        <v>26867.52</v>
      </c>
    </row>
    <row r="564" spans="1:37" ht="26.45" outlineLevel="1">
      <c r="A564" s="147"/>
      <c r="B564" s="311" t="s">
        <v>30</v>
      </c>
      <c r="C564" s="277" t="s">
        <v>459</v>
      </c>
      <c r="D564" s="312"/>
      <c r="E564" s="313">
        <v>19101081001</v>
      </c>
      <c r="F564" s="314" t="s">
        <v>469</v>
      </c>
      <c r="G564" s="228"/>
      <c r="H564" s="277" t="s">
        <v>65</v>
      </c>
      <c r="I564" s="277">
        <v>1</v>
      </c>
      <c r="J564" s="315">
        <v>264.62</v>
      </c>
      <c r="K564" s="315">
        <f t="shared" si="619"/>
        <v>322.83999999999997</v>
      </c>
      <c r="L564" s="315">
        <f t="shared" si="620"/>
        <v>0</v>
      </c>
      <c r="M564" s="315">
        <f t="shared" si="621"/>
        <v>264.62</v>
      </c>
      <c r="N564" s="315">
        <f t="shared" si="622"/>
        <v>0</v>
      </c>
      <c r="O564" s="316">
        <f t="shared" si="623"/>
        <v>322.83999999999997</v>
      </c>
      <c r="P564" s="316">
        <f t="shared" si="624"/>
        <v>0</v>
      </c>
      <c r="Q564" s="132"/>
      <c r="R564" s="214">
        <f t="shared" si="626"/>
        <v>24536</v>
      </c>
      <c r="U564" s="174"/>
      <c r="W564" s="175"/>
      <c r="AK564" s="141">
        <f t="shared" si="625"/>
        <v>24535.839999999997</v>
      </c>
    </row>
    <row r="565" spans="1:37" ht="26.45" outlineLevel="1">
      <c r="A565" s="147"/>
      <c r="B565" s="311" t="s">
        <v>30</v>
      </c>
      <c r="C565" s="277" t="s">
        <v>459</v>
      </c>
      <c r="D565" s="312"/>
      <c r="E565" s="313">
        <v>19101091001</v>
      </c>
      <c r="F565" s="314" t="s">
        <v>470</v>
      </c>
      <c r="G565" s="228"/>
      <c r="H565" s="277" t="s">
        <v>65</v>
      </c>
      <c r="I565" s="277">
        <v>1</v>
      </c>
      <c r="J565" s="315">
        <v>293.05</v>
      </c>
      <c r="K565" s="315">
        <f t="shared" si="619"/>
        <v>357.52</v>
      </c>
      <c r="L565" s="315">
        <f t="shared" si="620"/>
        <v>0</v>
      </c>
      <c r="M565" s="315">
        <f t="shared" si="621"/>
        <v>293.05</v>
      </c>
      <c r="N565" s="315">
        <f t="shared" si="622"/>
        <v>0</v>
      </c>
      <c r="O565" s="316">
        <f t="shared" si="623"/>
        <v>357.52</v>
      </c>
      <c r="P565" s="316">
        <f t="shared" si="624"/>
        <v>0</v>
      </c>
      <c r="Q565" s="132"/>
      <c r="R565" s="214">
        <f t="shared" si="626"/>
        <v>27172</v>
      </c>
      <c r="U565" s="174"/>
      <c r="W565" s="175"/>
      <c r="AK565" s="141">
        <f t="shared" si="625"/>
        <v>27171.52</v>
      </c>
    </row>
    <row r="566" spans="1:37" ht="26.45" outlineLevel="1">
      <c r="A566" s="147"/>
      <c r="B566" s="311" t="s">
        <v>30</v>
      </c>
      <c r="C566" s="277" t="s">
        <v>459</v>
      </c>
      <c r="D566" s="312"/>
      <c r="E566" s="313">
        <v>19101101001</v>
      </c>
      <c r="F566" s="314" t="s">
        <v>471</v>
      </c>
      <c r="G566" s="228"/>
      <c r="H566" s="277" t="s">
        <v>65</v>
      </c>
      <c r="I566" s="277">
        <v>1</v>
      </c>
      <c r="J566" s="315">
        <v>289.77</v>
      </c>
      <c r="K566" s="315">
        <f t="shared" si="619"/>
        <v>353.52</v>
      </c>
      <c r="L566" s="315">
        <f t="shared" si="620"/>
        <v>0</v>
      </c>
      <c r="M566" s="315">
        <f t="shared" si="621"/>
        <v>289.77</v>
      </c>
      <c r="N566" s="315">
        <f t="shared" si="622"/>
        <v>0</v>
      </c>
      <c r="O566" s="316">
        <f t="shared" si="623"/>
        <v>353.52</v>
      </c>
      <c r="P566" s="316">
        <f t="shared" si="624"/>
        <v>0</v>
      </c>
      <c r="Q566" s="132"/>
      <c r="R566" s="214">
        <f t="shared" si="626"/>
        <v>26868</v>
      </c>
      <c r="U566" s="174"/>
      <c r="W566" s="175"/>
      <c r="AK566" s="141">
        <f t="shared" si="625"/>
        <v>26867.52</v>
      </c>
    </row>
    <row r="567" spans="1:37" outlineLevel="1">
      <c r="A567" s="147"/>
      <c r="B567" s="311"/>
      <c r="C567" s="277"/>
      <c r="D567" s="312"/>
      <c r="E567" s="313"/>
      <c r="F567" s="314"/>
      <c r="G567" s="228"/>
      <c r="H567" s="277"/>
      <c r="I567" s="277"/>
      <c r="J567" s="315"/>
      <c r="K567" s="315"/>
      <c r="L567" s="315"/>
      <c r="M567" s="315"/>
      <c r="N567" s="315"/>
      <c r="O567" s="316"/>
      <c r="P567" s="316"/>
      <c r="Q567" s="132"/>
      <c r="R567" s="317"/>
      <c r="U567" s="174"/>
      <c r="W567" s="175"/>
      <c r="AK567" s="141"/>
    </row>
    <row r="568" spans="1:37" outlineLevel="1">
      <c r="A568" s="147"/>
      <c r="B568" s="299"/>
      <c r="C568" s="310" t="s">
        <v>459</v>
      </c>
      <c r="D568" s="301"/>
      <c r="E568" s="302"/>
      <c r="F568" s="303" t="s">
        <v>472</v>
      </c>
      <c r="G568" s="304"/>
      <c r="H568" s="305"/>
      <c r="I568" s="305"/>
      <c r="J568" s="306"/>
      <c r="K568" s="306"/>
      <c r="L568" s="306"/>
      <c r="M568" s="306"/>
      <c r="N568" s="306"/>
      <c r="O568" s="318"/>
      <c r="P568" s="308"/>
      <c r="Q568" s="132"/>
      <c r="R568" s="309"/>
      <c r="U568" s="174"/>
      <c r="W568" s="175"/>
      <c r="AK568" s="141"/>
    </row>
    <row r="569" spans="1:37" ht="26.45" outlineLevel="1">
      <c r="A569" s="147"/>
      <c r="B569" s="311" t="s">
        <v>30</v>
      </c>
      <c r="C569" s="277" t="s">
        <v>459</v>
      </c>
      <c r="D569" s="312"/>
      <c r="E569" s="313">
        <v>19102011001</v>
      </c>
      <c r="F569" s="314" t="s">
        <v>473</v>
      </c>
      <c r="G569" s="228"/>
      <c r="H569" s="277" t="s">
        <v>65</v>
      </c>
      <c r="I569" s="277">
        <v>1</v>
      </c>
      <c r="J569" s="315">
        <v>31.43</v>
      </c>
      <c r="K569" s="315">
        <f t="shared" ref="K569:K575" si="627">ROUND((J569*$C$3),2)</f>
        <v>38.340000000000003</v>
      </c>
      <c r="L569" s="315">
        <f>K569*G569</f>
        <v>0</v>
      </c>
      <c r="M569" s="315">
        <f t="shared" ref="M569:M575" si="628">J569*(1-$E$5-$E$7)*(1-$E$9)*(1+$E$11)</f>
        <v>31.43</v>
      </c>
      <c r="N569" s="315">
        <f>M569*G569</f>
        <v>0</v>
      </c>
      <c r="O569" s="316">
        <f t="shared" ref="O569:O575" si="629">ROUND((M569*$C$3),2)</f>
        <v>38.340000000000003</v>
      </c>
      <c r="P569" s="316">
        <f>O569*G569</f>
        <v>0</v>
      </c>
      <c r="Q569" s="132"/>
      <c r="R569" s="214">
        <f t="shared" ref="R569:R632" si="630">ROUND(AK569,0)</f>
        <v>2914</v>
      </c>
      <c r="U569" s="174"/>
      <c r="W569" s="175"/>
      <c r="AK569" s="141">
        <f t="shared" si="625"/>
        <v>2913.8400000000006</v>
      </c>
    </row>
    <row r="570" spans="1:37" ht="26.45" outlineLevel="1">
      <c r="A570" s="147"/>
      <c r="B570" s="311" t="s">
        <v>474</v>
      </c>
      <c r="C570" s="277" t="s">
        <v>459</v>
      </c>
      <c r="D570" s="312"/>
      <c r="E570" s="313">
        <v>19102021001</v>
      </c>
      <c r="F570" s="314" t="s">
        <v>475</v>
      </c>
      <c r="G570" s="228"/>
      <c r="H570" s="277" t="s">
        <v>65</v>
      </c>
      <c r="I570" s="277">
        <v>1</v>
      </c>
      <c r="J570" s="315">
        <v>62.75</v>
      </c>
      <c r="K570" s="315">
        <f t="shared" si="627"/>
        <v>76.56</v>
      </c>
      <c r="L570" s="315">
        <f t="shared" ref="L570:L575" si="631">K570*G570</f>
        <v>0</v>
      </c>
      <c r="M570" s="315">
        <f t="shared" si="628"/>
        <v>62.75</v>
      </c>
      <c r="N570" s="315">
        <f t="shared" ref="N570:N575" si="632">M570*G570</f>
        <v>0</v>
      </c>
      <c r="O570" s="316">
        <f t="shared" si="629"/>
        <v>76.56</v>
      </c>
      <c r="P570" s="316">
        <f t="shared" ref="P570:P575" si="633">O570*G570</f>
        <v>0</v>
      </c>
      <c r="Q570" s="132"/>
      <c r="R570" s="214">
        <f t="shared" si="630"/>
        <v>5819</v>
      </c>
      <c r="U570" s="174"/>
      <c r="W570" s="175"/>
      <c r="AK570" s="141">
        <f t="shared" si="625"/>
        <v>5818.56</v>
      </c>
    </row>
    <row r="571" spans="1:37" ht="26.45" outlineLevel="1">
      <c r="A571" s="147"/>
      <c r="B571" s="311" t="s">
        <v>474</v>
      </c>
      <c r="C571" s="277" t="s">
        <v>459</v>
      </c>
      <c r="D571" s="312"/>
      <c r="E571" s="313">
        <v>19102031001</v>
      </c>
      <c r="F571" s="314" t="s">
        <v>476</v>
      </c>
      <c r="G571" s="228"/>
      <c r="H571" s="277" t="s">
        <v>65</v>
      </c>
      <c r="I571" s="277">
        <v>1</v>
      </c>
      <c r="J571" s="315">
        <v>58.72</v>
      </c>
      <c r="K571" s="315">
        <f t="shared" si="627"/>
        <v>71.64</v>
      </c>
      <c r="L571" s="315">
        <f t="shared" si="631"/>
        <v>0</v>
      </c>
      <c r="M571" s="315">
        <f t="shared" si="628"/>
        <v>58.72</v>
      </c>
      <c r="N571" s="315">
        <f t="shared" si="632"/>
        <v>0</v>
      </c>
      <c r="O571" s="316">
        <f t="shared" si="629"/>
        <v>71.64</v>
      </c>
      <c r="P571" s="316">
        <f t="shared" si="633"/>
        <v>0</v>
      </c>
      <c r="Q571" s="132"/>
      <c r="R571" s="214">
        <f t="shared" si="630"/>
        <v>5445</v>
      </c>
      <c r="U571" s="174"/>
      <c r="W571" s="175"/>
      <c r="AK571" s="141">
        <f t="shared" si="625"/>
        <v>5444.64</v>
      </c>
    </row>
    <row r="572" spans="1:37" ht="26.45" outlineLevel="1">
      <c r="A572" s="147"/>
      <c r="B572" s="311" t="s">
        <v>30</v>
      </c>
      <c r="C572" s="277" t="s">
        <v>459</v>
      </c>
      <c r="D572" s="312"/>
      <c r="E572" s="313">
        <v>19102041001</v>
      </c>
      <c r="F572" s="314" t="s">
        <v>477</v>
      </c>
      <c r="G572" s="228"/>
      <c r="H572" s="277" t="s">
        <v>65</v>
      </c>
      <c r="I572" s="277">
        <v>1</v>
      </c>
      <c r="J572" s="315">
        <v>58.72</v>
      </c>
      <c r="K572" s="315">
        <f t="shared" si="627"/>
        <v>71.64</v>
      </c>
      <c r="L572" s="315">
        <f t="shared" si="631"/>
        <v>0</v>
      </c>
      <c r="M572" s="315">
        <f t="shared" si="628"/>
        <v>58.72</v>
      </c>
      <c r="N572" s="315">
        <f t="shared" si="632"/>
        <v>0</v>
      </c>
      <c r="O572" s="316">
        <f t="shared" si="629"/>
        <v>71.64</v>
      </c>
      <c r="P572" s="316">
        <f t="shared" si="633"/>
        <v>0</v>
      </c>
      <c r="Q572" s="132"/>
      <c r="R572" s="214">
        <f t="shared" si="630"/>
        <v>5445</v>
      </c>
      <c r="U572" s="174"/>
      <c r="W572" s="175"/>
      <c r="AK572" s="141">
        <f t="shared" si="625"/>
        <v>5444.64</v>
      </c>
    </row>
    <row r="573" spans="1:37" ht="26.45" outlineLevel="1">
      <c r="A573" s="147"/>
      <c r="B573" s="311" t="s">
        <v>474</v>
      </c>
      <c r="C573" s="277" t="s">
        <v>459</v>
      </c>
      <c r="D573" s="312"/>
      <c r="E573" s="313">
        <v>19102051001</v>
      </c>
      <c r="F573" s="314" t="s">
        <v>478</v>
      </c>
      <c r="G573" s="228"/>
      <c r="H573" s="277" t="s">
        <v>65</v>
      </c>
      <c r="I573" s="277">
        <v>1</v>
      </c>
      <c r="J573" s="315">
        <v>58.72</v>
      </c>
      <c r="K573" s="315">
        <f t="shared" si="627"/>
        <v>71.64</v>
      </c>
      <c r="L573" s="315">
        <f t="shared" si="631"/>
        <v>0</v>
      </c>
      <c r="M573" s="315">
        <f t="shared" si="628"/>
        <v>58.72</v>
      </c>
      <c r="N573" s="315">
        <f t="shared" si="632"/>
        <v>0</v>
      </c>
      <c r="O573" s="316">
        <f t="shared" si="629"/>
        <v>71.64</v>
      </c>
      <c r="P573" s="316">
        <f t="shared" si="633"/>
        <v>0</v>
      </c>
      <c r="Q573" s="132"/>
      <c r="R573" s="214">
        <f t="shared" si="630"/>
        <v>5445</v>
      </c>
      <c r="U573" s="174"/>
      <c r="W573" s="175"/>
      <c r="AK573" s="141">
        <f t="shared" si="625"/>
        <v>5444.64</v>
      </c>
    </row>
    <row r="574" spans="1:37" ht="26.45" outlineLevel="1">
      <c r="A574" s="147"/>
      <c r="B574" s="311" t="s">
        <v>30</v>
      </c>
      <c r="C574" s="277" t="s">
        <v>459</v>
      </c>
      <c r="D574" s="312"/>
      <c r="E574" s="313">
        <v>19102061001</v>
      </c>
      <c r="F574" s="314" t="s">
        <v>479</v>
      </c>
      <c r="G574" s="228"/>
      <c r="H574" s="277" t="s">
        <v>65</v>
      </c>
      <c r="I574" s="277">
        <v>1</v>
      </c>
      <c r="J574" s="315">
        <v>58.72</v>
      </c>
      <c r="K574" s="315">
        <f t="shared" si="627"/>
        <v>71.64</v>
      </c>
      <c r="L574" s="315">
        <f t="shared" si="631"/>
        <v>0</v>
      </c>
      <c r="M574" s="315">
        <f t="shared" si="628"/>
        <v>58.72</v>
      </c>
      <c r="N574" s="315">
        <f t="shared" si="632"/>
        <v>0</v>
      </c>
      <c r="O574" s="316">
        <f t="shared" si="629"/>
        <v>71.64</v>
      </c>
      <c r="P574" s="316">
        <f t="shared" si="633"/>
        <v>0</v>
      </c>
      <c r="Q574" s="132"/>
      <c r="R574" s="214">
        <f t="shared" si="630"/>
        <v>5445</v>
      </c>
      <c r="U574" s="174"/>
      <c r="W574" s="175"/>
      <c r="AK574" s="141">
        <f t="shared" si="625"/>
        <v>5444.64</v>
      </c>
    </row>
    <row r="575" spans="1:37" ht="26.45" outlineLevel="1">
      <c r="A575" s="147"/>
      <c r="B575" s="311" t="s">
        <v>474</v>
      </c>
      <c r="C575" s="277" t="s">
        <v>459</v>
      </c>
      <c r="D575" s="312"/>
      <c r="E575" s="313">
        <v>19102071001</v>
      </c>
      <c r="F575" s="314" t="s">
        <v>480</v>
      </c>
      <c r="G575" s="228"/>
      <c r="H575" s="277" t="s">
        <v>65</v>
      </c>
      <c r="I575" s="277">
        <v>1</v>
      </c>
      <c r="J575" s="315">
        <v>58.72</v>
      </c>
      <c r="K575" s="315">
        <f t="shared" si="627"/>
        <v>71.64</v>
      </c>
      <c r="L575" s="315">
        <f t="shared" si="631"/>
        <v>0</v>
      </c>
      <c r="M575" s="315">
        <f t="shared" si="628"/>
        <v>58.72</v>
      </c>
      <c r="N575" s="315">
        <f t="shared" si="632"/>
        <v>0</v>
      </c>
      <c r="O575" s="316">
        <f t="shared" si="629"/>
        <v>71.64</v>
      </c>
      <c r="P575" s="316">
        <f t="shared" si="633"/>
        <v>0</v>
      </c>
      <c r="Q575" s="132"/>
      <c r="R575" s="214">
        <f t="shared" si="630"/>
        <v>5445</v>
      </c>
      <c r="U575" s="174"/>
      <c r="W575" s="175"/>
      <c r="AK575" s="141">
        <f t="shared" si="625"/>
        <v>5444.64</v>
      </c>
    </row>
    <row r="576" spans="1:37" outlineLevel="1">
      <c r="A576" s="147"/>
      <c r="B576" s="311"/>
      <c r="C576" s="277"/>
      <c r="D576" s="312"/>
      <c r="E576" s="313"/>
      <c r="F576" s="314"/>
      <c r="G576" s="228"/>
      <c r="H576" s="277"/>
      <c r="I576" s="277"/>
      <c r="J576" s="315"/>
      <c r="K576" s="315"/>
      <c r="L576" s="315"/>
      <c r="M576" s="315"/>
      <c r="N576" s="315"/>
      <c r="O576" s="316"/>
      <c r="P576" s="316"/>
      <c r="Q576" s="132"/>
      <c r="R576" s="317"/>
      <c r="U576" s="174"/>
      <c r="W576" s="175"/>
      <c r="AK576" s="141"/>
    </row>
    <row r="577" spans="1:37" ht="26.45" outlineLevel="1">
      <c r="A577" s="147"/>
      <c r="B577" s="311" t="s">
        <v>474</v>
      </c>
      <c r="C577" s="277" t="s">
        <v>459</v>
      </c>
      <c r="D577" s="312"/>
      <c r="E577" s="313">
        <v>19102101001</v>
      </c>
      <c r="F577" s="314" t="s">
        <v>481</v>
      </c>
      <c r="G577" s="228"/>
      <c r="H577" s="277" t="s">
        <v>65</v>
      </c>
      <c r="I577" s="277">
        <v>1</v>
      </c>
      <c r="J577" s="315">
        <v>30.89</v>
      </c>
      <c r="K577" s="315">
        <f t="shared" ref="K577:K583" si="634">ROUND((J577*$C$3),2)</f>
        <v>37.69</v>
      </c>
      <c r="L577" s="315">
        <f t="shared" ref="L577:L583" si="635">K577*G577</f>
        <v>0</v>
      </c>
      <c r="M577" s="315">
        <f t="shared" ref="M577:M583" si="636">J577*(1-$E$5-$E$7)*(1-$E$9)*(1+$E$11)</f>
        <v>30.89</v>
      </c>
      <c r="N577" s="315">
        <f t="shared" ref="N577:N583" si="637">M577*G577</f>
        <v>0</v>
      </c>
      <c r="O577" s="316">
        <f t="shared" ref="O577:O583" si="638">ROUND((M577*$C$3),2)</f>
        <v>37.69</v>
      </c>
      <c r="P577" s="316">
        <f t="shared" ref="P577:P583" si="639">O577*G577</f>
        <v>0</v>
      </c>
      <c r="Q577" s="132"/>
      <c r="R577" s="214">
        <f t="shared" si="630"/>
        <v>2864</v>
      </c>
      <c r="U577" s="174"/>
      <c r="W577" s="175"/>
      <c r="AK577" s="141">
        <f t="shared" si="625"/>
        <v>2864.44</v>
      </c>
    </row>
    <row r="578" spans="1:37" ht="26.45" outlineLevel="1">
      <c r="A578" s="147"/>
      <c r="B578" s="311" t="s">
        <v>30</v>
      </c>
      <c r="C578" s="277" t="s">
        <v>459</v>
      </c>
      <c r="D578" s="312"/>
      <c r="E578" s="313">
        <v>19102111001</v>
      </c>
      <c r="F578" s="314" t="s">
        <v>482</v>
      </c>
      <c r="G578" s="228"/>
      <c r="H578" s="277" t="s">
        <v>65</v>
      </c>
      <c r="I578" s="277">
        <v>1</v>
      </c>
      <c r="J578" s="315">
        <v>62.75</v>
      </c>
      <c r="K578" s="315">
        <f t="shared" si="634"/>
        <v>76.56</v>
      </c>
      <c r="L578" s="315">
        <f t="shared" si="635"/>
        <v>0</v>
      </c>
      <c r="M578" s="315">
        <f t="shared" si="636"/>
        <v>62.75</v>
      </c>
      <c r="N578" s="315">
        <f t="shared" si="637"/>
        <v>0</v>
      </c>
      <c r="O578" s="316">
        <f t="shared" si="638"/>
        <v>76.56</v>
      </c>
      <c r="P578" s="316">
        <f t="shared" si="639"/>
        <v>0</v>
      </c>
      <c r="Q578" s="132"/>
      <c r="R578" s="214">
        <f t="shared" si="630"/>
        <v>5819</v>
      </c>
      <c r="U578" s="174"/>
      <c r="W578" s="175"/>
      <c r="AK578" s="141">
        <f t="shared" si="625"/>
        <v>5818.56</v>
      </c>
    </row>
    <row r="579" spans="1:37" ht="26.45" outlineLevel="1">
      <c r="A579" s="147"/>
      <c r="B579" s="311" t="s">
        <v>474</v>
      </c>
      <c r="C579" s="277" t="s">
        <v>459</v>
      </c>
      <c r="D579" s="312"/>
      <c r="E579" s="313">
        <v>19102121001</v>
      </c>
      <c r="F579" s="314" t="s">
        <v>483</v>
      </c>
      <c r="G579" s="228"/>
      <c r="H579" s="277" t="s">
        <v>65</v>
      </c>
      <c r="I579" s="277">
        <v>1</v>
      </c>
      <c r="J579" s="315">
        <v>58.72</v>
      </c>
      <c r="K579" s="315">
        <f t="shared" si="634"/>
        <v>71.64</v>
      </c>
      <c r="L579" s="315">
        <f t="shared" si="635"/>
        <v>0</v>
      </c>
      <c r="M579" s="315">
        <f t="shared" si="636"/>
        <v>58.72</v>
      </c>
      <c r="N579" s="315">
        <f t="shared" si="637"/>
        <v>0</v>
      </c>
      <c r="O579" s="316">
        <f t="shared" si="638"/>
        <v>71.64</v>
      </c>
      <c r="P579" s="316">
        <f t="shared" si="639"/>
        <v>0</v>
      </c>
      <c r="Q579" s="132"/>
      <c r="R579" s="214">
        <f t="shared" si="630"/>
        <v>5445</v>
      </c>
      <c r="U579" s="174"/>
      <c r="W579" s="175"/>
      <c r="AK579" s="141">
        <f t="shared" si="625"/>
        <v>5444.64</v>
      </c>
    </row>
    <row r="580" spans="1:37" ht="26.45" outlineLevel="1">
      <c r="A580" s="147"/>
      <c r="B580" s="311" t="s">
        <v>30</v>
      </c>
      <c r="C580" s="277" t="s">
        <v>459</v>
      </c>
      <c r="D580" s="312"/>
      <c r="E580" s="313">
        <v>19102131001</v>
      </c>
      <c r="F580" s="314" t="s">
        <v>484</v>
      </c>
      <c r="G580" s="228"/>
      <c r="H580" s="277" t="s">
        <v>65</v>
      </c>
      <c r="I580" s="277">
        <v>1</v>
      </c>
      <c r="J580" s="315">
        <v>58.72</v>
      </c>
      <c r="K580" s="315">
        <f t="shared" si="634"/>
        <v>71.64</v>
      </c>
      <c r="L580" s="315">
        <f t="shared" si="635"/>
        <v>0</v>
      </c>
      <c r="M580" s="315">
        <f t="shared" si="636"/>
        <v>58.72</v>
      </c>
      <c r="N580" s="315">
        <f t="shared" si="637"/>
        <v>0</v>
      </c>
      <c r="O580" s="316">
        <f t="shared" si="638"/>
        <v>71.64</v>
      </c>
      <c r="P580" s="316">
        <f t="shared" si="639"/>
        <v>0</v>
      </c>
      <c r="Q580" s="132"/>
      <c r="R580" s="214">
        <f t="shared" si="630"/>
        <v>5445</v>
      </c>
      <c r="U580" s="174"/>
      <c r="W580" s="175"/>
      <c r="AK580" s="141">
        <f t="shared" si="625"/>
        <v>5444.64</v>
      </c>
    </row>
    <row r="581" spans="1:37" ht="26.45" outlineLevel="1">
      <c r="A581" s="147"/>
      <c r="B581" s="311" t="s">
        <v>474</v>
      </c>
      <c r="C581" s="277" t="s">
        <v>459</v>
      </c>
      <c r="D581" s="312"/>
      <c r="E581" s="313">
        <v>19102141001</v>
      </c>
      <c r="F581" s="314" t="s">
        <v>485</v>
      </c>
      <c r="G581" s="228"/>
      <c r="H581" s="277" t="s">
        <v>65</v>
      </c>
      <c r="I581" s="277">
        <v>1</v>
      </c>
      <c r="J581" s="315">
        <v>58.72</v>
      </c>
      <c r="K581" s="315">
        <f t="shared" si="634"/>
        <v>71.64</v>
      </c>
      <c r="L581" s="315">
        <f t="shared" si="635"/>
        <v>0</v>
      </c>
      <c r="M581" s="315">
        <f t="shared" si="636"/>
        <v>58.72</v>
      </c>
      <c r="N581" s="315">
        <f t="shared" si="637"/>
        <v>0</v>
      </c>
      <c r="O581" s="316">
        <f t="shared" si="638"/>
        <v>71.64</v>
      </c>
      <c r="P581" s="316">
        <f t="shared" si="639"/>
        <v>0</v>
      </c>
      <c r="Q581" s="132"/>
      <c r="R581" s="214">
        <f t="shared" si="630"/>
        <v>5445</v>
      </c>
      <c r="U581" s="174"/>
      <c r="W581" s="175"/>
      <c r="AK581" s="141">
        <f t="shared" si="625"/>
        <v>5444.64</v>
      </c>
    </row>
    <row r="582" spans="1:37" ht="26.45" outlineLevel="1">
      <c r="A582" s="147"/>
      <c r="B582" s="311" t="s">
        <v>30</v>
      </c>
      <c r="C582" s="277" t="s">
        <v>459</v>
      </c>
      <c r="D582" s="312"/>
      <c r="E582" s="313">
        <v>19102151001</v>
      </c>
      <c r="F582" s="314" t="s">
        <v>486</v>
      </c>
      <c r="G582" s="228"/>
      <c r="H582" s="277" t="s">
        <v>65</v>
      </c>
      <c r="I582" s="277">
        <v>1</v>
      </c>
      <c r="J582" s="315">
        <v>58.72</v>
      </c>
      <c r="K582" s="315">
        <f t="shared" si="634"/>
        <v>71.64</v>
      </c>
      <c r="L582" s="315">
        <f t="shared" si="635"/>
        <v>0</v>
      </c>
      <c r="M582" s="315">
        <f t="shared" si="636"/>
        <v>58.72</v>
      </c>
      <c r="N582" s="315">
        <f t="shared" si="637"/>
        <v>0</v>
      </c>
      <c r="O582" s="316">
        <f t="shared" si="638"/>
        <v>71.64</v>
      </c>
      <c r="P582" s="316">
        <f t="shared" si="639"/>
        <v>0</v>
      </c>
      <c r="Q582" s="132"/>
      <c r="R582" s="214">
        <f t="shared" si="630"/>
        <v>5445</v>
      </c>
      <c r="U582" s="174"/>
      <c r="W582" s="175"/>
      <c r="AK582" s="141">
        <f t="shared" si="625"/>
        <v>5444.64</v>
      </c>
    </row>
    <row r="583" spans="1:37" ht="26.45" outlineLevel="1">
      <c r="A583" s="147"/>
      <c r="B583" s="311" t="s">
        <v>474</v>
      </c>
      <c r="C583" s="277" t="s">
        <v>459</v>
      </c>
      <c r="D583" s="312"/>
      <c r="E583" s="313">
        <v>19102161001</v>
      </c>
      <c r="F583" s="314" t="s">
        <v>487</v>
      </c>
      <c r="G583" s="228"/>
      <c r="H583" s="277" t="s">
        <v>65</v>
      </c>
      <c r="I583" s="277">
        <v>1</v>
      </c>
      <c r="J583" s="315">
        <v>58.72</v>
      </c>
      <c r="K583" s="315">
        <f t="shared" si="634"/>
        <v>71.64</v>
      </c>
      <c r="L583" s="315">
        <f t="shared" si="635"/>
        <v>0</v>
      </c>
      <c r="M583" s="315">
        <f t="shared" si="636"/>
        <v>58.72</v>
      </c>
      <c r="N583" s="315">
        <f t="shared" si="637"/>
        <v>0</v>
      </c>
      <c r="O583" s="316">
        <f t="shared" si="638"/>
        <v>71.64</v>
      </c>
      <c r="P583" s="316">
        <f t="shared" si="639"/>
        <v>0</v>
      </c>
      <c r="Q583" s="132"/>
      <c r="R583" s="214">
        <f t="shared" si="630"/>
        <v>5445</v>
      </c>
      <c r="U583" s="174"/>
      <c r="W583" s="175"/>
      <c r="AK583" s="141">
        <f t="shared" si="625"/>
        <v>5444.64</v>
      </c>
    </row>
    <row r="584" spans="1:37" outlineLevel="1">
      <c r="A584" s="147"/>
      <c r="B584" s="311"/>
      <c r="C584" s="277"/>
      <c r="D584" s="312"/>
      <c r="E584" s="313"/>
      <c r="F584" s="314"/>
      <c r="G584" s="228"/>
      <c r="H584" s="277"/>
      <c r="I584" s="277"/>
      <c r="J584" s="315"/>
      <c r="K584" s="315"/>
      <c r="L584" s="315"/>
      <c r="M584" s="315"/>
      <c r="N584" s="315"/>
      <c r="O584" s="316"/>
      <c r="P584" s="316"/>
      <c r="Q584" s="132"/>
      <c r="R584" s="317"/>
      <c r="U584" s="174"/>
      <c r="W584" s="175"/>
      <c r="AK584" s="141"/>
    </row>
    <row r="585" spans="1:37" ht="26.45" outlineLevel="1">
      <c r="A585" s="147"/>
      <c r="B585" s="311" t="s">
        <v>474</v>
      </c>
      <c r="C585" s="277" t="s">
        <v>459</v>
      </c>
      <c r="D585" s="312"/>
      <c r="E585" s="313">
        <v>19102201001</v>
      </c>
      <c r="F585" s="314" t="s">
        <v>488</v>
      </c>
      <c r="G585" s="228"/>
      <c r="H585" s="277" t="s">
        <v>65</v>
      </c>
      <c r="I585" s="277">
        <v>1</v>
      </c>
      <c r="J585" s="315">
        <v>30.89</v>
      </c>
      <c r="K585" s="315">
        <f t="shared" ref="K585:K591" si="640">ROUND((J585*$C$3),2)</f>
        <v>37.69</v>
      </c>
      <c r="L585" s="315">
        <f t="shared" ref="L585:L591" si="641">K585*G585</f>
        <v>0</v>
      </c>
      <c r="M585" s="315">
        <f t="shared" ref="M585:M591" si="642">J585*(1-$E$5-$E$7)*(1-$E$9)*(1+$E$11)</f>
        <v>30.89</v>
      </c>
      <c r="N585" s="315">
        <f t="shared" ref="N585:N591" si="643">M585*G585</f>
        <v>0</v>
      </c>
      <c r="O585" s="316">
        <f t="shared" ref="O585:O591" si="644">ROUND((M585*$C$3),2)</f>
        <v>37.69</v>
      </c>
      <c r="P585" s="316">
        <f t="shared" ref="P585:P591" si="645">O585*G585</f>
        <v>0</v>
      </c>
      <c r="Q585" s="132"/>
      <c r="R585" s="214">
        <f t="shared" si="630"/>
        <v>2864</v>
      </c>
      <c r="U585" s="174"/>
      <c r="W585" s="175"/>
      <c r="AK585" s="141">
        <f t="shared" si="625"/>
        <v>2864.44</v>
      </c>
    </row>
    <row r="586" spans="1:37" ht="26.45" outlineLevel="1">
      <c r="A586" s="147"/>
      <c r="B586" s="311" t="s">
        <v>474</v>
      </c>
      <c r="C586" s="277" t="s">
        <v>459</v>
      </c>
      <c r="D586" s="312"/>
      <c r="E586" s="313">
        <v>19102211001</v>
      </c>
      <c r="F586" s="314" t="s">
        <v>489</v>
      </c>
      <c r="G586" s="228"/>
      <c r="H586" s="277" t="s">
        <v>65</v>
      </c>
      <c r="I586" s="277">
        <v>1</v>
      </c>
      <c r="J586" s="315">
        <v>61.64</v>
      </c>
      <c r="K586" s="315">
        <f t="shared" si="640"/>
        <v>75.2</v>
      </c>
      <c r="L586" s="315">
        <f t="shared" si="641"/>
        <v>0</v>
      </c>
      <c r="M586" s="315">
        <f t="shared" si="642"/>
        <v>61.64</v>
      </c>
      <c r="N586" s="315">
        <f t="shared" si="643"/>
        <v>0</v>
      </c>
      <c r="O586" s="316">
        <f t="shared" si="644"/>
        <v>75.2</v>
      </c>
      <c r="P586" s="316">
        <f t="shared" si="645"/>
        <v>0</v>
      </c>
      <c r="Q586" s="132"/>
      <c r="R586" s="214">
        <f t="shared" si="630"/>
        <v>5715</v>
      </c>
      <c r="U586" s="174"/>
      <c r="W586" s="175"/>
      <c r="AK586" s="141">
        <f t="shared" si="625"/>
        <v>5715.2</v>
      </c>
    </row>
    <row r="587" spans="1:37" ht="26.45" outlineLevel="1">
      <c r="A587" s="147"/>
      <c r="B587" s="311" t="s">
        <v>474</v>
      </c>
      <c r="C587" s="277" t="s">
        <v>459</v>
      </c>
      <c r="D587" s="312"/>
      <c r="E587" s="313">
        <v>19102221001</v>
      </c>
      <c r="F587" s="314" t="s">
        <v>490</v>
      </c>
      <c r="G587" s="228"/>
      <c r="H587" s="277" t="s">
        <v>65</v>
      </c>
      <c r="I587" s="277">
        <v>1</v>
      </c>
      <c r="J587" s="315">
        <v>57.69</v>
      </c>
      <c r="K587" s="315">
        <f t="shared" si="640"/>
        <v>70.38</v>
      </c>
      <c r="L587" s="315">
        <f t="shared" si="641"/>
        <v>0</v>
      </c>
      <c r="M587" s="315">
        <f t="shared" si="642"/>
        <v>57.69</v>
      </c>
      <c r="N587" s="315">
        <f t="shared" si="643"/>
        <v>0</v>
      </c>
      <c r="O587" s="316">
        <f t="shared" si="644"/>
        <v>70.38</v>
      </c>
      <c r="P587" s="316">
        <f t="shared" si="645"/>
        <v>0</v>
      </c>
      <c r="Q587" s="132"/>
      <c r="R587" s="214">
        <f t="shared" si="630"/>
        <v>5349</v>
      </c>
      <c r="U587" s="174"/>
      <c r="W587" s="175"/>
      <c r="AK587" s="141">
        <f t="shared" si="625"/>
        <v>5348.88</v>
      </c>
    </row>
    <row r="588" spans="1:37" ht="26.45" outlineLevel="1">
      <c r="A588" s="147"/>
      <c r="B588" s="311" t="s">
        <v>30</v>
      </c>
      <c r="C588" s="277" t="s">
        <v>459</v>
      </c>
      <c r="D588" s="312"/>
      <c r="E588" s="313">
        <v>19102231001</v>
      </c>
      <c r="F588" s="314" t="s">
        <v>491</v>
      </c>
      <c r="G588" s="228"/>
      <c r="H588" s="277" t="s">
        <v>65</v>
      </c>
      <c r="I588" s="277">
        <v>1</v>
      </c>
      <c r="J588" s="315">
        <v>57.69</v>
      </c>
      <c r="K588" s="315">
        <f t="shared" si="640"/>
        <v>70.38</v>
      </c>
      <c r="L588" s="315">
        <f t="shared" si="641"/>
        <v>0</v>
      </c>
      <c r="M588" s="315">
        <f t="shared" si="642"/>
        <v>57.69</v>
      </c>
      <c r="N588" s="315">
        <f t="shared" si="643"/>
        <v>0</v>
      </c>
      <c r="O588" s="316">
        <f t="shared" si="644"/>
        <v>70.38</v>
      </c>
      <c r="P588" s="316">
        <f t="shared" si="645"/>
        <v>0</v>
      </c>
      <c r="Q588" s="132"/>
      <c r="R588" s="214">
        <f t="shared" si="630"/>
        <v>5349</v>
      </c>
      <c r="U588" s="174"/>
      <c r="W588" s="175"/>
      <c r="AK588" s="141">
        <f t="shared" si="625"/>
        <v>5348.88</v>
      </c>
    </row>
    <row r="589" spans="1:37" ht="26.45" outlineLevel="1">
      <c r="A589" s="147"/>
      <c r="B589" s="311" t="s">
        <v>30</v>
      </c>
      <c r="C589" s="277" t="s">
        <v>459</v>
      </c>
      <c r="D589" s="312"/>
      <c r="E589" s="313">
        <v>19102241001</v>
      </c>
      <c r="F589" s="314" t="s">
        <v>492</v>
      </c>
      <c r="G589" s="228"/>
      <c r="H589" s="277" t="s">
        <v>65</v>
      </c>
      <c r="I589" s="277">
        <v>1</v>
      </c>
      <c r="J589" s="315">
        <v>57.69</v>
      </c>
      <c r="K589" s="315">
        <f t="shared" si="640"/>
        <v>70.38</v>
      </c>
      <c r="L589" s="315">
        <f t="shared" si="641"/>
        <v>0</v>
      </c>
      <c r="M589" s="315">
        <f t="shared" si="642"/>
        <v>57.69</v>
      </c>
      <c r="N589" s="315">
        <f t="shared" si="643"/>
        <v>0</v>
      </c>
      <c r="O589" s="316">
        <f t="shared" si="644"/>
        <v>70.38</v>
      </c>
      <c r="P589" s="316">
        <f t="shared" si="645"/>
        <v>0</v>
      </c>
      <c r="Q589" s="132"/>
      <c r="R589" s="214">
        <f t="shared" si="630"/>
        <v>5349</v>
      </c>
      <c r="U589" s="174"/>
      <c r="W589" s="175"/>
      <c r="AK589" s="141">
        <f t="shared" si="625"/>
        <v>5348.88</v>
      </c>
    </row>
    <row r="590" spans="1:37" ht="26.45" outlineLevel="1">
      <c r="A590" s="147"/>
      <c r="B590" s="311" t="s">
        <v>30</v>
      </c>
      <c r="C590" s="277" t="s">
        <v>459</v>
      </c>
      <c r="D590" s="312"/>
      <c r="E590" s="313">
        <v>19102251001</v>
      </c>
      <c r="F590" s="314" t="s">
        <v>493</v>
      </c>
      <c r="G590" s="228"/>
      <c r="H590" s="277" t="s">
        <v>65</v>
      </c>
      <c r="I590" s="277">
        <v>1</v>
      </c>
      <c r="J590" s="315">
        <v>57.69</v>
      </c>
      <c r="K590" s="315">
        <f t="shared" si="640"/>
        <v>70.38</v>
      </c>
      <c r="L590" s="315">
        <f t="shared" si="641"/>
        <v>0</v>
      </c>
      <c r="M590" s="315">
        <f t="shared" si="642"/>
        <v>57.69</v>
      </c>
      <c r="N590" s="315">
        <f t="shared" si="643"/>
        <v>0</v>
      </c>
      <c r="O590" s="316">
        <f t="shared" si="644"/>
        <v>70.38</v>
      </c>
      <c r="P590" s="316">
        <f t="shared" si="645"/>
        <v>0</v>
      </c>
      <c r="Q590" s="132"/>
      <c r="R590" s="214">
        <f t="shared" si="630"/>
        <v>5349</v>
      </c>
      <c r="U590" s="174"/>
      <c r="W590" s="175"/>
      <c r="AK590" s="141">
        <f t="shared" si="625"/>
        <v>5348.88</v>
      </c>
    </row>
    <row r="591" spans="1:37" ht="26.45" outlineLevel="1">
      <c r="A591" s="147"/>
      <c r="B591" s="311" t="s">
        <v>30</v>
      </c>
      <c r="C591" s="277" t="s">
        <v>459</v>
      </c>
      <c r="D591" s="312"/>
      <c r="E591" s="313">
        <v>19102261001</v>
      </c>
      <c r="F591" s="314" t="s">
        <v>494</v>
      </c>
      <c r="G591" s="228"/>
      <c r="H591" s="277" t="s">
        <v>65</v>
      </c>
      <c r="I591" s="277">
        <v>1</v>
      </c>
      <c r="J591" s="315">
        <v>57.69</v>
      </c>
      <c r="K591" s="315">
        <f t="shared" si="640"/>
        <v>70.38</v>
      </c>
      <c r="L591" s="315">
        <f t="shared" si="641"/>
        <v>0</v>
      </c>
      <c r="M591" s="315">
        <f t="shared" si="642"/>
        <v>57.69</v>
      </c>
      <c r="N591" s="315">
        <f t="shared" si="643"/>
        <v>0</v>
      </c>
      <c r="O591" s="316">
        <f t="shared" si="644"/>
        <v>70.38</v>
      </c>
      <c r="P591" s="316">
        <f t="shared" si="645"/>
        <v>0</v>
      </c>
      <c r="Q591" s="132"/>
      <c r="R591" s="214">
        <f t="shared" si="630"/>
        <v>5349</v>
      </c>
      <c r="U591" s="174"/>
      <c r="W591" s="175"/>
      <c r="AK591" s="141">
        <f t="shared" si="625"/>
        <v>5348.88</v>
      </c>
    </row>
    <row r="592" spans="1:37" outlineLevel="1">
      <c r="A592" s="147"/>
      <c r="B592" s="311"/>
      <c r="C592" s="277"/>
      <c r="D592" s="312"/>
      <c r="E592" s="313"/>
      <c r="F592" s="314"/>
      <c r="G592" s="228"/>
      <c r="H592" s="277"/>
      <c r="I592" s="277"/>
      <c r="J592" s="315"/>
      <c r="K592" s="315"/>
      <c r="L592" s="315"/>
      <c r="M592" s="315"/>
      <c r="N592" s="315"/>
      <c r="O592" s="316"/>
      <c r="P592" s="316"/>
      <c r="Q592" s="132"/>
      <c r="R592" s="317"/>
      <c r="U592" s="174"/>
      <c r="W592" s="175"/>
      <c r="AK592" s="141"/>
    </row>
    <row r="593" spans="1:37" ht="26.45" outlineLevel="1">
      <c r="A593" s="147"/>
      <c r="B593" s="311" t="s">
        <v>30</v>
      </c>
      <c r="C593" s="277" t="s">
        <v>459</v>
      </c>
      <c r="D593" s="312"/>
      <c r="E593" s="313">
        <v>19102301001</v>
      </c>
      <c r="F593" s="314" t="s">
        <v>495</v>
      </c>
      <c r="G593" s="228"/>
      <c r="H593" s="277" t="s">
        <v>65</v>
      </c>
      <c r="I593" s="277">
        <v>1</v>
      </c>
      <c r="J593" s="315">
        <v>30.89</v>
      </c>
      <c r="K593" s="315">
        <f t="shared" ref="K593:K601" si="646">ROUND((J593*$C$3),2)</f>
        <v>37.69</v>
      </c>
      <c r="L593" s="315">
        <f t="shared" ref="L593:L601" si="647">K593*G593</f>
        <v>0</v>
      </c>
      <c r="M593" s="315">
        <f t="shared" ref="M593:M601" si="648">J593*(1-$E$5-$E$7)*(1-$E$9)*(1+$E$11)</f>
        <v>30.89</v>
      </c>
      <c r="N593" s="315">
        <f t="shared" ref="N593:N601" si="649">M593*G593</f>
        <v>0</v>
      </c>
      <c r="O593" s="316">
        <f t="shared" ref="O593:O601" si="650">ROUND((M593*$C$3),2)</f>
        <v>37.69</v>
      </c>
      <c r="P593" s="316">
        <f t="shared" ref="P593:P601" si="651">O593*G593</f>
        <v>0</v>
      </c>
      <c r="Q593" s="132"/>
      <c r="R593" s="214">
        <f t="shared" si="630"/>
        <v>2864</v>
      </c>
      <c r="U593" s="174"/>
      <c r="W593" s="175"/>
      <c r="AK593" s="141">
        <f t="shared" si="625"/>
        <v>2864.44</v>
      </c>
    </row>
    <row r="594" spans="1:37" ht="26.45" outlineLevel="1">
      <c r="A594" s="147"/>
      <c r="B594" s="311" t="s">
        <v>474</v>
      </c>
      <c r="C594" s="277" t="s">
        <v>459</v>
      </c>
      <c r="D594" s="312"/>
      <c r="E594" s="313">
        <v>19102311001</v>
      </c>
      <c r="F594" s="314" t="s">
        <v>496</v>
      </c>
      <c r="G594" s="228"/>
      <c r="H594" s="277" t="s">
        <v>65</v>
      </c>
      <c r="I594" s="277">
        <v>1</v>
      </c>
      <c r="J594" s="315">
        <v>30.89</v>
      </c>
      <c r="K594" s="315">
        <f t="shared" si="646"/>
        <v>37.69</v>
      </c>
      <c r="L594" s="315">
        <f t="shared" si="647"/>
        <v>0</v>
      </c>
      <c r="M594" s="315">
        <f t="shared" si="648"/>
        <v>30.89</v>
      </c>
      <c r="N594" s="315">
        <f t="shared" si="649"/>
        <v>0</v>
      </c>
      <c r="O594" s="316">
        <f t="shared" si="650"/>
        <v>37.69</v>
      </c>
      <c r="P594" s="316">
        <f t="shared" si="651"/>
        <v>0</v>
      </c>
      <c r="Q594" s="132"/>
      <c r="R594" s="214">
        <f t="shared" si="630"/>
        <v>2864</v>
      </c>
      <c r="U594" s="174"/>
      <c r="W594" s="175"/>
      <c r="AK594" s="141">
        <f t="shared" si="625"/>
        <v>2864.44</v>
      </c>
    </row>
    <row r="595" spans="1:37" ht="26.45" outlineLevel="1">
      <c r="A595" s="147"/>
      <c r="B595" s="311" t="s">
        <v>30</v>
      </c>
      <c r="C595" s="277" t="s">
        <v>459</v>
      </c>
      <c r="D595" s="312"/>
      <c r="E595" s="313">
        <v>19102321001</v>
      </c>
      <c r="F595" s="314" t="s">
        <v>497</v>
      </c>
      <c r="G595" s="228"/>
      <c r="H595" s="277" t="s">
        <v>65</v>
      </c>
      <c r="I595" s="277">
        <v>1</v>
      </c>
      <c r="J595" s="315">
        <v>61.64</v>
      </c>
      <c r="K595" s="315">
        <f t="shared" si="646"/>
        <v>75.2</v>
      </c>
      <c r="L595" s="315">
        <f t="shared" si="647"/>
        <v>0</v>
      </c>
      <c r="M595" s="315">
        <f t="shared" si="648"/>
        <v>61.64</v>
      </c>
      <c r="N595" s="315">
        <f t="shared" si="649"/>
        <v>0</v>
      </c>
      <c r="O595" s="316">
        <f t="shared" si="650"/>
        <v>75.2</v>
      </c>
      <c r="P595" s="316">
        <f t="shared" si="651"/>
        <v>0</v>
      </c>
      <c r="Q595" s="132"/>
      <c r="R595" s="214">
        <f t="shared" si="630"/>
        <v>5715</v>
      </c>
      <c r="U595" s="174"/>
      <c r="W595" s="175"/>
      <c r="AK595" s="141">
        <f t="shared" si="625"/>
        <v>5715.2</v>
      </c>
    </row>
    <row r="596" spans="1:37" ht="26.45" outlineLevel="1">
      <c r="A596" s="147"/>
      <c r="B596" s="311" t="s">
        <v>474</v>
      </c>
      <c r="C596" s="277" t="s">
        <v>459</v>
      </c>
      <c r="D596" s="312"/>
      <c r="E596" s="313">
        <v>19102331001</v>
      </c>
      <c r="F596" s="314" t="s">
        <v>498</v>
      </c>
      <c r="G596" s="228"/>
      <c r="H596" s="277" t="s">
        <v>65</v>
      </c>
      <c r="I596" s="277">
        <v>1</v>
      </c>
      <c r="J596" s="315">
        <v>57.69</v>
      </c>
      <c r="K596" s="315">
        <f t="shared" si="646"/>
        <v>70.38</v>
      </c>
      <c r="L596" s="315">
        <f t="shared" si="647"/>
        <v>0</v>
      </c>
      <c r="M596" s="315">
        <f t="shared" si="648"/>
        <v>57.69</v>
      </c>
      <c r="N596" s="315">
        <f t="shared" si="649"/>
        <v>0</v>
      </c>
      <c r="O596" s="316">
        <f t="shared" si="650"/>
        <v>70.38</v>
      </c>
      <c r="P596" s="316">
        <f t="shared" si="651"/>
        <v>0</v>
      </c>
      <c r="Q596" s="132"/>
      <c r="R596" s="214">
        <f t="shared" si="630"/>
        <v>5349</v>
      </c>
      <c r="U596" s="174"/>
      <c r="W596" s="175"/>
      <c r="AK596" s="141">
        <f t="shared" si="625"/>
        <v>5348.88</v>
      </c>
    </row>
    <row r="597" spans="1:37" ht="26.45" outlineLevel="1">
      <c r="A597" s="147"/>
      <c r="B597" s="311" t="s">
        <v>30</v>
      </c>
      <c r="C597" s="277" t="s">
        <v>459</v>
      </c>
      <c r="D597" s="312"/>
      <c r="E597" s="313">
        <v>19102341001</v>
      </c>
      <c r="F597" s="314" t="s">
        <v>499</v>
      </c>
      <c r="G597" s="228"/>
      <c r="H597" s="277" t="s">
        <v>65</v>
      </c>
      <c r="I597" s="277">
        <v>1</v>
      </c>
      <c r="J597" s="315">
        <v>57.69</v>
      </c>
      <c r="K597" s="315">
        <f t="shared" si="646"/>
        <v>70.38</v>
      </c>
      <c r="L597" s="315">
        <f t="shared" si="647"/>
        <v>0</v>
      </c>
      <c r="M597" s="315">
        <f t="shared" si="648"/>
        <v>57.69</v>
      </c>
      <c r="N597" s="315">
        <f t="shared" si="649"/>
        <v>0</v>
      </c>
      <c r="O597" s="316">
        <f t="shared" si="650"/>
        <v>70.38</v>
      </c>
      <c r="P597" s="316">
        <f t="shared" si="651"/>
        <v>0</v>
      </c>
      <c r="Q597" s="132"/>
      <c r="R597" s="214">
        <f t="shared" si="630"/>
        <v>5349</v>
      </c>
      <c r="U597" s="174"/>
      <c r="W597" s="175"/>
      <c r="AK597" s="141">
        <f t="shared" si="625"/>
        <v>5348.88</v>
      </c>
    </row>
    <row r="598" spans="1:37" ht="26.45" outlineLevel="1">
      <c r="A598" s="147"/>
      <c r="B598" s="311" t="s">
        <v>30</v>
      </c>
      <c r="C598" s="277" t="s">
        <v>459</v>
      </c>
      <c r="D598" s="312"/>
      <c r="E598" s="313">
        <v>19102351001</v>
      </c>
      <c r="F598" s="314" t="s">
        <v>500</v>
      </c>
      <c r="G598" s="228"/>
      <c r="H598" s="277" t="s">
        <v>65</v>
      </c>
      <c r="I598" s="277">
        <v>1</v>
      </c>
      <c r="J598" s="315">
        <v>57.69</v>
      </c>
      <c r="K598" s="315">
        <f t="shared" si="646"/>
        <v>70.38</v>
      </c>
      <c r="L598" s="315">
        <f t="shared" si="647"/>
        <v>0</v>
      </c>
      <c r="M598" s="315">
        <f t="shared" si="648"/>
        <v>57.69</v>
      </c>
      <c r="N598" s="315">
        <f t="shared" si="649"/>
        <v>0</v>
      </c>
      <c r="O598" s="316">
        <f t="shared" si="650"/>
        <v>70.38</v>
      </c>
      <c r="P598" s="316">
        <f t="shared" si="651"/>
        <v>0</v>
      </c>
      <c r="Q598" s="132"/>
      <c r="R598" s="214">
        <f t="shared" si="630"/>
        <v>5349</v>
      </c>
      <c r="U598" s="174"/>
      <c r="W598" s="175"/>
      <c r="AK598" s="141">
        <f t="shared" si="625"/>
        <v>5348.88</v>
      </c>
    </row>
    <row r="599" spans="1:37" ht="26.45" outlineLevel="1">
      <c r="A599" s="147"/>
      <c r="B599" s="311" t="s">
        <v>474</v>
      </c>
      <c r="C599" s="277" t="s">
        <v>459</v>
      </c>
      <c r="D599" s="312"/>
      <c r="E599" s="313">
        <v>19102361001</v>
      </c>
      <c r="F599" s="314" t="s">
        <v>501</v>
      </c>
      <c r="G599" s="228"/>
      <c r="H599" s="277" t="s">
        <v>65</v>
      </c>
      <c r="I599" s="277">
        <v>1</v>
      </c>
      <c r="J599" s="315">
        <v>57.69</v>
      </c>
      <c r="K599" s="315">
        <f t="shared" si="646"/>
        <v>70.38</v>
      </c>
      <c r="L599" s="315">
        <f t="shared" si="647"/>
        <v>0</v>
      </c>
      <c r="M599" s="315">
        <f t="shared" si="648"/>
        <v>57.69</v>
      </c>
      <c r="N599" s="315">
        <f t="shared" si="649"/>
        <v>0</v>
      </c>
      <c r="O599" s="316">
        <f t="shared" si="650"/>
        <v>70.38</v>
      </c>
      <c r="P599" s="316">
        <f t="shared" si="651"/>
        <v>0</v>
      </c>
      <c r="Q599" s="132"/>
      <c r="R599" s="214">
        <f t="shared" si="630"/>
        <v>5349</v>
      </c>
      <c r="U599" s="174"/>
      <c r="W599" s="175"/>
      <c r="AK599" s="141">
        <f t="shared" si="625"/>
        <v>5348.88</v>
      </c>
    </row>
    <row r="600" spans="1:37" ht="26.45" outlineLevel="1">
      <c r="A600" s="147"/>
      <c r="B600" s="311" t="s">
        <v>474</v>
      </c>
      <c r="C600" s="277" t="s">
        <v>459</v>
      </c>
      <c r="D600" s="312"/>
      <c r="E600" s="313">
        <v>19102371001</v>
      </c>
      <c r="F600" s="314" t="s">
        <v>502</v>
      </c>
      <c r="G600" s="228"/>
      <c r="H600" s="277" t="s">
        <v>65</v>
      </c>
      <c r="I600" s="277">
        <v>1</v>
      </c>
      <c r="J600" s="315">
        <v>57.69</v>
      </c>
      <c r="K600" s="315">
        <f t="shared" si="646"/>
        <v>70.38</v>
      </c>
      <c r="L600" s="315">
        <f t="shared" si="647"/>
        <v>0</v>
      </c>
      <c r="M600" s="315">
        <f t="shared" si="648"/>
        <v>57.69</v>
      </c>
      <c r="N600" s="315">
        <f t="shared" si="649"/>
        <v>0</v>
      </c>
      <c r="O600" s="316">
        <f t="shared" si="650"/>
        <v>70.38</v>
      </c>
      <c r="P600" s="316">
        <f t="shared" si="651"/>
        <v>0</v>
      </c>
      <c r="Q600" s="132"/>
      <c r="R600" s="214">
        <f t="shared" si="630"/>
        <v>5349</v>
      </c>
      <c r="U600" s="174"/>
      <c r="W600" s="175"/>
      <c r="AK600" s="141">
        <f t="shared" si="625"/>
        <v>5348.88</v>
      </c>
    </row>
    <row r="601" spans="1:37" ht="26.45" outlineLevel="1">
      <c r="A601" s="147"/>
      <c r="B601" s="311" t="s">
        <v>474</v>
      </c>
      <c r="C601" s="277" t="s">
        <v>459</v>
      </c>
      <c r="D601" s="312"/>
      <c r="E601" s="313">
        <v>19102381001</v>
      </c>
      <c r="F601" s="314" t="s">
        <v>503</v>
      </c>
      <c r="G601" s="228"/>
      <c r="H601" s="277" t="s">
        <v>65</v>
      </c>
      <c r="I601" s="277">
        <v>1</v>
      </c>
      <c r="J601" s="315">
        <v>57.69</v>
      </c>
      <c r="K601" s="315">
        <f t="shared" si="646"/>
        <v>70.38</v>
      </c>
      <c r="L601" s="315">
        <f t="shared" si="647"/>
        <v>0</v>
      </c>
      <c r="M601" s="315">
        <f t="shared" si="648"/>
        <v>57.69</v>
      </c>
      <c r="N601" s="315">
        <f t="shared" si="649"/>
        <v>0</v>
      </c>
      <c r="O601" s="316">
        <f t="shared" si="650"/>
        <v>70.38</v>
      </c>
      <c r="P601" s="316">
        <f t="shared" si="651"/>
        <v>0</v>
      </c>
      <c r="Q601" s="132"/>
      <c r="R601" s="214">
        <f t="shared" si="630"/>
        <v>5349</v>
      </c>
      <c r="U601" s="174"/>
      <c r="W601" s="175"/>
      <c r="AK601" s="141">
        <f t="shared" si="625"/>
        <v>5348.88</v>
      </c>
    </row>
    <row r="602" spans="1:37" outlineLevel="1">
      <c r="A602" s="147"/>
      <c r="B602" s="311"/>
      <c r="C602" s="277"/>
      <c r="D602" s="312"/>
      <c r="E602" s="313"/>
      <c r="F602" s="314"/>
      <c r="G602" s="228"/>
      <c r="H602" s="277"/>
      <c r="I602" s="277"/>
      <c r="J602" s="315"/>
      <c r="K602" s="315"/>
      <c r="L602" s="315"/>
      <c r="M602" s="315"/>
      <c r="N602" s="315"/>
      <c r="O602" s="316"/>
      <c r="P602" s="316"/>
      <c r="Q602" s="132"/>
      <c r="R602" s="317"/>
      <c r="U602" s="174"/>
      <c r="W602" s="175"/>
      <c r="AK602" s="141"/>
    </row>
    <row r="603" spans="1:37" ht="26.45" outlineLevel="1">
      <c r="A603" s="147"/>
      <c r="B603" s="311" t="s">
        <v>30</v>
      </c>
      <c r="C603" s="277" t="s">
        <v>459</v>
      </c>
      <c r="D603" s="312"/>
      <c r="E603" s="313">
        <v>19102401001</v>
      </c>
      <c r="F603" s="314" t="s">
        <v>504</v>
      </c>
      <c r="G603" s="228"/>
      <c r="H603" s="277" t="s">
        <v>65</v>
      </c>
      <c r="I603" s="277">
        <v>1</v>
      </c>
      <c r="J603" s="315">
        <v>30.89</v>
      </c>
      <c r="K603" s="315">
        <f t="shared" ref="K603:K609" si="652">ROUND((J603*$C$3),2)</f>
        <v>37.69</v>
      </c>
      <c r="L603" s="315">
        <f t="shared" ref="L603:L609" si="653">K603*G603</f>
        <v>0</v>
      </c>
      <c r="M603" s="315">
        <f t="shared" ref="M603:M609" si="654">J603*(1-$E$5-$E$7)*(1-$E$9)*(1+$E$11)</f>
        <v>30.89</v>
      </c>
      <c r="N603" s="315">
        <f t="shared" ref="N603:N609" si="655">M603*G603</f>
        <v>0</v>
      </c>
      <c r="O603" s="316">
        <f t="shared" ref="O603:O609" si="656">ROUND((M603*$C$3),2)</f>
        <v>37.69</v>
      </c>
      <c r="P603" s="316">
        <f t="shared" ref="P603:P609" si="657">O603*G603</f>
        <v>0</v>
      </c>
      <c r="Q603" s="132"/>
      <c r="R603" s="214">
        <f t="shared" si="630"/>
        <v>2864</v>
      </c>
      <c r="U603" s="174"/>
      <c r="W603" s="175"/>
      <c r="AK603" s="141">
        <f t="shared" si="625"/>
        <v>2864.44</v>
      </c>
    </row>
    <row r="604" spans="1:37" ht="26.45" outlineLevel="1">
      <c r="A604" s="147"/>
      <c r="B604" s="311" t="s">
        <v>30</v>
      </c>
      <c r="C604" s="277" t="s">
        <v>459</v>
      </c>
      <c r="D604" s="312"/>
      <c r="E604" s="313">
        <v>19102411001</v>
      </c>
      <c r="F604" s="314" t="s">
        <v>505</v>
      </c>
      <c r="G604" s="228"/>
      <c r="H604" s="277" t="s">
        <v>65</v>
      </c>
      <c r="I604" s="277">
        <v>1</v>
      </c>
      <c r="J604" s="315">
        <v>61.64</v>
      </c>
      <c r="K604" s="315">
        <f t="shared" si="652"/>
        <v>75.2</v>
      </c>
      <c r="L604" s="315">
        <f t="shared" si="653"/>
        <v>0</v>
      </c>
      <c r="M604" s="315">
        <f t="shared" si="654"/>
        <v>61.64</v>
      </c>
      <c r="N604" s="315">
        <f t="shared" si="655"/>
        <v>0</v>
      </c>
      <c r="O604" s="316">
        <f t="shared" si="656"/>
        <v>75.2</v>
      </c>
      <c r="P604" s="316">
        <f t="shared" si="657"/>
        <v>0</v>
      </c>
      <c r="Q604" s="132"/>
      <c r="R604" s="214">
        <f t="shared" si="630"/>
        <v>5715</v>
      </c>
      <c r="U604" s="174"/>
      <c r="W604" s="175"/>
      <c r="AK604" s="141">
        <f t="shared" si="625"/>
        <v>5715.2</v>
      </c>
    </row>
    <row r="605" spans="1:37" ht="26.45" outlineLevel="1">
      <c r="A605" s="147"/>
      <c r="B605" s="311" t="s">
        <v>474</v>
      </c>
      <c r="C605" s="277" t="s">
        <v>459</v>
      </c>
      <c r="D605" s="312"/>
      <c r="E605" s="313">
        <v>19102421001</v>
      </c>
      <c r="F605" s="314" t="s">
        <v>506</v>
      </c>
      <c r="G605" s="228"/>
      <c r="H605" s="277" t="s">
        <v>65</v>
      </c>
      <c r="I605" s="277">
        <v>1</v>
      </c>
      <c r="J605" s="315">
        <v>57.69</v>
      </c>
      <c r="K605" s="315">
        <f t="shared" si="652"/>
        <v>70.38</v>
      </c>
      <c r="L605" s="315">
        <f t="shared" si="653"/>
        <v>0</v>
      </c>
      <c r="M605" s="315">
        <f t="shared" si="654"/>
        <v>57.69</v>
      </c>
      <c r="N605" s="315">
        <f t="shared" si="655"/>
        <v>0</v>
      </c>
      <c r="O605" s="316">
        <f t="shared" si="656"/>
        <v>70.38</v>
      </c>
      <c r="P605" s="316">
        <f t="shared" si="657"/>
        <v>0</v>
      </c>
      <c r="Q605" s="132"/>
      <c r="R605" s="214">
        <f t="shared" si="630"/>
        <v>5349</v>
      </c>
      <c r="U605" s="174"/>
      <c r="W605" s="175"/>
      <c r="AK605" s="141">
        <f t="shared" si="625"/>
        <v>5348.88</v>
      </c>
    </row>
    <row r="606" spans="1:37" ht="26.45" outlineLevel="1">
      <c r="A606" s="147"/>
      <c r="B606" s="311" t="s">
        <v>30</v>
      </c>
      <c r="C606" s="277" t="s">
        <v>459</v>
      </c>
      <c r="D606" s="312"/>
      <c r="E606" s="313">
        <v>19102431001</v>
      </c>
      <c r="F606" s="314" t="s">
        <v>507</v>
      </c>
      <c r="G606" s="228"/>
      <c r="H606" s="277" t="s">
        <v>65</v>
      </c>
      <c r="I606" s="277">
        <v>1</v>
      </c>
      <c r="J606" s="315">
        <v>57.69</v>
      </c>
      <c r="K606" s="315">
        <f t="shared" si="652"/>
        <v>70.38</v>
      </c>
      <c r="L606" s="315">
        <f t="shared" si="653"/>
        <v>0</v>
      </c>
      <c r="M606" s="315">
        <f t="shared" si="654"/>
        <v>57.69</v>
      </c>
      <c r="N606" s="315">
        <f t="shared" si="655"/>
        <v>0</v>
      </c>
      <c r="O606" s="316">
        <f t="shared" si="656"/>
        <v>70.38</v>
      </c>
      <c r="P606" s="316">
        <f t="shared" si="657"/>
        <v>0</v>
      </c>
      <c r="Q606" s="132"/>
      <c r="R606" s="214">
        <f t="shared" si="630"/>
        <v>5349</v>
      </c>
      <c r="U606" s="174"/>
      <c r="W606" s="175"/>
      <c r="AK606" s="141">
        <f t="shared" si="625"/>
        <v>5348.88</v>
      </c>
    </row>
    <row r="607" spans="1:37" ht="26.45" outlineLevel="1">
      <c r="A607" s="147"/>
      <c r="B607" s="311" t="s">
        <v>30</v>
      </c>
      <c r="C607" s="277" t="s">
        <v>459</v>
      </c>
      <c r="D607" s="312"/>
      <c r="E607" s="313">
        <v>19102441001</v>
      </c>
      <c r="F607" s="314" t="s">
        <v>508</v>
      </c>
      <c r="G607" s="228"/>
      <c r="H607" s="277" t="s">
        <v>65</v>
      </c>
      <c r="I607" s="277">
        <v>1</v>
      </c>
      <c r="J607" s="315">
        <v>57.69</v>
      </c>
      <c r="K607" s="315">
        <f t="shared" si="652"/>
        <v>70.38</v>
      </c>
      <c r="L607" s="315">
        <f t="shared" si="653"/>
        <v>0</v>
      </c>
      <c r="M607" s="315">
        <f t="shared" si="654"/>
        <v>57.69</v>
      </c>
      <c r="N607" s="315">
        <f t="shared" si="655"/>
        <v>0</v>
      </c>
      <c r="O607" s="316">
        <f t="shared" si="656"/>
        <v>70.38</v>
      </c>
      <c r="P607" s="316">
        <f t="shared" si="657"/>
        <v>0</v>
      </c>
      <c r="Q607" s="132"/>
      <c r="R607" s="214">
        <f t="shared" si="630"/>
        <v>5349</v>
      </c>
      <c r="U607" s="174"/>
      <c r="W607" s="175"/>
      <c r="AK607" s="141">
        <f t="shared" si="625"/>
        <v>5348.88</v>
      </c>
    </row>
    <row r="608" spans="1:37" ht="26.45" outlineLevel="1">
      <c r="A608" s="147"/>
      <c r="B608" s="311" t="s">
        <v>474</v>
      </c>
      <c r="C608" s="277" t="s">
        <v>459</v>
      </c>
      <c r="D608" s="312"/>
      <c r="E608" s="313">
        <v>19102451001</v>
      </c>
      <c r="F608" s="314" t="s">
        <v>509</v>
      </c>
      <c r="G608" s="228"/>
      <c r="H608" s="277" t="s">
        <v>65</v>
      </c>
      <c r="I608" s="277">
        <v>1</v>
      </c>
      <c r="J608" s="315">
        <v>57.69</v>
      </c>
      <c r="K608" s="315">
        <f t="shared" si="652"/>
        <v>70.38</v>
      </c>
      <c r="L608" s="315">
        <f t="shared" si="653"/>
        <v>0</v>
      </c>
      <c r="M608" s="315">
        <f t="shared" si="654"/>
        <v>57.69</v>
      </c>
      <c r="N608" s="315">
        <f t="shared" si="655"/>
        <v>0</v>
      </c>
      <c r="O608" s="316">
        <f t="shared" si="656"/>
        <v>70.38</v>
      </c>
      <c r="P608" s="316">
        <f t="shared" si="657"/>
        <v>0</v>
      </c>
      <c r="Q608" s="132"/>
      <c r="R608" s="214">
        <f t="shared" si="630"/>
        <v>5349</v>
      </c>
      <c r="U608" s="174"/>
      <c r="W608" s="175"/>
      <c r="AK608" s="141">
        <f t="shared" si="625"/>
        <v>5348.88</v>
      </c>
    </row>
    <row r="609" spans="1:37" ht="26.45" outlineLevel="1">
      <c r="A609" s="147"/>
      <c r="B609" s="311" t="s">
        <v>474</v>
      </c>
      <c r="C609" s="277" t="s">
        <v>459</v>
      </c>
      <c r="D609" s="312"/>
      <c r="E609" s="313">
        <v>19102461001</v>
      </c>
      <c r="F609" s="314" t="s">
        <v>510</v>
      </c>
      <c r="G609" s="228"/>
      <c r="H609" s="277" t="s">
        <v>65</v>
      </c>
      <c r="I609" s="277">
        <v>1</v>
      </c>
      <c r="J609" s="315">
        <v>57.69</v>
      </c>
      <c r="K609" s="315">
        <f t="shared" si="652"/>
        <v>70.38</v>
      </c>
      <c r="L609" s="315">
        <f t="shared" si="653"/>
        <v>0</v>
      </c>
      <c r="M609" s="315">
        <f t="shared" si="654"/>
        <v>57.69</v>
      </c>
      <c r="N609" s="315">
        <f t="shared" si="655"/>
        <v>0</v>
      </c>
      <c r="O609" s="316">
        <f t="shared" si="656"/>
        <v>70.38</v>
      </c>
      <c r="P609" s="316">
        <f t="shared" si="657"/>
        <v>0</v>
      </c>
      <c r="Q609" s="132"/>
      <c r="R609" s="214">
        <f t="shared" si="630"/>
        <v>5349</v>
      </c>
      <c r="U609" s="174"/>
      <c r="W609" s="175"/>
      <c r="AK609" s="141">
        <f t="shared" si="625"/>
        <v>5348.88</v>
      </c>
    </row>
    <row r="610" spans="1:37" outlineLevel="1">
      <c r="A610" s="147"/>
      <c r="B610" s="311"/>
      <c r="C610" s="277"/>
      <c r="D610" s="312"/>
      <c r="E610" s="313"/>
      <c r="F610" s="314"/>
      <c r="G610" s="228"/>
      <c r="H610" s="277"/>
      <c r="I610" s="277"/>
      <c r="J610" s="315"/>
      <c r="K610" s="315"/>
      <c r="L610" s="315"/>
      <c r="M610" s="315"/>
      <c r="N610" s="315"/>
      <c r="O610" s="316"/>
      <c r="P610" s="316"/>
      <c r="Q610" s="132"/>
      <c r="R610" s="317"/>
      <c r="U610" s="174"/>
      <c r="W610" s="175"/>
      <c r="AK610" s="141"/>
    </row>
    <row r="611" spans="1:37" ht="26.45" outlineLevel="1">
      <c r="A611" s="147"/>
      <c r="B611" s="311" t="s">
        <v>30</v>
      </c>
      <c r="C611" s="277" t="s">
        <v>459</v>
      </c>
      <c r="D611" s="312"/>
      <c r="E611" s="313">
        <v>19102501001</v>
      </c>
      <c r="F611" s="314" t="s">
        <v>511</v>
      </c>
      <c r="G611" s="228"/>
      <c r="H611" s="277" t="s">
        <v>65</v>
      </c>
      <c r="I611" s="277">
        <v>1</v>
      </c>
      <c r="J611" s="315">
        <v>30.89</v>
      </c>
      <c r="K611" s="315">
        <f t="shared" ref="K611:K617" si="658">ROUND((J611*$C$3),2)</f>
        <v>37.69</v>
      </c>
      <c r="L611" s="315">
        <f t="shared" ref="L611:L617" si="659">K611*G611</f>
        <v>0</v>
      </c>
      <c r="M611" s="315">
        <f t="shared" ref="M611:M617" si="660">J611*(1-$E$5-$E$7)*(1-$E$9)*(1+$E$11)</f>
        <v>30.89</v>
      </c>
      <c r="N611" s="315">
        <f t="shared" ref="N611:N617" si="661">M611*G611</f>
        <v>0</v>
      </c>
      <c r="O611" s="316">
        <f t="shared" ref="O611:O617" si="662">ROUND((M611*$C$3),2)</f>
        <v>37.69</v>
      </c>
      <c r="P611" s="316">
        <f t="shared" ref="P611:P617" si="663">O611*G611</f>
        <v>0</v>
      </c>
      <c r="Q611" s="132"/>
      <c r="R611" s="214">
        <f t="shared" si="630"/>
        <v>2864</v>
      </c>
      <c r="U611" s="174"/>
      <c r="W611" s="175"/>
      <c r="AK611" s="141">
        <f t="shared" si="625"/>
        <v>2864.44</v>
      </c>
    </row>
    <row r="612" spans="1:37" ht="26.45" outlineLevel="1">
      <c r="A612" s="147"/>
      <c r="B612" s="311" t="s">
        <v>30</v>
      </c>
      <c r="C612" s="277" t="s">
        <v>459</v>
      </c>
      <c r="D612" s="312"/>
      <c r="E612" s="313">
        <v>19102511001</v>
      </c>
      <c r="F612" s="314" t="s">
        <v>512</v>
      </c>
      <c r="G612" s="228"/>
      <c r="H612" s="277" t="s">
        <v>65</v>
      </c>
      <c r="I612" s="277">
        <v>1</v>
      </c>
      <c r="J612" s="315">
        <v>61.64</v>
      </c>
      <c r="K612" s="315">
        <f t="shared" si="658"/>
        <v>75.2</v>
      </c>
      <c r="L612" s="315">
        <f t="shared" si="659"/>
        <v>0</v>
      </c>
      <c r="M612" s="315">
        <f t="shared" si="660"/>
        <v>61.64</v>
      </c>
      <c r="N612" s="315">
        <f t="shared" si="661"/>
        <v>0</v>
      </c>
      <c r="O612" s="316">
        <f t="shared" si="662"/>
        <v>75.2</v>
      </c>
      <c r="P612" s="316">
        <f t="shared" si="663"/>
        <v>0</v>
      </c>
      <c r="Q612" s="132"/>
      <c r="R612" s="214">
        <f t="shared" si="630"/>
        <v>5715</v>
      </c>
      <c r="U612" s="174"/>
      <c r="W612" s="175"/>
      <c r="AK612" s="141">
        <f t="shared" si="625"/>
        <v>5715.2</v>
      </c>
    </row>
    <row r="613" spans="1:37" ht="26.45" outlineLevel="1">
      <c r="A613" s="147"/>
      <c r="B613" s="311" t="s">
        <v>474</v>
      </c>
      <c r="C613" s="277" t="s">
        <v>459</v>
      </c>
      <c r="D613" s="312"/>
      <c r="E613" s="313">
        <v>19102521001</v>
      </c>
      <c r="F613" s="314" t="s">
        <v>513</v>
      </c>
      <c r="G613" s="228"/>
      <c r="H613" s="277" t="s">
        <v>65</v>
      </c>
      <c r="I613" s="277">
        <v>1</v>
      </c>
      <c r="J613" s="315">
        <v>57.69</v>
      </c>
      <c r="K613" s="315">
        <f t="shared" si="658"/>
        <v>70.38</v>
      </c>
      <c r="L613" s="315">
        <f t="shared" si="659"/>
        <v>0</v>
      </c>
      <c r="M613" s="315">
        <f t="shared" si="660"/>
        <v>57.69</v>
      </c>
      <c r="N613" s="315">
        <f t="shared" si="661"/>
        <v>0</v>
      </c>
      <c r="O613" s="316">
        <f t="shared" si="662"/>
        <v>70.38</v>
      </c>
      <c r="P613" s="316">
        <f t="shared" si="663"/>
        <v>0</v>
      </c>
      <c r="Q613" s="132"/>
      <c r="R613" s="214">
        <f t="shared" si="630"/>
        <v>5349</v>
      </c>
      <c r="U613" s="174"/>
      <c r="W613" s="175"/>
      <c r="AK613" s="141">
        <f t="shared" si="625"/>
        <v>5348.88</v>
      </c>
    </row>
    <row r="614" spans="1:37" ht="26.45" outlineLevel="1">
      <c r="A614" s="147"/>
      <c r="B614" s="311" t="s">
        <v>30</v>
      </c>
      <c r="C614" s="277" t="s">
        <v>459</v>
      </c>
      <c r="D614" s="312"/>
      <c r="E614" s="313">
        <v>19102531001</v>
      </c>
      <c r="F614" s="314" t="s">
        <v>514</v>
      </c>
      <c r="G614" s="228"/>
      <c r="H614" s="277" t="s">
        <v>65</v>
      </c>
      <c r="I614" s="277">
        <v>1</v>
      </c>
      <c r="J614" s="315">
        <v>57.69</v>
      </c>
      <c r="K614" s="315">
        <f t="shared" si="658"/>
        <v>70.38</v>
      </c>
      <c r="L614" s="315">
        <f t="shared" si="659"/>
        <v>0</v>
      </c>
      <c r="M614" s="315">
        <f t="shared" si="660"/>
        <v>57.69</v>
      </c>
      <c r="N614" s="315">
        <f t="shared" si="661"/>
        <v>0</v>
      </c>
      <c r="O614" s="316">
        <f t="shared" si="662"/>
        <v>70.38</v>
      </c>
      <c r="P614" s="316">
        <f t="shared" si="663"/>
        <v>0</v>
      </c>
      <c r="Q614" s="132"/>
      <c r="R614" s="214">
        <f t="shared" si="630"/>
        <v>5349</v>
      </c>
      <c r="U614" s="174"/>
      <c r="W614" s="175"/>
      <c r="AK614" s="141">
        <f t="shared" si="625"/>
        <v>5348.88</v>
      </c>
    </row>
    <row r="615" spans="1:37" ht="26.45" outlineLevel="1">
      <c r="A615" s="147"/>
      <c r="B615" s="311" t="s">
        <v>30</v>
      </c>
      <c r="C615" s="277" t="s">
        <v>459</v>
      </c>
      <c r="D615" s="312"/>
      <c r="E615" s="313">
        <v>19102541001</v>
      </c>
      <c r="F615" s="314" t="s">
        <v>515</v>
      </c>
      <c r="G615" s="228"/>
      <c r="H615" s="277" t="s">
        <v>65</v>
      </c>
      <c r="I615" s="277">
        <v>1</v>
      </c>
      <c r="J615" s="315">
        <v>57.69</v>
      </c>
      <c r="K615" s="315">
        <f t="shared" si="658"/>
        <v>70.38</v>
      </c>
      <c r="L615" s="315">
        <f t="shared" si="659"/>
        <v>0</v>
      </c>
      <c r="M615" s="315">
        <f t="shared" si="660"/>
        <v>57.69</v>
      </c>
      <c r="N615" s="315">
        <f t="shared" si="661"/>
        <v>0</v>
      </c>
      <c r="O615" s="316">
        <f t="shared" si="662"/>
        <v>70.38</v>
      </c>
      <c r="P615" s="316">
        <f t="shared" si="663"/>
        <v>0</v>
      </c>
      <c r="Q615" s="132"/>
      <c r="R615" s="214">
        <f t="shared" si="630"/>
        <v>5349</v>
      </c>
      <c r="U615" s="174"/>
      <c r="W615" s="175"/>
      <c r="AK615" s="141">
        <f t="shared" si="625"/>
        <v>5348.88</v>
      </c>
    </row>
    <row r="616" spans="1:37" ht="26.45" outlineLevel="1">
      <c r="A616" s="147"/>
      <c r="B616" s="311" t="s">
        <v>474</v>
      </c>
      <c r="C616" s="277" t="s">
        <v>459</v>
      </c>
      <c r="D616" s="312"/>
      <c r="E616" s="313">
        <v>19102551001</v>
      </c>
      <c r="F616" s="314" t="s">
        <v>516</v>
      </c>
      <c r="G616" s="228"/>
      <c r="H616" s="277" t="s">
        <v>65</v>
      </c>
      <c r="I616" s="277">
        <v>1</v>
      </c>
      <c r="J616" s="315">
        <v>57.69</v>
      </c>
      <c r="K616" s="315">
        <f t="shared" si="658"/>
        <v>70.38</v>
      </c>
      <c r="L616" s="315">
        <f t="shared" si="659"/>
        <v>0</v>
      </c>
      <c r="M616" s="315">
        <f t="shared" si="660"/>
        <v>57.69</v>
      </c>
      <c r="N616" s="315">
        <f t="shared" si="661"/>
        <v>0</v>
      </c>
      <c r="O616" s="316">
        <f t="shared" si="662"/>
        <v>70.38</v>
      </c>
      <c r="P616" s="316">
        <f t="shared" si="663"/>
        <v>0</v>
      </c>
      <c r="Q616" s="132"/>
      <c r="R616" s="214">
        <f t="shared" si="630"/>
        <v>5349</v>
      </c>
      <c r="U616" s="174"/>
      <c r="W616" s="175"/>
      <c r="AK616" s="141">
        <f t="shared" si="625"/>
        <v>5348.88</v>
      </c>
    </row>
    <row r="617" spans="1:37" ht="26.45" outlineLevel="1">
      <c r="A617" s="147"/>
      <c r="B617" s="311" t="s">
        <v>474</v>
      </c>
      <c r="C617" s="277" t="s">
        <v>459</v>
      </c>
      <c r="D617" s="312"/>
      <c r="E617" s="313">
        <v>19102561001</v>
      </c>
      <c r="F617" s="314" t="s">
        <v>517</v>
      </c>
      <c r="G617" s="228"/>
      <c r="H617" s="277" t="s">
        <v>65</v>
      </c>
      <c r="I617" s="277">
        <v>1</v>
      </c>
      <c r="J617" s="315">
        <v>57.69</v>
      </c>
      <c r="K617" s="315">
        <f t="shared" si="658"/>
        <v>70.38</v>
      </c>
      <c r="L617" s="315">
        <f t="shared" si="659"/>
        <v>0</v>
      </c>
      <c r="M617" s="315">
        <f t="shared" si="660"/>
        <v>57.69</v>
      </c>
      <c r="N617" s="315">
        <f t="shared" si="661"/>
        <v>0</v>
      </c>
      <c r="O617" s="316">
        <f t="shared" si="662"/>
        <v>70.38</v>
      </c>
      <c r="P617" s="316">
        <f t="shared" si="663"/>
        <v>0</v>
      </c>
      <c r="Q617" s="132"/>
      <c r="R617" s="214">
        <f t="shared" si="630"/>
        <v>5349</v>
      </c>
      <c r="U617" s="174"/>
      <c r="W617" s="175"/>
      <c r="AK617" s="141">
        <f t="shared" si="625"/>
        <v>5348.88</v>
      </c>
    </row>
    <row r="618" spans="1:37" outlineLevel="1">
      <c r="A618" s="147"/>
      <c r="B618" s="311"/>
      <c r="C618" s="277"/>
      <c r="D618" s="312"/>
      <c r="E618" s="313"/>
      <c r="F618" s="314"/>
      <c r="G618" s="228"/>
      <c r="H618" s="277"/>
      <c r="I618" s="277"/>
      <c r="J618" s="315"/>
      <c r="K618" s="315"/>
      <c r="L618" s="315"/>
      <c r="M618" s="315"/>
      <c r="N618" s="315"/>
      <c r="O618" s="316"/>
      <c r="P618" s="316"/>
      <c r="Q618" s="132"/>
      <c r="R618" s="317"/>
      <c r="U618" s="174"/>
      <c r="W618" s="175"/>
      <c r="AK618" s="141"/>
    </row>
    <row r="619" spans="1:37" ht="26.45" outlineLevel="1">
      <c r="A619" s="147"/>
      <c r="B619" s="311" t="s">
        <v>30</v>
      </c>
      <c r="C619" s="277" t="s">
        <v>459</v>
      </c>
      <c r="D619" s="312"/>
      <c r="E619" s="313">
        <v>19102901001</v>
      </c>
      <c r="F619" s="314" t="s">
        <v>518</v>
      </c>
      <c r="G619" s="228"/>
      <c r="H619" s="277" t="s">
        <v>65</v>
      </c>
      <c r="I619" s="277">
        <v>1</v>
      </c>
      <c r="J619" s="315">
        <v>93.45</v>
      </c>
      <c r="K619" s="315">
        <f>ROUND((J619*$C$3),2)</f>
        <v>114.01</v>
      </c>
      <c r="L619" s="315">
        <f t="shared" ref="L619:L621" si="664">K619*G619</f>
        <v>0</v>
      </c>
      <c r="M619" s="315">
        <f t="shared" ref="M619:M621" si="665">J619*(1-$E$5-$E$7)*(1-$E$9)*(1+$E$11)</f>
        <v>93.45</v>
      </c>
      <c r="N619" s="315">
        <f t="shared" ref="N619:N621" si="666">M619*G619</f>
        <v>0</v>
      </c>
      <c r="O619" s="316">
        <f t="shared" ref="O619:O621" si="667">ROUND((M619*$C$3),2)</f>
        <v>114.01</v>
      </c>
      <c r="P619" s="316">
        <f t="shared" ref="P619:P621" si="668">O619*G619</f>
        <v>0</v>
      </c>
      <c r="Q619" s="132"/>
      <c r="R619" s="214">
        <f t="shared" si="630"/>
        <v>8665</v>
      </c>
      <c r="U619" s="174"/>
      <c r="W619" s="175"/>
      <c r="AK619" s="141">
        <f t="shared" si="625"/>
        <v>8664.76</v>
      </c>
    </row>
    <row r="620" spans="1:37" ht="26.45" outlineLevel="1">
      <c r="A620" s="147"/>
      <c r="B620" s="311" t="s">
        <v>30</v>
      </c>
      <c r="C620" s="277" t="s">
        <v>459</v>
      </c>
      <c r="D620" s="312"/>
      <c r="E620" s="313">
        <v>19102911001</v>
      </c>
      <c r="F620" s="314" t="s">
        <v>519</v>
      </c>
      <c r="G620" s="228"/>
      <c r="H620" s="277" t="s">
        <v>65</v>
      </c>
      <c r="I620" s="277">
        <v>1</v>
      </c>
      <c r="J620" s="315">
        <v>93.45</v>
      </c>
      <c r="K620" s="315">
        <f>ROUND((J620*$C$3),2)</f>
        <v>114.01</v>
      </c>
      <c r="L620" s="315">
        <f t="shared" si="664"/>
        <v>0</v>
      </c>
      <c r="M620" s="315">
        <f t="shared" si="665"/>
        <v>93.45</v>
      </c>
      <c r="N620" s="315">
        <f t="shared" si="666"/>
        <v>0</v>
      </c>
      <c r="O620" s="316">
        <f t="shared" si="667"/>
        <v>114.01</v>
      </c>
      <c r="P620" s="316">
        <f t="shared" si="668"/>
        <v>0</v>
      </c>
      <c r="Q620" s="132"/>
      <c r="R620" s="214">
        <f t="shared" si="630"/>
        <v>8665</v>
      </c>
      <c r="U620" s="174"/>
      <c r="W620" s="175"/>
      <c r="AK620" s="141">
        <f t="shared" ref="AK620:AK645" si="669">K620*$AK$11*(1-$AK$9)</f>
        <v>8664.76</v>
      </c>
    </row>
    <row r="621" spans="1:37" ht="26.45" outlineLevel="1">
      <c r="A621" s="147"/>
      <c r="B621" s="311" t="s">
        <v>30</v>
      </c>
      <c r="C621" s="277" t="s">
        <v>459</v>
      </c>
      <c r="D621" s="312"/>
      <c r="E621" s="313">
        <v>19102921001</v>
      </c>
      <c r="F621" s="314" t="s">
        <v>520</v>
      </c>
      <c r="G621" s="228"/>
      <c r="H621" s="277" t="s">
        <v>65</v>
      </c>
      <c r="I621" s="277">
        <v>1</v>
      </c>
      <c r="J621" s="315">
        <v>93.45</v>
      </c>
      <c r="K621" s="315">
        <f>ROUND((J621*$C$3),2)</f>
        <v>114.01</v>
      </c>
      <c r="L621" s="315">
        <f t="shared" si="664"/>
        <v>0</v>
      </c>
      <c r="M621" s="315">
        <f t="shared" si="665"/>
        <v>93.45</v>
      </c>
      <c r="N621" s="315">
        <f t="shared" si="666"/>
        <v>0</v>
      </c>
      <c r="O621" s="316">
        <f t="shared" si="667"/>
        <v>114.01</v>
      </c>
      <c r="P621" s="316">
        <f t="shared" si="668"/>
        <v>0</v>
      </c>
      <c r="Q621" s="132"/>
      <c r="R621" s="214">
        <f t="shared" si="630"/>
        <v>8665</v>
      </c>
      <c r="U621" s="174"/>
      <c r="W621" s="175"/>
      <c r="AK621" s="141">
        <f t="shared" si="669"/>
        <v>8664.76</v>
      </c>
    </row>
    <row r="622" spans="1:37" outlineLevel="1">
      <c r="A622" s="147"/>
      <c r="B622" s="311"/>
      <c r="C622" s="277"/>
      <c r="D622" s="312"/>
      <c r="E622" s="313"/>
      <c r="F622" s="314"/>
      <c r="G622" s="228"/>
      <c r="H622" s="277"/>
      <c r="I622" s="277"/>
      <c r="J622" s="315"/>
      <c r="K622" s="315"/>
      <c r="L622" s="315"/>
      <c r="M622" s="315"/>
      <c r="N622" s="315"/>
      <c r="O622" s="316"/>
      <c r="P622" s="316"/>
      <c r="Q622" s="132"/>
      <c r="R622" s="317"/>
      <c r="U622" s="174"/>
      <c r="W622" s="175"/>
      <c r="AK622" s="141"/>
    </row>
    <row r="623" spans="1:37" ht="39.6" outlineLevel="1">
      <c r="A623" s="147"/>
      <c r="B623" s="311" t="s">
        <v>30</v>
      </c>
      <c r="C623" s="277" t="s">
        <v>459</v>
      </c>
      <c r="D623" s="312"/>
      <c r="E623" s="313">
        <v>19102601001</v>
      </c>
      <c r="F623" s="314" t="s">
        <v>521</v>
      </c>
      <c r="G623" s="228"/>
      <c r="H623" s="277" t="s">
        <v>65</v>
      </c>
      <c r="I623" s="277">
        <v>1</v>
      </c>
      <c r="J623" s="315">
        <v>77.94</v>
      </c>
      <c r="K623" s="315">
        <f t="shared" ref="K623:K629" si="670">ROUND((J623*$C$3),2)</f>
        <v>95.09</v>
      </c>
      <c r="L623" s="315">
        <f t="shared" ref="L623:L629" si="671">K623*G623</f>
        <v>0</v>
      </c>
      <c r="M623" s="315">
        <f t="shared" ref="M623:M629" si="672">J623*(1-$E$5-$E$7)*(1-$E$9)*(1+$E$11)</f>
        <v>77.94</v>
      </c>
      <c r="N623" s="315">
        <f t="shared" ref="N623:N629" si="673">M623*G623</f>
        <v>0</v>
      </c>
      <c r="O623" s="316">
        <f t="shared" ref="O623:O629" si="674">ROUND((M623*$C$3),2)</f>
        <v>95.09</v>
      </c>
      <c r="P623" s="316">
        <f t="shared" ref="P623:P629" si="675">O623*G623</f>
        <v>0</v>
      </c>
      <c r="Q623" s="132"/>
      <c r="R623" s="214">
        <f t="shared" si="630"/>
        <v>7227</v>
      </c>
      <c r="U623" s="174"/>
      <c r="W623" s="175"/>
      <c r="AK623" s="141">
        <f t="shared" si="669"/>
        <v>7226.84</v>
      </c>
    </row>
    <row r="624" spans="1:37" ht="26.45" outlineLevel="1">
      <c r="A624" s="147"/>
      <c r="B624" s="311" t="s">
        <v>30</v>
      </c>
      <c r="C624" s="277" t="s">
        <v>459</v>
      </c>
      <c r="D624" s="312"/>
      <c r="E624" s="313">
        <v>19102611001</v>
      </c>
      <c r="F624" s="314" t="s">
        <v>522</v>
      </c>
      <c r="G624" s="228"/>
      <c r="H624" s="277" t="s">
        <v>65</v>
      </c>
      <c r="I624" s="277">
        <v>1</v>
      </c>
      <c r="J624" s="315">
        <v>77.94</v>
      </c>
      <c r="K624" s="315">
        <f t="shared" si="670"/>
        <v>95.09</v>
      </c>
      <c r="L624" s="315">
        <f t="shared" si="671"/>
        <v>0</v>
      </c>
      <c r="M624" s="315">
        <f t="shared" si="672"/>
        <v>77.94</v>
      </c>
      <c r="N624" s="315">
        <f t="shared" si="673"/>
        <v>0</v>
      </c>
      <c r="O624" s="316">
        <f t="shared" si="674"/>
        <v>95.09</v>
      </c>
      <c r="P624" s="316">
        <f t="shared" si="675"/>
        <v>0</v>
      </c>
      <c r="Q624" s="132"/>
      <c r="R624" s="214">
        <f t="shared" si="630"/>
        <v>7227</v>
      </c>
      <c r="U624" s="174"/>
      <c r="W624" s="175"/>
      <c r="AK624" s="141">
        <f t="shared" si="669"/>
        <v>7226.84</v>
      </c>
    </row>
    <row r="625" spans="1:37" ht="39.6" outlineLevel="1">
      <c r="A625" s="147"/>
      <c r="B625" s="311" t="s">
        <v>30</v>
      </c>
      <c r="C625" s="277" t="s">
        <v>459</v>
      </c>
      <c r="D625" s="312"/>
      <c r="E625" s="313">
        <v>19102621001</v>
      </c>
      <c r="F625" s="314" t="s">
        <v>523</v>
      </c>
      <c r="G625" s="228"/>
      <c r="H625" s="277" t="s">
        <v>65</v>
      </c>
      <c r="I625" s="277">
        <v>1</v>
      </c>
      <c r="J625" s="315">
        <v>131.22</v>
      </c>
      <c r="K625" s="315">
        <f t="shared" si="670"/>
        <v>160.09</v>
      </c>
      <c r="L625" s="315">
        <f t="shared" si="671"/>
        <v>0</v>
      </c>
      <c r="M625" s="315">
        <f t="shared" si="672"/>
        <v>131.22</v>
      </c>
      <c r="N625" s="315">
        <f t="shared" si="673"/>
        <v>0</v>
      </c>
      <c r="O625" s="316">
        <f t="shared" si="674"/>
        <v>160.09</v>
      </c>
      <c r="P625" s="316">
        <f t="shared" si="675"/>
        <v>0</v>
      </c>
      <c r="Q625" s="132"/>
      <c r="R625" s="214">
        <f t="shared" si="630"/>
        <v>12167</v>
      </c>
      <c r="U625" s="174"/>
      <c r="W625" s="175"/>
      <c r="AK625" s="141">
        <f t="shared" si="669"/>
        <v>12166.84</v>
      </c>
    </row>
    <row r="626" spans="1:37" ht="26.45" outlineLevel="1">
      <c r="A626" s="147"/>
      <c r="B626" s="311" t="s">
        <v>30</v>
      </c>
      <c r="C626" s="277" t="s">
        <v>459</v>
      </c>
      <c r="D626" s="312"/>
      <c r="E626" s="313">
        <v>19102631001</v>
      </c>
      <c r="F626" s="314" t="s">
        <v>524</v>
      </c>
      <c r="G626" s="228"/>
      <c r="H626" s="277" t="s">
        <v>65</v>
      </c>
      <c r="I626" s="277">
        <v>1</v>
      </c>
      <c r="J626" s="315">
        <v>77.94</v>
      </c>
      <c r="K626" s="315">
        <f t="shared" si="670"/>
        <v>95.09</v>
      </c>
      <c r="L626" s="315">
        <f t="shared" si="671"/>
        <v>0</v>
      </c>
      <c r="M626" s="315">
        <f t="shared" si="672"/>
        <v>77.94</v>
      </c>
      <c r="N626" s="315">
        <f t="shared" si="673"/>
        <v>0</v>
      </c>
      <c r="O626" s="316">
        <f t="shared" si="674"/>
        <v>95.09</v>
      </c>
      <c r="P626" s="316">
        <f t="shared" si="675"/>
        <v>0</v>
      </c>
      <c r="Q626" s="132"/>
      <c r="R626" s="214">
        <f t="shared" si="630"/>
        <v>7227</v>
      </c>
      <c r="U626" s="174"/>
      <c r="W626" s="175"/>
      <c r="AK626" s="141">
        <f t="shared" si="669"/>
        <v>7226.84</v>
      </c>
    </row>
    <row r="627" spans="1:37" ht="39.6" outlineLevel="1">
      <c r="A627" s="147"/>
      <c r="B627" s="311" t="s">
        <v>30</v>
      </c>
      <c r="C627" s="277" t="s">
        <v>459</v>
      </c>
      <c r="D627" s="312"/>
      <c r="E627" s="313">
        <v>19102641001</v>
      </c>
      <c r="F627" s="314" t="s">
        <v>525</v>
      </c>
      <c r="G627" s="228"/>
      <c r="H627" s="277" t="s">
        <v>65</v>
      </c>
      <c r="I627" s="277">
        <v>1</v>
      </c>
      <c r="J627" s="315">
        <v>131.22</v>
      </c>
      <c r="K627" s="315">
        <f t="shared" si="670"/>
        <v>160.09</v>
      </c>
      <c r="L627" s="315">
        <f t="shared" si="671"/>
        <v>0</v>
      </c>
      <c r="M627" s="315">
        <f t="shared" si="672"/>
        <v>131.22</v>
      </c>
      <c r="N627" s="315">
        <f t="shared" si="673"/>
        <v>0</v>
      </c>
      <c r="O627" s="316">
        <f t="shared" si="674"/>
        <v>160.09</v>
      </c>
      <c r="P627" s="316">
        <f t="shared" si="675"/>
        <v>0</v>
      </c>
      <c r="Q627" s="132"/>
      <c r="R627" s="214">
        <f t="shared" si="630"/>
        <v>12167</v>
      </c>
      <c r="U627" s="174"/>
      <c r="W627" s="175"/>
      <c r="AK627" s="141">
        <f t="shared" si="669"/>
        <v>12166.84</v>
      </c>
    </row>
    <row r="628" spans="1:37" ht="39.6" outlineLevel="1">
      <c r="A628" s="147"/>
      <c r="B628" s="311" t="s">
        <v>30</v>
      </c>
      <c r="C628" s="277" t="s">
        <v>459</v>
      </c>
      <c r="D628" s="312"/>
      <c r="E628" s="313">
        <v>19102651001</v>
      </c>
      <c r="F628" s="314" t="s">
        <v>526</v>
      </c>
      <c r="G628" s="228"/>
      <c r="H628" s="277" t="s">
        <v>65</v>
      </c>
      <c r="I628" s="277">
        <v>1</v>
      </c>
      <c r="J628" s="315">
        <v>131.22</v>
      </c>
      <c r="K628" s="315">
        <f t="shared" si="670"/>
        <v>160.09</v>
      </c>
      <c r="L628" s="315">
        <f t="shared" si="671"/>
        <v>0</v>
      </c>
      <c r="M628" s="315">
        <f t="shared" si="672"/>
        <v>131.22</v>
      </c>
      <c r="N628" s="315">
        <f t="shared" si="673"/>
        <v>0</v>
      </c>
      <c r="O628" s="316">
        <f t="shared" si="674"/>
        <v>160.09</v>
      </c>
      <c r="P628" s="316">
        <f t="shared" si="675"/>
        <v>0</v>
      </c>
      <c r="Q628" s="132"/>
      <c r="R628" s="214">
        <f t="shared" si="630"/>
        <v>12167</v>
      </c>
      <c r="U628" s="174"/>
      <c r="W628" s="175"/>
      <c r="AK628" s="141">
        <f t="shared" si="669"/>
        <v>12166.84</v>
      </c>
    </row>
    <row r="629" spans="1:37" ht="39.6" outlineLevel="1">
      <c r="A629" s="147"/>
      <c r="B629" s="311" t="s">
        <v>30</v>
      </c>
      <c r="C629" s="277" t="s">
        <v>459</v>
      </c>
      <c r="D629" s="312"/>
      <c r="E629" s="313">
        <v>19102661001</v>
      </c>
      <c r="F629" s="314" t="s">
        <v>527</v>
      </c>
      <c r="G629" s="228"/>
      <c r="H629" s="277" t="s">
        <v>65</v>
      </c>
      <c r="I629" s="277">
        <v>1</v>
      </c>
      <c r="J629" s="315">
        <v>131.22</v>
      </c>
      <c r="K629" s="315">
        <f t="shared" si="670"/>
        <v>160.09</v>
      </c>
      <c r="L629" s="315">
        <f t="shared" si="671"/>
        <v>0</v>
      </c>
      <c r="M629" s="315">
        <f t="shared" si="672"/>
        <v>131.22</v>
      </c>
      <c r="N629" s="315">
        <f t="shared" si="673"/>
        <v>0</v>
      </c>
      <c r="O629" s="316">
        <f t="shared" si="674"/>
        <v>160.09</v>
      </c>
      <c r="P629" s="316">
        <f t="shared" si="675"/>
        <v>0</v>
      </c>
      <c r="Q629" s="132"/>
      <c r="R629" s="214">
        <f t="shared" si="630"/>
        <v>12167</v>
      </c>
      <c r="U629" s="174"/>
      <c r="W629" s="175"/>
      <c r="AK629" s="141">
        <f t="shared" si="669"/>
        <v>12166.84</v>
      </c>
    </row>
    <row r="630" spans="1:37" outlineLevel="1">
      <c r="A630" s="147"/>
      <c r="B630" s="311"/>
      <c r="C630" s="277"/>
      <c r="D630" s="312"/>
      <c r="E630" s="313"/>
      <c r="F630" s="314"/>
      <c r="G630" s="228"/>
      <c r="H630" s="277"/>
      <c r="I630" s="277"/>
      <c r="J630" s="315"/>
      <c r="K630" s="315"/>
      <c r="L630" s="315"/>
      <c r="M630" s="315"/>
      <c r="N630" s="315"/>
      <c r="O630" s="316"/>
      <c r="P630" s="316"/>
      <c r="Q630" s="132"/>
      <c r="R630" s="317"/>
      <c r="U630" s="174"/>
      <c r="W630" s="175"/>
      <c r="AK630" s="141"/>
    </row>
    <row r="631" spans="1:37" ht="39.6" outlineLevel="1">
      <c r="A631" s="147"/>
      <c r="B631" s="311" t="s">
        <v>30</v>
      </c>
      <c r="C631" s="277" t="s">
        <v>459</v>
      </c>
      <c r="D631" s="312"/>
      <c r="E631" s="313">
        <v>19102701001</v>
      </c>
      <c r="F631" s="314" t="s">
        <v>528</v>
      </c>
      <c r="G631" s="228"/>
      <c r="H631" s="277" t="s">
        <v>65</v>
      </c>
      <c r="I631" s="277">
        <v>1</v>
      </c>
      <c r="J631" s="315">
        <v>77.94</v>
      </c>
      <c r="K631" s="315">
        <f t="shared" ref="K631:K637" si="676">ROUND((J631*$C$3),2)</f>
        <v>95.09</v>
      </c>
      <c r="L631" s="315">
        <f t="shared" ref="L631:L637" si="677">K631*G631</f>
        <v>0</v>
      </c>
      <c r="M631" s="315">
        <f t="shared" ref="M631:M637" si="678">J631*(1-$E$5-$E$7)*(1-$E$9)*(1+$E$11)</f>
        <v>77.94</v>
      </c>
      <c r="N631" s="315">
        <f t="shared" ref="N631:N637" si="679">M631*G631</f>
        <v>0</v>
      </c>
      <c r="O631" s="316">
        <f t="shared" ref="O631:O637" si="680">ROUND((M631*$C$3),2)</f>
        <v>95.09</v>
      </c>
      <c r="P631" s="316">
        <f t="shared" ref="P631:P637" si="681">O631*G631</f>
        <v>0</v>
      </c>
      <c r="Q631" s="132"/>
      <c r="R631" s="214">
        <f t="shared" si="630"/>
        <v>7227</v>
      </c>
      <c r="U631" s="174"/>
      <c r="W631" s="175"/>
      <c r="AK631" s="141">
        <f t="shared" si="669"/>
        <v>7226.84</v>
      </c>
    </row>
    <row r="632" spans="1:37" ht="26.45" outlineLevel="1">
      <c r="A632" s="147"/>
      <c r="B632" s="311" t="s">
        <v>30</v>
      </c>
      <c r="C632" s="277" t="s">
        <v>459</v>
      </c>
      <c r="D632" s="312"/>
      <c r="E632" s="313">
        <v>19102711001</v>
      </c>
      <c r="F632" s="314" t="s">
        <v>529</v>
      </c>
      <c r="G632" s="228"/>
      <c r="H632" s="277" t="s">
        <v>65</v>
      </c>
      <c r="I632" s="277">
        <v>1</v>
      </c>
      <c r="J632" s="315">
        <v>77.94</v>
      </c>
      <c r="K632" s="315">
        <f t="shared" si="676"/>
        <v>95.09</v>
      </c>
      <c r="L632" s="315">
        <f t="shared" si="677"/>
        <v>0</v>
      </c>
      <c r="M632" s="315">
        <f t="shared" si="678"/>
        <v>77.94</v>
      </c>
      <c r="N632" s="315">
        <f t="shared" si="679"/>
        <v>0</v>
      </c>
      <c r="O632" s="316">
        <f t="shared" si="680"/>
        <v>95.09</v>
      </c>
      <c r="P632" s="316">
        <f t="shared" si="681"/>
        <v>0</v>
      </c>
      <c r="Q632" s="132"/>
      <c r="R632" s="214">
        <f t="shared" si="630"/>
        <v>7227</v>
      </c>
      <c r="U632" s="174"/>
      <c r="W632" s="175"/>
      <c r="AK632" s="141">
        <f t="shared" si="669"/>
        <v>7226.84</v>
      </c>
    </row>
    <row r="633" spans="1:37" ht="39.6" outlineLevel="1">
      <c r="A633" s="147"/>
      <c r="B633" s="311" t="s">
        <v>30</v>
      </c>
      <c r="C633" s="277" t="s">
        <v>459</v>
      </c>
      <c r="D633" s="312"/>
      <c r="E633" s="313">
        <v>19102721001</v>
      </c>
      <c r="F633" s="314" t="s">
        <v>530</v>
      </c>
      <c r="G633" s="228"/>
      <c r="H633" s="277" t="s">
        <v>65</v>
      </c>
      <c r="I633" s="277">
        <v>1</v>
      </c>
      <c r="J633" s="315">
        <v>131.22</v>
      </c>
      <c r="K633" s="315">
        <f t="shared" si="676"/>
        <v>160.09</v>
      </c>
      <c r="L633" s="315">
        <f t="shared" si="677"/>
        <v>0</v>
      </c>
      <c r="M633" s="315">
        <f t="shared" si="678"/>
        <v>131.22</v>
      </c>
      <c r="N633" s="315">
        <f t="shared" si="679"/>
        <v>0</v>
      </c>
      <c r="O633" s="316">
        <f t="shared" si="680"/>
        <v>160.09</v>
      </c>
      <c r="P633" s="316">
        <f t="shared" si="681"/>
        <v>0</v>
      </c>
      <c r="Q633" s="132"/>
      <c r="R633" s="214">
        <f t="shared" ref="R633:R645" si="682">ROUND(AK633,0)</f>
        <v>12167</v>
      </c>
      <c r="U633" s="174"/>
      <c r="W633" s="175"/>
      <c r="AK633" s="141">
        <f t="shared" si="669"/>
        <v>12166.84</v>
      </c>
    </row>
    <row r="634" spans="1:37" ht="39.6" outlineLevel="1">
      <c r="A634" s="147"/>
      <c r="B634" s="311" t="s">
        <v>30</v>
      </c>
      <c r="C634" s="277" t="s">
        <v>459</v>
      </c>
      <c r="D634" s="312"/>
      <c r="E634" s="313">
        <v>19102731001</v>
      </c>
      <c r="F634" s="314" t="s">
        <v>531</v>
      </c>
      <c r="G634" s="228"/>
      <c r="H634" s="277" t="s">
        <v>65</v>
      </c>
      <c r="I634" s="277">
        <v>1</v>
      </c>
      <c r="J634" s="315">
        <v>77.94</v>
      </c>
      <c r="K634" s="315">
        <f t="shared" si="676"/>
        <v>95.09</v>
      </c>
      <c r="L634" s="315">
        <f t="shared" si="677"/>
        <v>0</v>
      </c>
      <c r="M634" s="315">
        <f t="shared" si="678"/>
        <v>77.94</v>
      </c>
      <c r="N634" s="315">
        <f t="shared" si="679"/>
        <v>0</v>
      </c>
      <c r="O634" s="316">
        <f t="shared" si="680"/>
        <v>95.09</v>
      </c>
      <c r="P634" s="316">
        <f t="shared" si="681"/>
        <v>0</v>
      </c>
      <c r="Q634" s="132"/>
      <c r="R634" s="214">
        <f t="shared" si="682"/>
        <v>7227</v>
      </c>
      <c r="U634" s="174"/>
      <c r="W634" s="175"/>
      <c r="AK634" s="141">
        <f t="shared" si="669"/>
        <v>7226.84</v>
      </c>
    </row>
    <row r="635" spans="1:37" ht="39.6" outlineLevel="1">
      <c r="A635" s="147"/>
      <c r="B635" s="311" t="s">
        <v>30</v>
      </c>
      <c r="C635" s="277" t="s">
        <v>459</v>
      </c>
      <c r="D635" s="312"/>
      <c r="E635" s="313">
        <v>19102741001</v>
      </c>
      <c r="F635" s="314" t="s">
        <v>532</v>
      </c>
      <c r="G635" s="228"/>
      <c r="H635" s="277" t="s">
        <v>65</v>
      </c>
      <c r="I635" s="277">
        <v>1</v>
      </c>
      <c r="J635" s="315">
        <v>131.22</v>
      </c>
      <c r="K635" s="315">
        <f t="shared" si="676"/>
        <v>160.09</v>
      </c>
      <c r="L635" s="315">
        <f t="shared" si="677"/>
        <v>0</v>
      </c>
      <c r="M635" s="315">
        <f t="shared" si="678"/>
        <v>131.22</v>
      </c>
      <c r="N635" s="315">
        <f t="shared" si="679"/>
        <v>0</v>
      </c>
      <c r="O635" s="316">
        <f t="shared" si="680"/>
        <v>160.09</v>
      </c>
      <c r="P635" s="316">
        <f t="shared" si="681"/>
        <v>0</v>
      </c>
      <c r="Q635" s="132"/>
      <c r="R635" s="214">
        <f t="shared" si="682"/>
        <v>12167</v>
      </c>
      <c r="U635" s="174"/>
      <c r="W635" s="175"/>
      <c r="AK635" s="141">
        <f t="shared" si="669"/>
        <v>12166.84</v>
      </c>
    </row>
    <row r="636" spans="1:37" ht="39.6" outlineLevel="1">
      <c r="A636" s="147"/>
      <c r="B636" s="311" t="s">
        <v>30</v>
      </c>
      <c r="C636" s="277" t="s">
        <v>459</v>
      </c>
      <c r="D636" s="312"/>
      <c r="E636" s="313">
        <v>19102751001</v>
      </c>
      <c r="F636" s="314" t="s">
        <v>533</v>
      </c>
      <c r="G636" s="228"/>
      <c r="H636" s="277" t="s">
        <v>65</v>
      </c>
      <c r="I636" s="277">
        <v>1</v>
      </c>
      <c r="J636" s="315">
        <v>131.22</v>
      </c>
      <c r="K636" s="315">
        <f t="shared" si="676"/>
        <v>160.09</v>
      </c>
      <c r="L636" s="315">
        <f t="shared" si="677"/>
        <v>0</v>
      </c>
      <c r="M636" s="315">
        <f t="shared" si="678"/>
        <v>131.22</v>
      </c>
      <c r="N636" s="315">
        <f t="shared" si="679"/>
        <v>0</v>
      </c>
      <c r="O636" s="316">
        <f t="shared" si="680"/>
        <v>160.09</v>
      </c>
      <c r="P636" s="316">
        <f t="shared" si="681"/>
        <v>0</v>
      </c>
      <c r="Q636" s="132"/>
      <c r="R636" s="214">
        <f t="shared" si="682"/>
        <v>12167</v>
      </c>
      <c r="U636" s="174"/>
      <c r="W636" s="175"/>
      <c r="AK636" s="141">
        <f t="shared" si="669"/>
        <v>12166.84</v>
      </c>
    </row>
    <row r="637" spans="1:37" ht="39.6" outlineLevel="1">
      <c r="A637" s="147"/>
      <c r="B637" s="311" t="s">
        <v>30</v>
      </c>
      <c r="C637" s="277" t="s">
        <v>459</v>
      </c>
      <c r="D637" s="312"/>
      <c r="E637" s="313">
        <v>19102761001</v>
      </c>
      <c r="F637" s="314" t="s">
        <v>534</v>
      </c>
      <c r="G637" s="228"/>
      <c r="H637" s="277" t="s">
        <v>65</v>
      </c>
      <c r="I637" s="277">
        <v>1</v>
      </c>
      <c r="J637" s="315">
        <v>131.22</v>
      </c>
      <c r="K637" s="315">
        <f t="shared" si="676"/>
        <v>160.09</v>
      </c>
      <c r="L637" s="315">
        <f t="shared" si="677"/>
        <v>0</v>
      </c>
      <c r="M637" s="315">
        <f t="shared" si="678"/>
        <v>131.22</v>
      </c>
      <c r="N637" s="315">
        <f t="shared" si="679"/>
        <v>0</v>
      </c>
      <c r="O637" s="316">
        <f t="shared" si="680"/>
        <v>160.09</v>
      </c>
      <c r="P637" s="316">
        <f t="shared" si="681"/>
        <v>0</v>
      </c>
      <c r="Q637" s="132"/>
      <c r="R637" s="214">
        <f t="shared" si="682"/>
        <v>12167</v>
      </c>
      <c r="U637" s="174"/>
      <c r="W637" s="175"/>
      <c r="AK637" s="141">
        <f t="shared" si="669"/>
        <v>12166.84</v>
      </c>
    </row>
    <row r="638" spans="1:37" outlineLevel="1">
      <c r="A638" s="147"/>
      <c r="B638" s="225"/>
      <c r="C638" s="226"/>
      <c r="D638" s="312"/>
      <c r="E638" s="319"/>
      <c r="F638" s="320"/>
      <c r="G638" s="228"/>
      <c r="H638" s="226"/>
      <c r="I638" s="226"/>
      <c r="J638" s="315"/>
      <c r="K638" s="315"/>
      <c r="L638" s="315"/>
      <c r="M638" s="315"/>
      <c r="N638" s="315"/>
      <c r="O638" s="316"/>
      <c r="P638" s="316"/>
      <c r="Q638" s="132"/>
      <c r="R638" s="317"/>
      <c r="U638" s="174"/>
      <c r="W638" s="175"/>
      <c r="AK638" s="141"/>
    </row>
    <row r="639" spans="1:37" ht="39.6" outlineLevel="1">
      <c r="A639" s="147"/>
      <c r="B639" s="311" t="s">
        <v>474</v>
      </c>
      <c r="C639" s="277" t="s">
        <v>459</v>
      </c>
      <c r="D639" s="312"/>
      <c r="E639" s="313">
        <v>19102801001</v>
      </c>
      <c r="F639" s="314" t="s">
        <v>535</v>
      </c>
      <c r="G639" s="228"/>
      <c r="H639" s="277" t="s">
        <v>65</v>
      </c>
      <c r="I639" s="277">
        <v>1</v>
      </c>
      <c r="J639" s="315">
        <v>109.34</v>
      </c>
      <c r="K639" s="315">
        <f t="shared" ref="K639:K645" si="683">ROUND((J639*$C$3),2)</f>
        <v>133.38999999999999</v>
      </c>
      <c r="L639" s="315">
        <f t="shared" ref="L639:L645" si="684">K639*G639</f>
        <v>0</v>
      </c>
      <c r="M639" s="315">
        <f t="shared" ref="M639:M645" si="685">J639*(1-$E$5-$E$7)*(1-$E$9)*(1+$E$11)</f>
        <v>109.34</v>
      </c>
      <c r="N639" s="315">
        <f t="shared" ref="N639:N645" si="686">M639*G639</f>
        <v>0</v>
      </c>
      <c r="O639" s="316">
        <f t="shared" ref="O639:O645" si="687">ROUND((M639*$C$3),2)</f>
        <v>133.38999999999999</v>
      </c>
      <c r="P639" s="316">
        <f t="shared" ref="P639:P645" si="688">O639*G639</f>
        <v>0</v>
      </c>
      <c r="Q639" s="132"/>
      <c r="R639" s="214">
        <f t="shared" si="682"/>
        <v>10138</v>
      </c>
      <c r="U639" s="174"/>
      <c r="W639" s="175"/>
      <c r="AK639" s="141">
        <f t="shared" si="669"/>
        <v>10137.64</v>
      </c>
    </row>
    <row r="640" spans="1:37" ht="26.45" outlineLevel="1">
      <c r="A640" s="147"/>
      <c r="B640" s="311" t="s">
        <v>474</v>
      </c>
      <c r="C640" s="277" t="s">
        <v>459</v>
      </c>
      <c r="D640" s="312"/>
      <c r="E640" s="313">
        <v>19102811001</v>
      </c>
      <c r="F640" s="314" t="s">
        <v>536</v>
      </c>
      <c r="G640" s="228"/>
      <c r="H640" s="277" t="s">
        <v>65</v>
      </c>
      <c r="I640" s="277">
        <v>1</v>
      </c>
      <c r="J640" s="315">
        <v>109.34</v>
      </c>
      <c r="K640" s="315">
        <f t="shared" si="683"/>
        <v>133.38999999999999</v>
      </c>
      <c r="L640" s="315">
        <f t="shared" si="684"/>
        <v>0</v>
      </c>
      <c r="M640" s="315">
        <f t="shared" si="685"/>
        <v>109.34</v>
      </c>
      <c r="N640" s="315">
        <f t="shared" si="686"/>
        <v>0</v>
      </c>
      <c r="O640" s="316">
        <f t="shared" si="687"/>
        <v>133.38999999999999</v>
      </c>
      <c r="P640" s="316">
        <f t="shared" si="688"/>
        <v>0</v>
      </c>
      <c r="Q640" s="132"/>
      <c r="R640" s="214">
        <f t="shared" si="682"/>
        <v>10138</v>
      </c>
      <c r="U640" s="174"/>
      <c r="W640" s="175"/>
      <c r="AK640" s="141">
        <f t="shared" si="669"/>
        <v>10137.64</v>
      </c>
    </row>
    <row r="641" spans="1:93" ht="39.6" outlineLevel="1">
      <c r="A641" s="147"/>
      <c r="B641" s="311" t="s">
        <v>474</v>
      </c>
      <c r="C641" s="277" t="s">
        <v>459</v>
      </c>
      <c r="D641" s="312"/>
      <c r="E641" s="313">
        <v>19102821001</v>
      </c>
      <c r="F641" s="314" t="s">
        <v>537</v>
      </c>
      <c r="G641" s="228"/>
      <c r="H641" s="277" t="s">
        <v>65</v>
      </c>
      <c r="I641" s="277">
        <v>1</v>
      </c>
      <c r="J641" s="315">
        <v>153.09</v>
      </c>
      <c r="K641" s="315">
        <f t="shared" si="683"/>
        <v>186.77</v>
      </c>
      <c r="L641" s="315">
        <f t="shared" si="684"/>
        <v>0</v>
      </c>
      <c r="M641" s="315">
        <f t="shared" si="685"/>
        <v>153.09</v>
      </c>
      <c r="N641" s="315">
        <f t="shared" si="686"/>
        <v>0</v>
      </c>
      <c r="O641" s="316">
        <f t="shared" si="687"/>
        <v>186.77</v>
      </c>
      <c r="P641" s="316">
        <f t="shared" si="688"/>
        <v>0</v>
      </c>
      <c r="Q641" s="132"/>
      <c r="R641" s="214">
        <f t="shared" si="682"/>
        <v>14195</v>
      </c>
      <c r="U641" s="174"/>
      <c r="W641" s="175"/>
      <c r="AK641" s="141">
        <f t="shared" si="669"/>
        <v>14194.52</v>
      </c>
    </row>
    <row r="642" spans="1:93" ht="39.6" outlineLevel="1">
      <c r="A642" s="147"/>
      <c r="B642" s="311" t="s">
        <v>474</v>
      </c>
      <c r="C642" s="277" t="s">
        <v>459</v>
      </c>
      <c r="D642" s="312"/>
      <c r="E642" s="313">
        <v>19102831001</v>
      </c>
      <c r="F642" s="314" t="s">
        <v>538</v>
      </c>
      <c r="G642" s="228"/>
      <c r="H642" s="277" t="s">
        <v>65</v>
      </c>
      <c r="I642" s="277">
        <v>1</v>
      </c>
      <c r="J642" s="315">
        <v>153.09</v>
      </c>
      <c r="K642" s="315">
        <f t="shared" si="683"/>
        <v>186.77</v>
      </c>
      <c r="L642" s="315">
        <f t="shared" si="684"/>
        <v>0</v>
      </c>
      <c r="M642" s="315">
        <f t="shared" si="685"/>
        <v>153.09</v>
      </c>
      <c r="N642" s="315">
        <f t="shared" si="686"/>
        <v>0</v>
      </c>
      <c r="O642" s="316">
        <f t="shared" si="687"/>
        <v>186.77</v>
      </c>
      <c r="P642" s="316">
        <f t="shared" si="688"/>
        <v>0</v>
      </c>
      <c r="Q642" s="132"/>
      <c r="R642" s="214">
        <f t="shared" si="682"/>
        <v>14195</v>
      </c>
      <c r="U642" s="174"/>
      <c r="W642" s="175"/>
      <c r="AK642" s="141">
        <f t="shared" si="669"/>
        <v>14194.52</v>
      </c>
    </row>
    <row r="643" spans="1:93" ht="39.6" outlineLevel="1">
      <c r="A643" s="147"/>
      <c r="B643" s="311" t="s">
        <v>474</v>
      </c>
      <c r="C643" s="277" t="s">
        <v>459</v>
      </c>
      <c r="D643" s="312"/>
      <c r="E643" s="313">
        <v>19102841001</v>
      </c>
      <c r="F643" s="314" t="s">
        <v>539</v>
      </c>
      <c r="G643" s="228"/>
      <c r="H643" s="277" t="s">
        <v>65</v>
      </c>
      <c r="I643" s="277">
        <v>1</v>
      </c>
      <c r="J643" s="315">
        <v>153.09</v>
      </c>
      <c r="K643" s="315">
        <f t="shared" si="683"/>
        <v>186.77</v>
      </c>
      <c r="L643" s="315">
        <f t="shared" si="684"/>
        <v>0</v>
      </c>
      <c r="M643" s="315">
        <f t="shared" si="685"/>
        <v>153.09</v>
      </c>
      <c r="N643" s="315">
        <f t="shared" si="686"/>
        <v>0</v>
      </c>
      <c r="O643" s="316">
        <f t="shared" si="687"/>
        <v>186.77</v>
      </c>
      <c r="P643" s="316">
        <f t="shared" si="688"/>
        <v>0</v>
      </c>
      <c r="Q643" s="132"/>
      <c r="R643" s="214">
        <f t="shared" si="682"/>
        <v>14195</v>
      </c>
      <c r="U643" s="174"/>
      <c r="W643" s="175"/>
      <c r="AK643" s="141">
        <f t="shared" si="669"/>
        <v>14194.52</v>
      </c>
    </row>
    <row r="644" spans="1:93" ht="39.6" outlineLevel="1">
      <c r="A644" s="147"/>
      <c r="B644" s="311" t="s">
        <v>474</v>
      </c>
      <c r="C644" s="277" t="s">
        <v>459</v>
      </c>
      <c r="D644" s="312"/>
      <c r="E644" s="313">
        <v>19102851001</v>
      </c>
      <c r="F644" s="314" t="s">
        <v>540</v>
      </c>
      <c r="G644" s="228"/>
      <c r="H644" s="277" t="s">
        <v>65</v>
      </c>
      <c r="I644" s="277">
        <v>1</v>
      </c>
      <c r="J644" s="315">
        <v>153.09</v>
      </c>
      <c r="K644" s="315">
        <f t="shared" si="683"/>
        <v>186.77</v>
      </c>
      <c r="L644" s="315">
        <f t="shared" si="684"/>
        <v>0</v>
      </c>
      <c r="M644" s="315">
        <f t="shared" si="685"/>
        <v>153.09</v>
      </c>
      <c r="N644" s="315">
        <f t="shared" si="686"/>
        <v>0</v>
      </c>
      <c r="O644" s="316">
        <f t="shared" si="687"/>
        <v>186.77</v>
      </c>
      <c r="P644" s="316">
        <f t="shared" si="688"/>
        <v>0</v>
      </c>
      <c r="Q644" s="132"/>
      <c r="R644" s="214">
        <f t="shared" si="682"/>
        <v>14195</v>
      </c>
      <c r="U644" s="174"/>
      <c r="W644" s="175"/>
      <c r="AK644" s="141">
        <f t="shared" si="669"/>
        <v>14194.52</v>
      </c>
    </row>
    <row r="645" spans="1:93" ht="39.6" outlineLevel="1">
      <c r="A645" s="147"/>
      <c r="B645" s="311" t="s">
        <v>474</v>
      </c>
      <c r="C645" s="277" t="s">
        <v>459</v>
      </c>
      <c r="D645" s="312"/>
      <c r="E645" s="313">
        <v>19102861001</v>
      </c>
      <c r="F645" s="314" t="s">
        <v>541</v>
      </c>
      <c r="G645" s="228"/>
      <c r="H645" s="277" t="s">
        <v>65</v>
      </c>
      <c r="I645" s="277">
        <v>1</v>
      </c>
      <c r="J645" s="315">
        <v>153.09</v>
      </c>
      <c r="K645" s="315">
        <f t="shared" si="683"/>
        <v>186.77</v>
      </c>
      <c r="L645" s="315">
        <f t="shared" si="684"/>
        <v>0</v>
      </c>
      <c r="M645" s="315">
        <f t="shared" si="685"/>
        <v>153.09</v>
      </c>
      <c r="N645" s="315">
        <f t="shared" si="686"/>
        <v>0</v>
      </c>
      <c r="O645" s="316">
        <f t="shared" si="687"/>
        <v>186.77</v>
      </c>
      <c r="P645" s="316">
        <f t="shared" si="688"/>
        <v>0</v>
      </c>
      <c r="Q645" s="132"/>
      <c r="R645" s="214">
        <f t="shared" si="682"/>
        <v>14195</v>
      </c>
      <c r="U645" s="174"/>
      <c r="W645" s="175"/>
      <c r="AK645" s="141">
        <f t="shared" si="669"/>
        <v>14194.52</v>
      </c>
    </row>
    <row r="646" spans="1:93" outlineLevel="1">
      <c r="A646" s="147"/>
      <c r="B646" s="260"/>
      <c r="C646" s="215"/>
      <c r="D646" s="215"/>
      <c r="E646" s="217"/>
      <c r="F646" s="127"/>
      <c r="G646" s="219"/>
      <c r="H646" s="215"/>
      <c r="I646" s="215"/>
      <c r="J646" s="220"/>
      <c r="K646" s="220"/>
      <c r="L646" s="220"/>
      <c r="M646" s="220"/>
      <c r="N646" s="220"/>
      <c r="O646" s="221"/>
      <c r="P646" s="221"/>
      <c r="Q646" s="132"/>
      <c r="R646" s="222"/>
      <c r="AK646" s="141"/>
    </row>
    <row r="647" spans="1:93">
      <c r="A647" s="36"/>
      <c r="B647" s="321"/>
      <c r="C647" s="322" t="s">
        <v>542</v>
      </c>
      <c r="D647" s="301"/>
      <c r="E647" s="302"/>
      <c r="F647" s="303" t="s">
        <v>543</v>
      </c>
      <c r="G647" s="323"/>
      <c r="H647" s="324"/>
      <c r="I647" s="324"/>
      <c r="J647" s="325"/>
      <c r="K647" s="325"/>
      <c r="L647" s="325"/>
      <c r="M647" s="325"/>
      <c r="N647" s="325"/>
      <c r="O647" s="326"/>
      <c r="P647" s="237"/>
      <c r="Q647" s="132"/>
      <c r="R647" s="207"/>
      <c r="AK647" s="141"/>
    </row>
    <row r="648" spans="1:93">
      <c r="A648" s="36"/>
      <c r="B648" s="321"/>
      <c r="C648" s="322" t="s">
        <v>542</v>
      </c>
      <c r="D648" s="301"/>
      <c r="E648" s="302"/>
      <c r="F648" s="303" t="s">
        <v>544</v>
      </c>
      <c r="G648" s="323"/>
      <c r="H648" s="324"/>
      <c r="I648" s="324"/>
      <c r="J648" s="325"/>
      <c r="K648" s="325"/>
      <c r="L648" s="325"/>
      <c r="M648" s="325"/>
      <c r="N648" s="325"/>
      <c r="O648" s="326"/>
      <c r="P648" s="237"/>
      <c r="Q648" s="132"/>
      <c r="R648" s="207"/>
      <c r="AK648" s="141"/>
    </row>
    <row r="649" spans="1:93">
      <c r="A649" s="36"/>
      <c r="B649" s="321"/>
      <c r="C649" s="322" t="s">
        <v>542</v>
      </c>
      <c r="D649" s="301"/>
      <c r="E649" s="302"/>
      <c r="F649" s="303" t="s">
        <v>542</v>
      </c>
      <c r="G649" s="323"/>
      <c r="H649" s="324"/>
      <c r="I649" s="324"/>
      <c r="J649" s="325"/>
      <c r="K649" s="325"/>
      <c r="L649" s="325"/>
      <c r="M649" s="325"/>
      <c r="N649" s="325"/>
      <c r="O649" s="326"/>
      <c r="P649" s="237"/>
      <c r="Q649" s="132"/>
      <c r="R649" s="207"/>
      <c r="AK649" s="141"/>
    </row>
    <row r="650" spans="1:93" outlineLevel="1">
      <c r="A650" s="36"/>
      <c r="B650" s="311" t="s">
        <v>30</v>
      </c>
      <c r="C650" s="327" t="s">
        <v>542</v>
      </c>
      <c r="D650" s="244">
        <v>11361401120</v>
      </c>
      <c r="E650" s="328">
        <v>11361403120</v>
      </c>
      <c r="F650" s="329" t="s">
        <v>545</v>
      </c>
      <c r="G650" s="330"/>
      <c r="H650" s="331" t="s">
        <v>28</v>
      </c>
      <c r="I650" s="331">
        <v>120</v>
      </c>
      <c r="J650" s="279">
        <v>1.92</v>
      </c>
      <c r="K650" s="279">
        <f t="shared" ref="K650" si="689">ROUND((J650*$C$3),2)</f>
        <v>2.34</v>
      </c>
      <c r="L650" s="279">
        <f t="shared" ref="L650:L655" si="690">K650*G650</f>
        <v>0</v>
      </c>
      <c r="M650" s="279">
        <f t="shared" ref="M650" si="691">J650*(1-$E$5-$E$7)*(1-$E$9)*(1+$E$11)</f>
        <v>1.92</v>
      </c>
      <c r="N650" s="279">
        <f t="shared" ref="N650:N655" si="692">M650*G650</f>
        <v>0</v>
      </c>
      <c r="O650" s="332">
        <f t="shared" ref="O650" si="693">ROUND((M650*$C$3),2)</f>
        <v>2.34</v>
      </c>
      <c r="P650" s="333">
        <f t="shared" ref="P650:P655" si="694">O650*G650</f>
        <v>0</v>
      </c>
      <c r="Q650" s="132"/>
      <c r="R650" s="222">
        <f t="shared" ref="R650:R668" si="695">ROUND(AK650,0)</f>
        <v>187</v>
      </c>
      <c r="AK650" s="141">
        <f t="shared" ref="AK650:AK655" si="696">K650*$AK$11*(1-$AK$10)</f>
        <v>187.20000000000002</v>
      </c>
    </row>
    <row r="651" spans="1:93" outlineLevel="1">
      <c r="A651" s="36"/>
      <c r="B651" s="311" t="s">
        <v>30</v>
      </c>
      <c r="C651" s="327" t="s">
        <v>542</v>
      </c>
      <c r="D651" s="277">
        <v>11361401500</v>
      </c>
      <c r="E651" s="328">
        <v>11361403500</v>
      </c>
      <c r="F651" s="329" t="s">
        <v>546</v>
      </c>
      <c r="G651" s="330"/>
      <c r="H651" s="331" t="s">
        <v>28</v>
      </c>
      <c r="I651" s="331">
        <v>500</v>
      </c>
      <c r="J651" s="279">
        <v>1.77</v>
      </c>
      <c r="K651" s="279">
        <f t="shared" ref="K651:K655" si="697">ROUND((J651*$C$3),2)</f>
        <v>2.16</v>
      </c>
      <c r="L651" s="279">
        <f t="shared" si="690"/>
        <v>0</v>
      </c>
      <c r="M651" s="279">
        <f t="shared" ref="M651:M655" si="698">J651*(1-$E$5-$E$7)*(1-$E$9)*(1+$E$11)</f>
        <v>1.77</v>
      </c>
      <c r="N651" s="279">
        <f t="shared" si="692"/>
        <v>0</v>
      </c>
      <c r="O651" s="332">
        <f t="shared" ref="O651:O655" si="699">ROUND((M651*$C$3),2)</f>
        <v>2.16</v>
      </c>
      <c r="P651" s="333">
        <f t="shared" si="694"/>
        <v>0</v>
      </c>
      <c r="Q651" s="132"/>
      <c r="R651" s="222">
        <f t="shared" si="695"/>
        <v>173</v>
      </c>
      <c r="AK651" s="141">
        <f t="shared" si="696"/>
        <v>172.8</v>
      </c>
    </row>
    <row r="652" spans="1:93" outlineLevel="1">
      <c r="A652" s="36"/>
      <c r="B652" s="311" t="s">
        <v>30</v>
      </c>
      <c r="C652" s="327" t="s">
        <v>542</v>
      </c>
      <c r="D652" s="277">
        <v>11361601120</v>
      </c>
      <c r="E652" s="328">
        <v>11361603120</v>
      </c>
      <c r="F652" s="329" t="s">
        <v>547</v>
      </c>
      <c r="G652" s="330"/>
      <c r="H652" s="331" t="s">
        <v>28</v>
      </c>
      <c r="I652" s="331">
        <v>120</v>
      </c>
      <c r="J652" s="279">
        <v>2.65</v>
      </c>
      <c r="K652" s="279">
        <f t="shared" si="697"/>
        <v>3.23</v>
      </c>
      <c r="L652" s="279">
        <f t="shared" si="690"/>
        <v>0</v>
      </c>
      <c r="M652" s="279">
        <f t="shared" si="698"/>
        <v>2.65</v>
      </c>
      <c r="N652" s="279">
        <f t="shared" si="692"/>
        <v>0</v>
      </c>
      <c r="O652" s="332">
        <f t="shared" si="699"/>
        <v>3.23</v>
      </c>
      <c r="P652" s="333">
        <f t="shared" si="694"/>
        <v>0</v>
      </c>
      <c r="Q652" s="132"/>
      <c r="R652" s="222">
        <f t="shared" si="695"/>
        <v>258</v>
      </c>
      <c r="AK652" s="141">
        <f t="shared" si="696"/>
        <v>258.40000000000003</v>
      </c>
    </row>
    <row r="653" spans="1:93" outlineLevel="1">
      <c r="A653" s="36"/>
      <c r="B653" s="311" t="s">
        <v>30</v>
      </c>
      <c r="C653" s="327" t="s">
        <v>542</v>
      </c>
      <c r="D653" s="277">
        <v>11361601500</v>
      </c>
      <c r="E653" s="328">
        <v>11361603500</v>
      </c>
      <c r="F653" s="329" t="s">
        <v>548</v>
      </c>
      <c r="G653" s="330"/>
      <c r="H653" s="331" t="s">
        <v>28</v>
      </c>
      <c r="I653" s="331">
        <v>500</v>
      </c>
      <c r="J653" s="279">
        <v>2.4500000000000002</v>
      </c>
      <c r="K653" s="279">
        <f t="shared" si="697"/>
        <v>2.99</v>
      </c>
      <c r="L653" s="279">
        <f t="shared" si="690"/>
        <v>0</v>
      </c>
      <c r="M653" s="279">
        <f t="shared" si="698"/>
        <v>2.4500000000000002</v>
      </c>
      <c r="N653" s="279">
        <f t="shared" si="692"/>
        <v>0</v>
      </c>
      <c r="O653" s="332">
        <f t="shared" si="699"/>
        <v>2.99</v>
      </c>
      <c r="P653" s="333">
        <f t="shared" si="694"/>
        <v>0</v>
      </c>
      <c r="Q653" s="132"/>
      <c r="R653" s="222">
        <f t="shared" si="695"/>
        <v>239</v>
      </c>
      <c r="AK653" s="141">
        <f t="shared" si="696"/>
        <v>239.20000000000002</v>
      </c>
    </row>
    <row r="654" spans="1:93" s="92" customFormat="1" outlineLevel="1">
      <c r="A654" s="155"/>
      <c r="B654" s="311" t="s">
        <v>30</v>
      </c>
      <c r="C654" s="327" t="s">
        <v>542</v>
      </c>
      <c r="D654" s="277">
        <v>11367701120</v>
      </c>
      <c r="E654" s="328">
        <v>11367703120</v>
      </c>
      <c r="F654" s="329" t="s">
        <v>549</v>
      </c>
      <c r="G654" s="330"/>
      <c r="H654" s="331" t="s">
        <v>28</v>
      </c>
      <c r="I654" s="331">
        <v>120</v>
      </c>
      <c r="J654" s="279">
        <v>4.04</v>
      </c>
      <c r="K654" s="279">
        <f t="shared" si="697"/>
        <v>4.93</v>
      </c>
      <c r="L654" s="279">
        <f t="shared" si="690"/>
        <v>0</v>
      </c>
      <c r="M654" s="279">
        <f t="shared" si="698"/>
        <v>4.04</v>
      </c>
      <c r="N654" s="279">
        <f t="shared" si="692"/>
        <v>0</v>
      </c>
      <c r="O654" s="332">
        <f t="shared" si="699"/>
        <v>4.93</v>
      </c>
      <c r="P654" s="333">
        <f t="shared" si="694"/>
        <v>0</v>
      </c>
      <c r="Q654" s="132"/>
      <c r="R654" s="222">
        <f t="shared" si="695"/>
        <v>394</v>
      </c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 s="141">
        <f t="shared" si="696"/>
        <v>394.40000000000003</v>
      </c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</row>
    <row r="655" spans="1:93" s="92" customFormat="1" outlineLevel="1">
      <c r="A655" s="155"/>
      <c r="B655" s="311" t="s">
        <v>30</v>
      </c>
      <c r="C655" s="327" t="s">
        <v>542</v>
      </c>
      <c r="D655" s="277">
        <v>11367701300</v>
      </c>
      <c r="E655" s="328">
        <v>11367703300</v>
      </c>
      <c r="F655" s="329" t="s">
        <v>550</v>
      </c>
      <c r="G655" s="330"/>
      <c r="H655" s="331" t="s">
        <v>28</v>
      </c>
      <c r="I655" s="331">
        <v>300</v>
      </c>
      <c r="J655" s="279">
        <v>4.04</v>
      </c>
      <c r="K655" s="279">
        <f t="shared" si="697"/>
        <v>4.93</v>
      </c>
      <c r="L655" s="279">
        <f t="shared" si="690"/>
        <v>0</v>
      </c>
      <c r="M655" s="279">
        <f t="shared" si="698"/>
        <v>4.04</v>
      </c>
      <c r="N655" s="279">
        <f t="shared" si="692"/>
        <v>0</v>
      </c>
      <c r="O655" s="332">
        <f t="shared" si="699"/>
        <v>4.93</v>
      </c>
      <c r="P655" s="333">
        <f t="shared" si="694"/>
        <v>0</v>
      </c>
      <c r="Q655" s="132"/>
      <c r="R655" s="222">
        <f t="shared" si="695"/>
        <v>394</v>
      </c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 s="141">
        <f t="shared" si="696"/>
        <v>394.40000000000003</v>
      </c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</row>
    <row r="656" spans="1:93" s="92" customFormat="1" outlineLevel="1">
      <c r="A656" s="155"/>
      <c r="B656" s="334"/>
      <c r="C656" s="335"/>
      <c r="D656" s="336"/>
      <c r="E656" s="337"/>
      <c r="F656" s="338"/>
      <c r="G656" s="339"/>
      <c r="H656" s="340"/>
      <c r="I656" s="340"/>
      <c r="J656" s="341"/>
      <c r="K656" s="341"/>
      <c r="L656" s="341"/>
      <c r="M656" s="341"/>
      <c r="N656" s="341"/>
      <c r="O656" s="342"/>
      <c r="P656" s="221"/>
      <c r="Q656" s="132"/>
      <c r="R656" s="222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 s="141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</row>
    <row r="657" spans="1:38">
      <c r="A657" s="36"/>
      <c r="B657" s="343"/>
      <c r="C657" s="344" t="s">
        <v>542</v>
      </c>
      <c r="D657" s="345"/>
      <c r="E657" s="346"/>
      <c r="F657" s="347" t="s">
        <v>551</v>
      </c>
      <c r="G657" s="348"/>
      <c r="H657" s="348"/>
      <c r="I657" s="348"/>
      <c r="J657" s="325"/>
      <c r="K657" s="325"/>
      <c r="L657" s="325"/>
      <c r="M657" s="325"/>
      <c r="N657" s="325"/>
      <c r="O657" s="349"/>
      <c r="P657" s="237"/>
      <c r="Q657" s="132"/>
      <c r="R657" s="207"/>
      <c r="AK657" s="141"/>
    </row>
    <row r="658" spans="1:38" outlineLevel="1">
      <c r="A658" s="36"/>
      <c r="B658" s="343"/>
      <c r="C658" s="344" t="s">
        <v>542</v>
      </c>
      <c r="D658" s="350"/>
      <c r="E658" s="346"/>
      <c r="F658" s="347" t="s">
        <v>552</v>
      </c>
      <c r="G658" s="348"/>
      <c r="H658" s="348"/>
      <c r="I658" s="348"/>
      <c r="J658" s="325"/>
      <c r="K658" s="325"/>
      <c r="L658" s="325"/>
      <c r="M658" s="325"/>
      <c r="N658" s="325"/>
      <c r="O658" s="349"/>
      <c r="P658" s="237"/>
      <c r="Q658" s="132"/>
      <c r="R658" s="207"/>
      <c r="AK658" s="141"/>
    </row>
    <row r="659" spans="1:38" ht="30.6" outlineLevel="1">
      <c r="A659" s="148" t="s">
        <v>25</v>
      </c>
      <c r="B659" s="208" t="s">
        <v>26</v>
      </c>
      <c r="C659" s="351" t="s">
        <v>542</v>
      </c>
      <c r="D659" s="248"/>
      <c r="E659" s="188">
        <v>12591971002</v>
      </c>
      <c r="F659" s="258" t="s">
        <v>553</v>
      </c>
      <c r="G659" s="211"/>
      <c r="H659" s="248" t="s">
        <v>65</v>
      </c>
      <c r="I659" s="248">
        <v>50</v>
      </c>
      <c r="J659" s="212">
        <v>1.1399999999999999</v>
      </c>
      <c r="K659" s="212">
        <f t="shared" ref="K659" si="700">ROUND((J659*$C$3),2)</f>
        <v>1.39</v>
      </c>
      <c r="L659" s="212">
        <f t="shared" ref="L659:L662" si="701">K659*G659</f>
        <v>0</v>
      </c>
      <c r="M659" s="212">
        <f t="shared" ref="M659" si="702">J659*(1-$E$5-$E$7)*(1-$E$9)*(1+$E$11)</f>
        <v>1.1399999999999999</v>
      </c>
      <c r="N659" s="212">
        <f t="shared" ref="N659:N662" si="703">M659*G659</f>
        <v>0</v>
      </c>
      <c r="O659" s="297">
        <f t="shared" ref="O659" si="704">ROUND((M659*$C$3),2)</f>
        <v>1.39</v>
      </c>
      <c r="P659" s="213">
        <f t="shared" ref="P659:P662" si="705">O659*G659</f>
        <v>0</v>
      </c>
      <c r="Q659" s="132"/>
      <c r="R659" s="214">
        <f t="shared" si="695"/>
        <v>111</v>
      </c>
      <c r="AK659" s="141">
        <f t="shared" ref="AK659:AK662" si="706">K659*$AK$11*(1-$AK$10)</f>
        <v>111.2</v>
      </c>
    </row>
    <row r="660" spans="1:38" s="74" customFormat="1" outlineLevel="1">
      <c r="A660" s="156"/>
      <c r="B660" s="352" t="s">
        <v>30</v>
      </c>
      <c r="C660" s="327" t="s">
        <v>542</v>
      </c>
      <c r="D660" s="311">
        <v>12502971002</v>
      </c>
      <c r="E660" s="311">
        <v>12502973002</v>
      </c>
      <c r="F660" s="329" t="s">
        <v>554</v>
      </c>
      <c r="G660" s="228"/>
      <c r="H660" s="244" t="s">
        <v>65</v>
      </c>
      <c r="I660" s="244">
        <v>50</v>
      </c>
      <c r="J660" s="353">
        <v>1.1599999999999999</v>
      </c>
      <c r="K660" s="229">
        <f>ROUND((J660*$C$3),2)</f>
        <v>1.42</v>
      </c>
      <c r="L660" s="279">
        <f t="shared" si="701"/>
        <v>0</v>
      </c>
      <c r="M660" s="279">
        <f t="shared" ref="M660:M662" si="707">J660*(1-$E$5-$E$7)*(1-$E$9)*(1+$E$11)</f>
        <v>1.1599999999999999</v>
      </c>
      <c r="N660" s="279">
        <f t="shared" si="703"/>
        <v>0</v>
      </c>
      <c r="O660" s="332">
        <f t="shared" ref="O660:O662" si="708">ROUND((M660*$C$3),2)</f>
        <v>1.42</v>
      </c>
      <c r="P660" s="333">
        <f t="shared" si="705"/>
        <v>0</v>
      </c>
      <c r="Q660" s="132"/>
      <c r="R660" s="222">
        <f t="shared" ref="R660:R662" si="709">ROUND(AK660,0)</f>
        <v>114</v>
      </c>
      <c r="AK660" s="141">
        <f t="shared" si="706"/>
        <v>113.60000000000001</v>
      </c>
      <c r="AL660"/>
    </row>
    <row r="661" spans="1:38" s="74" customFormat="1" outlineLevel="1">
      <c r="A661" s="156"/>
      <c r="B661" s="352" t="s">
        <v>30</v>
      </c>
      <c r="C661" s="327" t="s">
        <v>542</v>
      </c>
      <c r="D661" s="311">
        <v>12503071002</v>
      </c>
      <c r="E661" s="311">
        <v>12503073002</v>
      </c>
      <c r="F661" s="354" t="s">
        <v>555</v>
      </c>
      <c r="G661" s="228"/>
      <c r="H661" s="244" t="s">
        <v>65</v>
      </c>
      <c r="I661" s="244">
        <v>50</v>
      </c>
      <c r="J661" s="353">
        <v>1.19</v>
      </c>
      <c r="K661" s="229">
        <f t="shared" ref="K661:K662" si="710">ROUND((J661*$C$3),2)</f>
        <v>1.45</v>
      </c>
      <c r="L661" s="279">
        <f t="shared" si="701"/>
        <v>0</v>
      </c>
      <c r="M661" s="279">
        <f t="shared" si="707"/>
        <v>1.19</v>
      </c>
      <c r="N661" s="279">
        <f t="shared" si="703"/>
        <v>0</v>
      </c>
      <c r="O661" s="332">
        <f t="shared" si="708"/>
        <v>1.45</v>
      </c>
      <c r="P661" s="333">
        <f t="shared" si="705"/>
        <v>0</v>
      </c>
      <c r="Q661" s="132"/>
      <c r="R661" s="222">
        <f t="shared" si="709"/>
        <v>116</v>
      </c>
      <c r="AK661" s="141">
        <f t="shared" si="706"/>
        <v>116</v>
      </c>
      <c r="AL661"/>
    </row>
    <row r="662" spans="1:38" s="74" customFormat="1" outlineLevel="1">
      <c r="A662" s="156"/>
      <c r="B662" s="352" t="s">
        <v>30</v>
      </c>
      <c r="C662" s="327" t="s">
        <v>542</v>
      </c>
      <c r="D662" s="311">
        <v>12591971002</v>
      </c>
      <c r="E662" s="311">
        <v>12591973002</v>
      </c>
      <c r="F662" s="329" t="s">
        <v>556</v>
      </c>
      <c r="G662" s="228"/>
      <c r="H662" s="244" t="s">
        <v>65</v>
      </c>
      <c r="I662" s="244">
        <v>50</v>
      </c>
      <c r="J662" s="353">
        <v>2.0299999999999998</v>
      </c>
      <c r="K662" s="229">
        <f t="shared" si="710"/>
        <v>2.48</v>
      </c>
      <c r="L662" s="279">
        <f t="shared" si="701"/>
        <v>0</v>
      </c>
      <c r="M662" s="279">
        <f t="shared" si="707"/>
        <v>2.0299999999999998</v>
      </c>
      <c r="N662" s="279">
        <f t="shared" si="703"/>
        <v>0</v>
      </c>
      <c r="O662" s="332">
        <f t="shared" si="708"/>
        <v>2.48</v>
      </c>
      <c r="P662" s="333">
        <f t="shared" si="705"/>
        <v>0</v>
      </c>
      <c r="Q662" s="132"/>
      <c r="R662" s="222">
        <f t="shared" si="709"/>
        <v>198</v>
      </c>
      <c r="AK662" s="141">
        <f t="shared" si="706"/>
        <v>198.4</v>
      </c>
      <c r="AL662"/>
    </row>
    <row r="663" spans="1:38" outlineLevel="1">
      <c r="A663" s="36"/>
      <c r="B663" s="296"/>
      <c r="C663" s="355"/>
      <c r="D663" s="248"/>
      <c r="E663" s="188"/>
      <c r="F663" s="258"/>
      <c r="G663" s="219"/>
      <c r="H663" s="248"/>
      <c r="I663" s="248"/>
      <c r="J663" s="212"/>
      <c r="K663" s="212"/>
      <c r="L663" s="212"/>
      <c r="M663" s="212"/>
      <c r="N663" s="212"/>
      <c r="O663" s="297"/>
      <c r="P663" s="213"/>
      <c r="Q663" s="132"/>
      <c r="R663" s="222"/>
      <c r="AK663" s="141"/>
    </row>
    <row r="664" spans="1:38" outlineLevel="1">
      <c r="A664" s="36"/>
      <c r="B664" s="343"/>
      <c r="C664" s="344" t="s">
        <v>542</v>
      </c>
      <c r="D664" s="350"/>
      <c r="E664" s="346"/>
      <c r="F664" s="347" t="s">
        <v>557</v>
      </c>
      <c r="G664" s="348"/>
      <c r="H664" s="348"/>
      <c r="I664" s="348"/>
      <c r="J664" s="325"/>
      <c r="K664" s="325"/>
      <c r="L664" s="325"/>
      <c r="M664" s="325"/>
      <c r="N664" s="325"/>
      <c r="O664" s="349"/>
      <c r="P664" s="237"/>
      <c r="Q664" s="132"/>
      <c r="R664" s="207"/>
      <c r="AK664" s="141"/>
    </row>
    <row r="665" spans="1:38" s="74" customFormat="1" outlineLevel="1">
      <c r="A665" s="156"/>
      <c r="B665" s="352" t="s">
        <v>30</v>
      </c>
      <c r="C665" s="327" t="s">
        <v>542</v>
      </c>
      <c r="D665" s="311">
        <v>12502771002</v>
      </c>
      <c r="E665" s="311">
        <v>12502773002</v>
      </c>
      <c r="F665" s="329" t="s">
        <v>558</v>
      </c>
      <c r="G665" s="228"/>
      <c r="H665" s="244" t="s">
        <v>65</v>
      </c>
      <c r="I665" s="244">
        <v>10</v>
      </c>
      <c r="J665" s="279">
        <v>3.6641349606299212</v>
      </c>
      <c r="K665" s="279">
        <f t="shared" ref="K665:K667" si="711">ROUND((J665*$C$3),2)</f>
        <v>4.47</v>
      </c>
      <c r="L665" s="279">
        <f t="shared" ref="L665:L667" si="712">K665*G665</f>
        <v>0</v>
      </c>
      <c r="M665" s="279">
        <f t="shared" ref="M665:M667" si="713">J665*(1-$E$5-$E$7)*(1-$E$9)*(1+$E$11)</f>
        <v>3.6641349606299212</v>
      </c>
      <c r="N665" s="279">
        <f t="shared" ref="N665:N667" si="714">M665*G665</f>
        <v>0</v>
      </c>
      <c r="O665" s="332">
        <f t="shared" ref="O665:O667" si="715">ROUND((M665*$C$3),2)</f>
        <v>4.47</v>
      </c>
      <c r="P665" s="333">
        <f t="shared" ref="P665:P667" si="716">O665*G665</f>
        <v>0</v>
      </c>
      <c r="Q665" s="132"/>
      <c r="R665" s="222">
        <f t="shared" si="695"/>
        <v>358</v>
      </c>
      <c r="AK665" s="141">
        <f t="shared" ref="AK665:AK667" si="717">K665*$AK$11*(1-$AK$10)</f>
        <v>357.6</v>
      </c>
      <c r="AL665"/>
    </row>
    <row r="666" spans="1:38" s="74" customFormat="1" outlineLevel="1">
      <c r="A666" s="156"/>
      <c r="B666" s="352" t="s">
        <v>30</v>
      </c>
      <c r="C666" s="327" t="s">
        <v>542</v>
      </c>
      <c r="D666" s="311">
        <v>12503171002</v>
      </c>
      <c r="E666" s="311">
        <v>12503173002</v>
      </c>
      <c r="F666" s="329" t="s">
        <v>559</v>
      </c>
      <c r="G666" s="228"/>
      <c r="H666" s="244" t="s">
        <v>65</v>
      </c>
      <c r="I666" s="244">
        <v>10</v>
      </c>
      <c r="J666" s="279">
        <v>3.9432929487179491</v>
      </c>
      <c r="K666" s="279">
        <f t="shared" si="711"/>
        <v>4.8099999999999996</v>
      </c>
      <c r="L666" s="279">
        <f t="shared" si="712"/>
        <v>0</v>
      </c>
      <c r="M666" s="279">
        <f t="shared" si="713"/>
        <v>3.9432929487179491</v>
      </c>
      <c r="N666" s="279">
        <f t="shared" si="714"/>
        <v>0</v>
      </c>
      <c r="O666" s="332">
        <f t="shared" si="715"/>
        <v>4.8099999999999996</v>
      </c>
      <c r="P666" s="333">
        <f t="shared" si="716"/>
        <v>0</v>
      </c>
      <c r="Q666" s="132"/>
      <c r="R666" s="222">
        <f t="shared" si="695"/>
        <v>385</v>
      </c>
      <c r="AK666" s="141">
        <f t="shared" si="717"/>
        <v>384.79999999999995</v>
      </c>
      <c r="AL666"/>
    </row>
    <row r="667" spans="1:38" s="74" customFormat="1" outlineLevel="1">
      <c r="A667" s="156"/>
      <c r="B667" s="352" t="s">
        <v>30</v>
      </c>
      <c r="C667" s="327" t="s">
        <v>542</v>
      </c>
      <c r="D667" s="311">
        <v>12591871002</v>
      </c>
      <c r="E667" s="311">
        <v>12591873002</v>
      </c>
      <c r="F667" s="329" t="s">
        <v>560</v>
      </c>
      <c r="G667" s="228"/>
      <c r="H667" s="244" t="s">
        <v>65</v>
      </c>
      <c r="I667" s="244">
        <v>5</v>
      </c>
      <c r="J667" s="279">
        <v>5.1188952177777782</v>
      </c>
      <c r="K667" s="279">
        <f t="shared" si="711"/>
        <v>6.25</v>
      </c>
      <c r="L667" s="279">
        <f t="shared" si="712"/>
        <v>0</v>
      </c>
      <c r="M667" s="279">
        <f t="shared" si="713"/>
        <v>5.1188952177777782</v>
      </c>
      <c r="N667" s="279">
        <f t="shared" si="714"/>
        <v>0</v>
      </c>
      <c r="O667" s="332">
        <f t="shared" si="715"/>
        <v>6.25</v>
      </c>
      <c r="P667" s="333">
        <f t="shared" si="716"/>
        <v>0</v>
      </c>
      <c r="Q667" s="132"/>
      <c r="R667" s="222">
        <f t="shared" si="695"/>
        <v>500</v>
      </c>
      <c r="AK667" s="141">
        <f t="shared" si="717"/>
        <v>500</v>
      </c>
      <c r="AL667"/>
    </row>
    <row r="668" spans="1:38" s="74" customFormat="1" outlineLevel="1">
      <c r="A668" s="156"/>
      <c r="B668" s="356" t="s">
        <v>52</v>
      </c>
      <c r="C668" s="357" t="s">
        <v>542</v>
      </c>
      <c r="D668" s="226"/>
      <c r="E668" s="225">
        <v>12490971001</v>
      </c>
      <c r="F668" s="227" t="s">
        <v>561</v>
      </c>
      <c r="G668" s="228"/>
      <c r="H668" s="358" t="s">
        <v>65</v>
      </c>
      <c r="I668" s="358">
        <v>10</v>
      </c>
      <c r="J668" s="229">
        <v>8.2899999999999991</v>
      </c>
      <c r="K668" s="229">
        <f t="shared" ref="K668:K698" si="718">ROUND((J668*$C$3),2)</f>
        <v>10.11</v>
      </c>
      <c r="L668" s="229">
        <f t="shared" ref="L668" si="719">K668*G668</f>
        <v>0</v>
      </c>
      <c r="M668" s="229">
        <f t="shared" ref="M668:M698" si="720">J668*(1-$E$5-$E$7)*(1-$E$9)*(1+$E$11)</f>
        <v>8.2899999999999991</v>
      </c>
      <c r="N668" s="229">
        <f t="shared" ref="N668" si="721">M668*G668</f>
        <v>0</v>
      </c>
      <c r="O668" s="359">
        <f t="shared" ref="O668:O698" si="722">ROUND((M668*$C$3),2)</f>
        <v>10.11</v>
      </c>
      <c r="P668" s="230">
        <f t="shared" ref="P668" si="723">O668*G668</f>
        <v>0</v>
      </c>
      <c r="Q668" s="132"/>
      <c r="R668" s="231">
        <f t="shared" si="695"/>
        <v>809</v>
      </c>
      <c r="AK668" s="143">
        <f>K668*$AK$11*(1-$AK$10)</f>
        <v>808.80000000000007</v>
      </c>
    </row>
    <row r="669" spans="1:38" outlineLevel="1">
      <c r="A669" s="36"/>
      <c r="B669" s="360" t="s">
        <v>397</v>
      </c>
      <c r="C669" s="327" t="s">
        <v>542</v>
      </c>
      <c r="D669" s="244"/>
      <c r="E669" s="311">
        <v>12588171002</v>
      </c>
      <c r="F669" s="329" t="s">
        <v>562</v>
      </c>
      <c r="G669" s="361"/>
      <c r="H669" s="244" t="s">
        <v>65</v>
      </c>
      <c r="I669" s="244">
        <v>10</v>
      </c>
      <c r="J669" s="279">
        <v>9.2799999999999994</v>
      </c>
      <c r="K669" s="279">
        <f t="shared" si="718"/>
        <v>11.32</v>
      </c>
      <c r="L669" s="279">
        <f t="shared" ref="L669:L676" si="724">K669*G669</f>
        <v>0</v>
      </c>
      <c r="M669" s="279">
        <f t="shared" si="720"/>
        <v>9.2799999999999994</v>
      </c>
      <c r="N669" s="279">
        <f t="shared" ref="N669:N676" si="725">M669*G669</f>
        <v>0</v>
      </c>
      <c r="O669" s="332">
        <f t="shared" si="722"/>
        <v>11.32</v>
      </c>
      <c r="P669" s="333">
        <f t="shared" ref="P669:P676" si="726">O669*G669</f>
        <v>0</v>
      </c>
      <c r="Q669" s="132"/>
      <c r="R669" s="222">
        <f t="shared" ref="R669:R698" si="727">ROUND(AK669,0)</f>
        <v>906</v>
      </c>
      <c r="AK669" s="141">
        <f t="shared" ref="AK669:AK698" si="728">K669*$AK$11*(1-$AK$10)</f>
        <v>905.6</v>
      </c>
    </row>
    <row r="670" spans="1:38" ht="30.6" outlineLevel="1">
      <c r="A670" s="148" t="s">
        <v>25</v>
      </c>
      <c r="B670" s="208" t="s">
        <v>26</v>
      </c>
      <c r="C670" s="351" t="s">
        <v>542</v>
      </c>
      <c r="D670" s="248"/>
      <c r="E670" s="188">
        <v>12685701001</v>
      </c>
      <c r="F670" s="258" t="s">
        <v>563</v>
      </c>
      <c r="G670" s="211"/>
      <c r="H670" s="248" t="s">
        <v>65</v>
      </c>
      <c r="I670" s="248">
        <v>10</v>
      </c>
      <c r="J670" s="212">
        <v>2.8</v>
      </c>
      <c r="K670" s="212">
        <f t="shared" si="718"/>
        <v>3.42</v>
      </c>
      <c r="L670" s="212">
        <f t="shared" si="724"/>
        <v>0</v>
      </c>
      <c r="M670" s="212">
        <f t="shared" si="720"/>
        <v>2.8</v>
      </c>
      <c r="N670" s="212">
        <f t="shared" si="725"/>
        <v>0</v>
      </c>
      <c r="O670" s="297">
        <f t="shared" si="722"/>
        <v>3.42</v>
      </c>
      <c r="P670" s="213">
        <f t="shared" si="726"/>
        <v>0</v>
      </c>
      <c r="Q670" s="132"/>
      <c r="R670" s="214">
        <f t="shared" si="727"/>
        <v>274</v>
      </c>
      <c r="AK670" s="141">
        <f t="shared" si="728"/>
        <v>273.60000000000002</v>
      </c>
    </row>
    <row r="671" spans="1:38" ht="30.6" outlineLevel="1">
      <c r="A671" s="148" t="s">
        <v>25</v>
      </c>
      <c r="B671" s="208" t="s">
        <v>26</v>
      </c>
      <c r="C671" s="351" t="s">
        <v>542</v>
      </c>
      <c r="D671" s="248"/>
      <c r="E671" s="188">
        <v>12685801001</v>
      </c>
      <c r="F671" s="258" t="s">
        <v>564</v>
      </c>
      <c r="G671" s="211"/>
      <c r="H671" s="248" t="s">
        <v>65</v>
      </c>
      <c r="I671" s="248">
        <v>5</v>
      </c>
      <c r="J671" s="212">
        <v>3.48</v>
      </c>
      <c r="K671" s="212">
        <f t="shared" si="718"/>
        <v>4.25</v>
      </c>
      <c r="L671" s="212">
        <f t="shared" si="724"/>
        <v>0</v>
      </c>
      <c r="M671" s="212">
        <f t="shared" si="720"/>
        <v>3.48</v>
      </c>
      <c r="N671" s="212">
        <f t="shared" si="725"/>
        <v>0</v>
      </c>
      <c r="O671" s="297">
        <f t="shared" si="722"/>
        <v>4.25</v>
      </c>
      <c r="P671" s="213">
        <f t="shared" si="726"/>
        <v>0</v>
      </c>
      <c r="Q671" s="132"/>
      <c r="R671" s="214">
        <f t="shared" si="727"/>
        <v>340</v>
      </c>
      <c r="AK671" s="141">
        <f t="shared" si="728"/>
        <v>340</v>
      </c>
    </row>
    <row r="672" spans="1:38" s="74" customFormat="1" outlineLevel="1">
      <c r="A672" s="156"/>
      <c r="B672" s="352" t="s">
        <v>30</v>
      </c>
      <c r="C672" s="327" t="s">
        <v>542</v>
      </c>
      <c r="D672" s="311">
        <v>12588171002</v>
      </c>
      <c r="E672" s="311">
        <v>12588173002</v>
      </c>
      <c r="F672" s="329" t="s">
        <v>565</v>
      </c>
      <c r="G672" s="228"/>
      <c r="H672" s="244" t="s">
        <v>65</v>
      </c>
      <c r="I672" s="244">
        <v>10</v>
      </c>
      <c r="J672" s="279">
        <v>3.4688909174311928</v>
      </c>
      <c r="K672" s="279">
        <f t="shared" ref="K672:K676" si="729">ROUND((J672*$C$3),2)</f>
        <v>4.2300000000000004</v>
      </c>
      <c r="L672" s="279">
        <f t="shared" si="724"/>
        <v>0</v>
      </c>
      <c r="M672" s="279">
        <f t="shared" ref="M672:M676" si="730">J672*(1-$E$5-$E$7)*(1-$E$9)*(1+$E$11)</f>
        <v>3.4688909174311928</v>
      </c>
      <c r="N672" s="279">
        <f t="shared" si="725"/>
        <v>0</v>
      </c>
      <c r="O672" s="332">
        <f t="shared" ref="O672:O676" si="731">ROUND((M672*$C$3),2)</f>
        <v>4.2300000000000004</v>
      </c>
      <c r="P672" s="333">
        <f t="shared" si="726"/>
        <v>0</v>
      </c>
      <c r="Q672" s="132"/>
      <c r="R672" s="222">
        <f t="shared" si="727"/>
        <v>338</v>
      </c>
      <c r="AK672" s="141">
        <f t="shared" si="728"/>
        <v>338.40000000000009</v>
      </c>
      <c r="AL672"/>
    </row>
    <row r="673" spans="1:38" s="74" customFormat="1" outlineLevel="1">
      <c r="A673" s="156"/>
      <c r="B673" s="352" t="s">
        <v>30</v>
      </c>
      <c r="C673" s="327" t="s">
        <v>542</v>
      </c>
      <c r="D673" s="311">
        <v>12685701001</v>
      </c>
      <c r="E673" s="311">
        <v>12685703001</v>
      </c>
      <c r="F673" s="329" t="s">
        <v>566</v>
      </c>
      <c r="G673" s="228"/>
      <c r="H673" s="244" t="s">
        <v>65</v>
      </c>
      <c r="I673" s="244">
        <v>10</v>
      </c>
      <c r="J673" s="279">
        <v>4.7142077540983607</v>
      </c>
      <c r="K673" s="279">
        <f t="shared" si="729"/>
        <v>5.75</v>
      </c>
      <c r="L673" s="279">
        <f t="shared" si="724"/>
        <v>0</v>
      </c>
      <c r="M673" s="279">
        <f t="shared" si="730"/>
        <v>4.7142077540983607</v>
      </c>
      <c r="N673" s="279">
        <f t="shared" si="725"/>
        <v>0</v>
      </c>
      <c r="O673" s="332">
        <f t="shared" si="731"/>
        <v>5.75</v>
      </c>
      <c r="P673" s="333">
        <f t="shared" si="726"/>
        <v>0</v>
      </c>
      <c r="Q673" s="132"/>
      <c r="R673" s="222">
        <f t="shared" si="727"/>
        <v>460</v>
      </c>
      <c r="AK673" s="141">
        <f t="shared" si="728"/>
        <v>460</v>
      </c>
      <c r="AL673"/>
    </row>
    <row r="674" spans="1:38" s="74" customFormat="1" outlineLevel="1">
      <c r="A674" s="156"/>
      <c r="B674" s="352" t="s">
        <v>30</v>
      </c>
      <c r="C674" s="327" t="s">
        <v>542</v>
      </c>
      <c r="D674" s="311">
        <v>12588271002</v>
      </c>
      <c r="E674" s="311">
        <v>12588273002</v>
      </c>
      <c r="F674" s="329" t="s">
        <v>567</v>
      </c>
      <c r="G674" s="228"/>
      <c r="H674" s="244" t="s">
        <v>65</v>
      </c>
      <c r="I674" s="244">
        <v>10</v>
      </c>
      <c r="J674" s="279">
        <v>5.2483500000000003</v>
      </c>
      <c r="K674" s="279">
        <f t="shared" si="729"/>
        <v>6.4</v>
      </c>
      <c r="L674" s="279">
        <f t="shared" si="724"/>
        <v>0</v>
      </c>
      <c r="M674" s="279">
        <f t="shared" si="730"/>
        <v>5.2483500000000003</v>
      </c>
      <c r="N674" s="279">
        <f t="shared" si="725"/>
        <v>0</v>
      </c>
      <c r="O674" s="332">
        <f t="shared" si="731"/>
        <v>6.4</v>
      </c>
      <c r="P674" s="333">
        <f t="shared" si="726"/>
        <v>0</v>
      </c>
      <c r="Q674" s="132"/>
      <c r="R674" s="222">
        <f t="shared" si="727"/>
        <v>512</v>
      </c>
      <c r="AK674" s="141">
        <f t="shared" si="728"/>
        <v>512</v>
      </c>
      <c r="AL674"/>
    </row>
    <row r="675" spans="1:38" s="74" customFormat="1" outlineLevel="1">
      <c r="A675" s="156"/>
      <c r="B675" s="352" t="s">
        <v>30</v>
      </c>
      <c r="C675" s="327" t="s">
        <v>542</v>
      </c>
      <c r="D675" s="311">
        <v>12685801001</v>
      </c>
      <c r="E675" s="311">
        <v>12685803001</v>
      </c>
      <c r="F675" s="329" t="s">
        <v>568</v>
      </c>
      <c r="G675" s="228"/>
      <c r="H675" s="244" t="s">
        <v>65</v>
      </c>
      <c r="I675" s="244">
        <v>5</v>
      </c>
      <c r="J675" s="279">
        <v>5.4127904191616771</v>
      </c>
      <c r="K675" s="279">
        <f t="shared" si="729"/>
        <v>6.6</v>
      </c>
      <c r="L675" s="279">
        <f t="shared" si="724"/>
        <v>0</v>
      </c>
      <c r="M675" s="279">
        <f t="shared" si="730"/>
        <v>5.4127904191616771</v>
      </c>
      <c r="N675" s="279">
        <f t="shared" si="725"/>
        <v>0</v>
      </c>
      <c r="O675" s="332">
        <f t="shared" si="731"/>
        <v>6.6</v>
      </c>
      <c r="P675" s="333">
        <f t="shared" si="726"/>
        <v>0</v>
      </c>
      <c r="Q675" s="132"/>
      <c r="R675" s="222">
        <f t="shared" si="727"/>
        <v>528</v>
      </c>
      <c r="AK675" s="141">
        <f t="shared" si="728"/>
        <v>528</v>
      </c>
      <c r="AL675"/>
    </row>
    <row r="676" spans="1:38" s="74" customFormat="1" outlineLevel="1">
      <c r="A676" s="156"/>
      <c r="B676" s="352" t="s">
        <v>30</v>
      </c>
      <c r="C676" s="327" t="s">
        <v>542</v>
      </c>
      <c r="D676" s="311">
        <v>12534391002</v>
      </c>
      <c r="E676" s="311">
        <v>12534393002</v>
      </c>
      <c r="F676" s="329" t="s">
        <v>569</v>
      </c>
      <c r="G676" s="228"/>
      <c r="H676" s="244" t="s">
        <v>65</v>
      </c>
      <c r="I676" s="244">
        <v>5</v>
      </c>
      <c r="J676" s="279">
        <v>6.8183686928104592</v>
      </c>
      <c r="K676" s="279">
        <f t="shared" si="729"/>
        <v>8.32</v>
      </c>
      <c r="L676" s="279">
        <f t="shared" si="724"/>
        <v>0</v>
      </c>
      <c r="M676" s="279">
        <f t="shared" si="730"/>
        <v>6.8183686928104592</v>
      </c>
      <c r="N676" s="279">
        <f t="shared" si="725"/>
        <v>0</v>
      </c>
      <c r="O676" s="332">
        <f t="shared" si="731"/>
        <v>8.32</v>
      </c>
      <c r="P676" s="333">
        <f t="shared" si="726"/>
        <v>0</v>
      </c>
      <c r="Q676" s="132"/>
      <c r="R676" s="222">
        <f t="shared" si="727"/>
        <v>666</v>
      </c>
      <c r="AK676" s="141">
        <f t="shared" si="728"/>
        <v>665.6</v>
      </c>
      <c r="AL676"/>
    </row>
    <row r="677" spans="1:38" outlineLevel="1">
      <c r="A677" s="36"/>
      <c r="B677" s="296"/>
      <c r="C677" s="355"/>
      <c r="D677" s="248"/>
      <c r="E677" s="188"/>
      <c r="F677" s="258"/>
      <c r="G677" s="219"/>
      <c r="H677" s="248"/>
      <c r="I677" s="248"/>
      <c r="J677" s="212"/>
      <c r="K677" s="212"/>
      <c r="L677" s="212"/>
      <c r="M677" s="212"/>
      <c r="N677" s="212"/>
      <c r="O677" s="297"/>
      <c r="P677" s="213"/>
      <c r="Q677" s="132"/>
      <c r="R677" s="222"/>
      <c r="AK677" s="141"/>
    </row>
    <row r="678" spans="1:38" s="73" customFormat="1" ht="30.6" outlineLevel="1">
      <c r="A678" s="148" t="s">
        <v>25</v>
      </c>
      <c r="B678" s="208" t="s">
        <v>26</v>
      </c>
      <c r="C678" s="351" t="s">
        <v>542</v>
      </c>
      <c r="D678" s="248"/>
      <c r="E678" s="188">
        <v>12350901001</v>
      </c>
      <c r="F678" s="258" t="s">
        <v>570</v>
      </c>
      <c r="G678" s="211"/>
      <c r="H678" s="248" t="s">
        <v>65</v>
      </c>
      <c r="I678" s="248">
        <v>5</v>
      </c>
      <c r="J678" s="212">
        <v>5.7</v>
      </c>
      <c r="K678" s="212">
        <f t="shared" si="718"/>
        <v>6.95</v>
      </c>
      <c r="L678" s="212">
        <f t="shared" ref="L678:L683" si="732">K678*G678</f>
        <v>0</v>
      </c>
      <c r="M678" s="212">
        <f t="shared" si="720"/>
        <v>5.7</v>
      </c>
      <c r="N678" s="212">
        <f t="shared" ref="N678:N683" si="733">M678*G678</f>
        <v>0</v>
      </c>
      <c r="O678" s="297">
        <f t="shared" si="722"/>
        <v>6.95</v>
      </c>
      <c r="P678" s="213">
        <f t="shared" ref="P678:P683" si="734">O678*G678</f>
        <v>0</v>
      </c>
      <c r="Q678" s="132"/>
      <c r="R678" s="214">
        <f t="shared" si="727"/>
        <v>556</v>
      </c>
      <c r="AK678" s="141">
        <f t="shared" si="728"/>
        <v>556</v>
      </c>
    </row>
    <row r="679" spans="1:38" ht="30.6" outlineLevel="1">
      <c r="A679" s="148" t="s">
        <v>25</v>
      </c>
      <c r="B679" s="208" t="s">
        <v>26</v>
      </c>
      <c r="C679" s="351" t="s">
        <v>542</v>
      </c>
      <c r="D679" s="248"/>
      <c r="E679" s="188">
        <v>12589071002</v>
      </c>
      <c r="F679" s="258" t="s">
        <v>571</v>
      </c>
      <c r="G679" s="211"/>
      <c r="H679" s="248" t="s">
        <v>65</v>
      </c>
      <c r="I679" s="248">
        <v>5</v>
      </c>
      <c r="J679" s="212">
        <v>6.2299999999999995</v>
      </c>
      <c r="K679" s="212">
        <f t="shared" si="718"/>
        <v>7.6</v>
      </c>
      <c r="L679" s="212">
        <f t="shared" si="732"/>
        <v>0</v>
      </c>
      <c r="M679" s="212">
        <f t="shared" si="720"/>
        <v>6.2299999999999995</v>
      </c>
      <c r="N679" s="212">
        <f t="shared" si="733"/>
        <v>0</v>
      </c>
      <c r="O679" s="297">
        <f t="shared" si="722"/>
        <v>7.6</v>
      </c>
      <c r="P679" s="213">
        <f t="shared" si="734"/>
        <v>0</v>
      </c>
      <c r="Q679" s="132"/>
      <c r="R679" s="214">
        <f t="shared" si="727"/>
        <v>608</v>
      </c>
      <c r="AK679" s="141">
        <f t="shared" si="728"/>
        <v>608</v>
      </c>
    </row>
    <row r="680" spans="1:38" ht="30.6" outlineLevel="1">
      <c r="A680" s="148" t="s">
        <v>25</v>
      </c>
      <c r="B680" s="208" t="s">
        <v>26</v>
      </c>
      <c r="C680" s="351" t="s">
        <v>542</v>
      </c>
      <c r="D680" s="248"/>
      <c r="E680" s="188">
        <v>12594491002</v>
      </c>
      <c r="F680" s="258" t="s">
        <v>572</v>
      </c>
      <c r="G680" s="211"/>
      <c r="H680" s="248" t="s">
        <v>65</v>
      </c>
      <c r="I680" s="248">
        <v>5</v>
      </c>
      <c r="J680" s="212">
        <v>9.3699999999999992</v>
      </c>
      <c r="K680" s="212">
        <f t="shared" si="718"/>
        <v>11.43</v>
      </c>
      <c r="L680" s="212">
        <f t="shared" si="732"/>
        <v>0</v>
      </c>
      <c r="M680" s="212">
        <f t="shared" si="720"/>
        <v>9.3699999999999992</v>
      </c>
      <c r="N680" s="212">
        <f t="shared" si="733"/>
        <v>0</v>
      </c>
      <c r="O680" s="297">
        <f t="shared" si="722"/>
        <v>11.43</v>
      </c>
      <c r="P680" s="213">
        <f t="shared" si="734"/>
        <v>0</v>
      </c>
      <c r="Q680" s="132"/>
      <c r="R680" s="214">
        <f t="shared" si="727"/>
        <v>914</v>
      </c>
      <c r="AK680" s="141">
        <f t="shared" si="728"/>
        <v>914.40000000000009</v>
      </c>
    </row>
    <row r="681" spans="1:38" s="74" customFormat="1" outlineLevel="1">
      <c r="A681" s="156"/>
      <c r="B681" s="352" t="s">
        <v>30</v>
      </c>
      <c r="C681" s="327" t="s">
        <v>542</v>
      </c>
      <c r="D681" s="311">
        <v>12588971002</v>
      </c>
      <c r="E681" s="311">
        <v>12588973002</v>
      </c>
      <c r="F681" s="362" t="s">
        <v>573</v>
      </c>
      <c r="G681" s="228"/>
      <c r="H681" s="244" t="s">
        <v>65</v>
      </c>
      <c r="I681" s="244">
        <v>5</v>
      </c>
      <c r="J681" s="279">
        <v>6.8305538879736423</v>
      </c>
      <c r="K681" s="279">
        <f t="shared" ref="K681:K683" si="735">ROUND((J681*$C$3),2)</f>
        <v>8.33</v>
      </c>
      <c r="L681" s="279">
        <f t="shared" si="732"/>
        <v>0</v>
      </c>
      <c r="M681" s="279">
        <f t="shared" ref="M681:M683" si="736">J681*(1-$E$5-$E$7)*(1-$E$9)*(1+$E$11)</f>
        <v>6.8305538879736423</v>
      </c>
      <c r="N681" s="279">
        <f t="shared" si="733"/>
        <v>0</v>
      </c>
      <c r="O681" s="332">
        <f t="shared" ref="O681:O683" si="737">ROUND((M681*$C$3),2)</f>
        <v>8.33</v>
      </c>
      <c r="P681" s="333">
        <f t="shared" si="734"/>
        <v>0</v>
      </c>
      <c r="Q681" s="132"/>
      <c r="R681" s="222">
        <f t="shared" ref="R681:R683" si="738">ROUND(AK681,0)</f>
        <v>666</v>
      </c>
      <c r="AK681" s="141">
        <f t="shared" si="728"/>
        <v>666.40000000000009</v>
      </c>
      <c r="AL681"/>
    </row>
    <row r="682" spans="1:38" s="74" customFormat="1" outlineLevel="1">
      <c r="A682" s="156"/>
      <c r="B682" s="352" t="s">
        <v>30</v>
      </c>
      <c r="C682" s="327" t="s">
        <v>542</v>
      </c>
      <c r="D682" s="311">
        <v>12589071002</v>
      </c>
      <c r="E682" s="311">
        <v>12589073002</v>
      </c>
      <c r="F682" s="362" t="s">
        <v>574</v>
      </c>
      <c r="G682" s="228"/>
      <c r="H682" s="244" t="s">
        <v>65</v>
      </c>
      <c r="I682" s="244">
        <v>5</v>
      </c>
      <c r="J682" s="279">
        <v>6.8425357070193291</v>
      </c>
      <c r="K682" s="279">
        <f t="shared" si="735"/>
        <v>8.35</v>
      </c>
      <c r="L682" s="279">
        <f t="shared" si="732"/>
        <v>0</v>
      </c>
      <c r="M682" s="279">
        <f t="shared" si="736"/>
        <v>6.8425357070193291</v>
      </c>
      <c r="N682" s="279">
        <f t="shared" si="733"/>
        <v>0</v>
      </c>
      <c r="O682" s="332">
        <f t="shared" si="737"/>
        <v>8.35</v>
      </c>
      <c r="P682" s="333">
        <f t="shared" si="734"/>
        <v>0</v>
      </c>
      <c r="Q682" s="132"/>
      <c r="R682" s="222">
        <f t="shared" si="738"/>
        <v>668</v>
      </c>
      <c r="AK682" s="141">
        <f t="shared" si="728"/>
        <v>668</v>
      </c>
      <c r="AL682"/>
    </row>
    <row r="683" spans="1:38" s="74" customFormat="1" outlineLevel="1">
      <c r="A683" s="156"/>
      <c r="B683" s="352" t="s">
        <v>30</v>
      </c>
      <c r="C683" s="327" t="s">
        <v>542</v>
      </c>
      <c r="D683" s="311">
        <v>12594491002</v>
      </c>
      <c r="E683" s="311">
        <v>12594493002</v>
      </c>
      <c r="F683" s="362" t="s">
        <v>575</v>
      </c>
      <c r="G683" s="228"/>
      <c r="H683" s="244" t="s">
        <v>65</v>
      </c>
      <c r="I683" s="244">
        <v>5</v>
      </c>
      <c r="J683" s="279">
        <v>11.072929227665705</v>
      </c>
      <c r="K683" s="279">
        <f t="shared" si="735"/>
        <v>13.51</v>
      </c>
      <c r="L683" s="279">
        <f t="shared" si="732"/>
        <v>0</v>
      </c>
      <c r="M683" s="279">
        <f t="shared" si="736"/>
        <v>11.072929227665705</v>
      </c>
      <c r="N683" s="279">
        <f t="shared" si="733"/>
        <v>0</v>
      </c>
      <c r="O683" s="332">
        <f t="shared" si="737"/>
        <v>13.51</v>
      </c>
      <c r="P683" s="333">
        <f t="shared" si="734"/>
        <v>0</v>
      </c>
      <c r="Q683" s="132"/>
      <c r="R683" s="222">
        <f t="shared" si="738"/>
        <v>1081</v>
      </c>
      <c r="AK683" s="141">
        <f t="shared" si="728"/>
        <v>1080.8</v>
      </c>
      <c r="AL683"/>
    </row>
    <row r="684" spans="1:38" outlineLevel="1">
      <c r="A684" s="36"/>
      <c r="B684" s="296"/>
      <c r="C684" s="355"/>
      <c r="D684" s="248"/>
      <c r="E684" s="188"/>
      <c r="F684" s="258"/>
      <c r="G684" s="219"/>
      <c r="H684" s="248"/>
      <c r="I684" s="248"/>
      <c r="J684" s="212"/>
      <c r="K684" s="212"/>
      <c r="L684" s="212"/>
      <c r="M684" s="212"/>
      <c r="N684" s="212"/>
      <c r="O684" s="297"/>
      <c r="P684" s="213"/>
      <c r="Q684" s="132"/>
      <c r="R684" s="222"/>
      <c r="AK684" s="141"/>
    </row>
    <row r="685" spans="1:38" outlineLevel="1">
      <c r="A685" s="36"/>
      <c r="B685" s="343"/>
      <c r="C685" s="344" t="s">
        <v>542</v>
      </c>
      <c r="D685" s="350"/>
      <c r="E685" s="363"/>
      <c r="F685" s="364" t="s">
        <v>576</v>
      </c>
      <c r="G685" s="348"/>
      <c r="H685" s="350"/>
      <c r="I685" s="350"/>
      <c r="J685" s="325"/>
      <c r="K685" s="325"/>
      <c r="L685" s="325"/>
      <c r="M685" s="325"/>
      <c r="N685" s="325"/>
      <c r="O685" s="349"/>
      <c r="P685" s="237"/>
      <c r="Q685" s="132"/>
      <c r="R685" s="207"/>
      <c r="AK685" s="141"/>
    </row>
    <row r="686" spans="1:38" outlineLevel="1">
      <c r="A686" s="36"/>
      <c r="B686" s="343"/>
      <c r="C686" s="344" t="s">
        <v>542</v>
      </c>
      <c r="D686" s="350"/>
      <c r="E686" s="363"/>
      <c r="F686" s="364" t="s">
        <v>577</v>
      </c>
      <c r="G686" s="348"/>
      <c r="H686" s="350"/>
      <c r="I686" s="350"/>
      <c r="J686" s="325"/>
      <c r="K686" s="325"/>
      <c r="L686" s="325"/>
      <c r="M686" s="325"/>
      <c r="N686" s="325"/>
      <c r="O686" s="349"/>
      <c r="P686" s="237"/>
      <c r="Q686" s="132"/>
      <c r="R686" s="207"/>
      <c r="AK686" s="141"/>
    </row>
    <row r="687" spans="1:38" ht="30.6" outlineLevel="1">
      <c r="A687" s="148" t="s">
        <v>25</v>
      </c>
      <c r="B687" s="208" t="s">
        <v>26</v>
      </c>
      <c r="C687" s="351" t="s">
        <v>542</v>
      </c>
      <c r="D687" s="248"/>
      <c r="E687" s="188">
        <v>12005431001</v>
      </c>
      <c r="F687" s="258" t="s">
        <v>578</v>
      </c>
      <c r="G687" s="211"/>
      <c r="H687" s="248" t="s">
        <v>65</v>
      </c>
      <c r="I687" s="248">
        <v>10</v>
      </c>
      <c r="J687" s="212">
        <v>4.92</v>
      </c>
      <c r="K687" s="212">
        <f t="shared" si="718"/>
        <v>6</v>
      </c>
      <c r="L687" s="212">
        <f t="shared" ref="L687:L689" si="739">K687*G687</f>
        <v>0</v>
      </c>
      <c r="M687" s="212">
        <f t="shared" si="720"/>
        <v>4.92</v>
      </c>
      <c r="N687" s="212">
        <f t="shared" ref="N687:N689" si="740">M687*G687</f>
        <v>0</v>
      </c>
      <c r="O687" s="297">
        <f t="shared" si="722"/>
        <v>6</v>
      </c>
      <c r="P687" s="213">
        <f t="shared" ref="P687:P689" si="741">O687*G687</f>
        <v>0</v>
      </c>
      <c r="Q687" s="132"/>
      <c r="R687" s="214">
        <f t="shared" si="727"/>
        <v>480</v>
      </c>
      <c r="AK687" s="141">
        <f t="shared" si="728"/>
        <v>480</v>
      </c>
    </row>
    <row r="688" spans="1:38" s="74" customFormat="1" ht="30.6" outlineLevel="1">
      <c r="A688" s="148" t="s">
        <v>25</v>
      </c>
      <c r="B688" s="208" t="s">
        <v>26</v>
      </c>
      <c r="C688" s="351" t="s">
        <v>542</v>
      </c>
      <c r="D688" s="248"/>
      <c r="E688" s="188">
        <v>12005441001</v>
      </c>
      <c r="F688" s="258" t="s">
        <v>579</v>
      </c>
      <c r="G688" s="211"/>
      <c r="H688" s="248" t="s">
        <v>65</v>
      </c>
      <c r="I688" s="248">
        <v>5</v>
      </c>
      <c r="J688" s="212">
        <v>4.8499999999999996</v>
      </c>
      <c r="K688" s="212">
        <f t="shared" si="718"/>
        <v>5.92</v>
      </c>
      <c r="L688" s="212">
        <f t="shared" si="739"/>
        <v>0</v>
      </c>
      <c r="M688" s="212">
        <f t="shared" si="720"/>
        <v>4.8499999999999996</v>
      </c>
      <c r="N688" s="212">
        <f t="shared" si="740"/>
        <v>0</v>
      </c>
      <c r="O688" s="297">
        <f t="shared" si="722"/>
        <v>5.92</v>
      </c>
      <c r="P688" s="213">
        <f t="shared" si="741"/>
        <v>0</v>
      </c>
      <c r="Q688" s="132"/>
      <c r="R688" s="214">
        <f t="shared" si="727"/>
        <v>474</v>
      </c>
      <c r="AK688" s="141">
        <f t="shared" si="728"/>
        <v>473.6</v>
      </c>
      <c r="AL688"/>
    </row>
    <row r="689" spans="1:38" s="73" customFormat="1" ht="30.6" outlineLevel="1">
      <c r="A689" s="148" t="s">
        <v>25</v>
      </c>
      <c r="B689" s="208" t="s">
        <v>26</v>
      </c>
      <c r="C689" s="351" t="s">
        <v>542</v>
      </c>
      <c r="D689" s="248"/>
      <c r="E689" s="188">
        <v>12535691002</v>
      </c>
      <c r="F689" s="258" t="s">
        <v>580</v>
      </c>
      <c r="G689" s="211"/>
      <c r="H689" s="248" t="s">
        <v>65</v>
      </c>
      <c r="I689" s="248">
        <v>5</v>
      </c>
      <c r="J689" s="212">
        <v>19.84</v>
      </c>
      <c r="K689" s="212">
        <f t="shared" si="718"/>
        <v>24.2</v>
      </c>
      <c r="L689" s="212">
        <f t="shared" si="739"/>
        <v>0</v>
      </c>
      <c r="M689" s="212">
        <f t="shared" si="720"/>
        <v>19.84</v>
      </c>
      <c r="N689" s="212">
        <f t="shared" si="740"/>
        <v>0</v>
      </c>
      <c r="O689" s="297">
        <f t="shared" si="722"/>
        <v>24.2</v>
      </c>
      <c r="P689" s="213">
        <f t="shared" si="741"/>
        <v>0</v>
      </c>
      <c r="Q689" s="132"/>
      <c r="R689" s="214">
        <f t="shared" si="727"/>
        <v>1936</v>
      </c>
      <c r="AK689" s="141">
        <f t="shared" si="728"/>
        <v>1936</v>
      </c>
    </row>
    <row r="690" spans="1:38">
      <c r="A690" s="36"/>
      <c r="B690" s="343"/>
      <c r="C690" s="344" t="s">
        <v>542</v>
      </c>
      <c r="D690" s="345"/>
      <c r="E690" s="363"/>
      <c r="F690" s="365" t="s">
        <v>581</v>
      </c>
      <c r="G690" s="348"/>
      <c r="H690" s="366"/>
      <c r="I690" s="366"/>
      <c r="J690" s="325"/>
      <c r="K690" s="325"/>
      <c r="L690" s="325"/>
      <c r="M690" s="325"/>
      <c r="N690" s="325"/>
      <c r="O690" s="349"/>
      <c r="P690" s="237"/>
      <c r="Q690" s="132"/>
      <c r="R690" s="207"/>
      <c r="AK690" s="141"/>
    </row>
    <row r="691" spans="1:38" outlineLevel="1">
      <c r="A691" s="36"/>
      <c r="B691" s="343"/>
      <c r="C691" s="344" t="s">
        <v>542</v>
      </c>
      <c r="D691" s="350"/>
      <c r="E691" s="363"/>
      <c r="F691" s="364" t="s">
        <v>582</v>
      </c>
      <c r="G691" s="348"/>
      <c r="H691" s="366"/>
      <c r="I691" s="366"/>
      <c r="J691" s="325"/>
      <c r="K691" s="325"/>
      <c r="L691" s="325"/>
      <c r="M691" s="325"/>
      <c r="N691" s="325"/>
      <c r="O691" s="349"/>
      <c r="P691" s="237"/>
      <c r="Q691" s="132"/>
      <c r="R691" s="207"/>
      <c r="AK691" s="141"/>
    </row>
    <row r="692" spans="1:38" outlineLevel="1">
      <c r="A692" s="36"/>
      <c r="B692" s="360" t="s">
        <v>397</v>
      </c>
      <c r="C692" s="327" t="s">
        <v>542</v>
      </c>
      <c r="D692" s="244"/>
      <c r="E692" s="311">
        <v>12278291001</v>
      </c>
      <c r="F692" s="329" t="s">
        <v>583</v>
      </c>
      <c r="G692" s="361"/>
      <c r="H692" s="244" t="s">
        <v>584</v>
      </c>
      <c r="I692" s="244">
        <v>11.2</v>
      </c>
      <c r="J692" s="279">
        <v>26.31</v>
      </c>
      <c r="K692" s="279">
        <f t="shared" si="718"/>
        <v>32.1</v>
      </c>
      <c r="L692" s="279">
        <f>K692*G692</f>
        <v>0</v>
      </c>
      <c r="M692" s="279">
        <f t="shared" si="720"/>
        <v>26.31</v>
      </c>
      <c r="N692" s="279">
        <f>M692*G692</f>
        <v>0</v>
      </c>
      <c r="O692" s="332">
        <f t="shared" si="722"/>
        <v>32.1</v>
      </c>
      <c r="P692" s="333">
        <f>O692*G692</f>
        <v>0</v>
      </c>
      <c r="Q692" s="132"/>
      <c r="R692" s="222">
        <f t="shared" si="727"/>
        <v>2568</v>
      </c>
      <c r="AK692" s="141">
        <f t="shared" si="728"/>
        <v>2568</v>
      </c>
    </row>
    <row r="693" spans="1:38" outlineLevel="1">
      <c r="A693" s="36"/>
      <c r="B693" s="360" t="s">
        <v>30</v>
      </c>
      <c r="C693" s="327" t="s">
        <v>542</v>
      </c>
      <c r="D693" s="311">
        <v>12278291001</v>
      </c>
      <c r="E693" s="311">
        <v>12278293001</v>
      </c>
      <c r="F693" s="329" t="s">
        <v>585</v>
      </c>
      <c r="G693" s="361"/>
      <c r="H693" s="244" t="s">
        <v>584</v>
      </c>
      <c r="I693" s="244">
        <v>8.8000000000000007</v>
      </c>
      <c r="J693" s="279">
        <v>23.1</v>
      </c>
      <c r="K693" s="279">
        <f t="shared" si="718"/>
        <v>28.18</v>
      </c>
      <c r="L693" s="279">
        <f>K693*G693</f>
        <v>0</v>
      </c>
      <c r="M693" s="279">
        <f t="shared" si="720"/>
        <v>23.1</v>
      </c>
      <c r="N693" s="279">
        <f>M693*G693</f>
        <v>0</v>
      </c>
      <c r="O693" s="332">
        <f t="shared" si="722"/>
        <v>28.18</v>
      </c>
      <c r="P693" s="333">
        <f>O693*G693</f>
        <v>0</v>
      </c>
      <c r="Q693" s="132"/>
      <c r="R693" s="222">
        <f t="shared" si="727"/>
        <v>2254</v>
      </c>
      <c r="AK693" s="141">
        <f t="shared" si="728"/>
        <v>2254.4</v>
      </c>
    </row>
    <row r="694" spans="1:38" outlineLevel="1">
      <c r="A694" s="36"/>
      <c r="B694" s="360" t="s">
        <v>397</v>
      </c>
      <c r="C694" s="327" t="s">
        <v>542</v>
      </c>
      <c r="D694" s="244"/>
      <c r="E694" s="311">
        <v>12278391001</v>
      </c>
      <c r="F694" s="329" t="s">
        <v>586</v>
      </c>
      <c r="G694" s="361"/>
      <c r="H694" s="244" t="s">
        <v>584</v>
      </c>
      <c r="I694" s="244">
        <v>17.920000000000002</v>
      </c>
      <c r="J694" s="279">
        <v>15.05</v>
      </c>
      <c r="K694" s="279">
        <f t="shared" si="718"/>
        <v>18.36</v>
      </c>
      <c r="L694" s="279">
        <f>K694*G694</f>
        <v>0</v>
      </c>
      <c r="M694" s="279">
        <f t="shared" si="720"/>
        <v>15.05</v>
      </c>
      <c r="N694" s="279">
        <f>M694*G694</f>
        <v>0</v>
      </c>
      <c r="O694" s="332">
        <f t="shared" si="722"/>
        <v>18.36</v>
      </c>
      <c r="P694" s="333">
        <f>O694*G694</f>
        <v>0</v>
      </c>
      <c r="Q694" s="132"/>
      <c r="R694" s="222">
        <f t="shared" si="727"/>
        <v>1469</v>
      </c>
      <c r="AK694" s="141">
        <f t="shared" si="728"/>
        <v>1468.8000000000002</v>
      </c>
    </row>
    <row r="695" spans="1:38" outlineLevel="1">
      <c r="A695" s="36"/>
      <c r="B695" s="293"/>
      <c r="C695" s="367"/>
      <c r="D695" s="294"/>
      <c r="E695" s="217"/>
      <c r="F695" s="295"/>
      <c r="G695" s="219"/>
      <c r="H695" s="294"/>
      <c r="I695" s="294"/>
      <c r="J695" s="220"/>
      <c r="K695" s="220"/>
      <c r="L695" s="220"/>
      <c r="M695" s="220"/>
      <c r="N695" s="220"/>
      <c r="O695" s="342"/>
      <c r="P695" s="221"/>
      <c r="Q695" s="132"/>
      <c r="R695" s="222"/>
      <c r="AK695" s="141"/>
    </row>
    <row r="696" spans="1:38" ht="30.6" outlineLevel="1">
      <c r="A696" s="148" t="s">
        <v>25</v>
      </c>
      <c r="B696" s="208" t="s">
        <v>26</v>
      </c>
      <c r="C696" s="351" t="s">
        <v>542</v>
      </c>
      <c r="D696" s="248"/>
      <c r="E696" s="188">
        <v>12278491001</v>
      </c>
      <c r="F696" s="258" t="s">
        <v>587</v>
      </c>
      <c r="G696" s="211"/>
      <c r="H696" s="248" t="s">
        <v>65</v>
      </c>
      <c r="I696" s="248">
        <v>20</v>
      </c>
      <c r="J696" s="212">
        <v>2.15</v>
      </c>
      <c r="K696" s="212">
        <f t="shared" si="718"/>
        <v>2.62</v>
      </c>
      <c r="L696" s="212">
        <f>K696*G696</f>
        <v>0</v>
      </c>
      <c r="M696" s="212">
        <f t="shared" si="720"/>
        <v>2.15</v>
      </c>
      <c r="N696" s="212">
        <f>M696*G696</f>
        <v>0</v>
      </c>
      <c r="O696" s="297">
        <f t="shared" si="722"/>
        <v>2.62</v>
      </c>
      <c r="P696" s="213">
        <f>O696*G696</f>
        <v>0</v>
      </c>
      <c r="Q696" s="132"/>
      <c r="R696" s="214">
        <f t="shared" si="727"/>
        <v>210</v>
      </c>
      <c r="AK696" s="141">
        <f t="shared" si="728"/>
        <v>209.60000000000002</v>
      </c>
    </row>
    <row r="697" spans="1:38" outlineLevel="1">
      <c r="A697" s="36"/>
      <c r="B697" s="368"/>
      <c r="C697" s="355"/>
      <c r="D697" s="248"/>
      <c r="E697" s="188"/>
      <c r="F697" s="258"/>
      <c r="G697" s="219"/>
      <c r="H697" s="248"/>
      <c r="I697" s="248"/>
      <c r="J697" s="212"/>
      <c r="K697" s="212"/>
      <c r="L697" s="212"/>
      <c r="M697" s="212"/>
      <c r="N697" s="212"/>
      <c r="O697" s="297"/>
      <c r="P697" s="213"/>
      <c r="Q697" s="132"/>
      <c r="R697" s="222"/>
      <c r="AK697" s="141"/>
    </row>
    <row r="698" spans="1:38" ht="30.6" outlineLevel="1">
      <c r="A698" s="148" t="s">
        <v>25</v>
      </c>
      <c r="B698" s="208" t="s">
        <v>26</v>
      </c>
      <c r="C698" s="351" t="s">
        <v>542</v>
      </c>
      <c r="D698" s="248"/>
      <c r="E698" s="188">
        <v>12278691001</v>
      </c>
      <c r="F698" s="258" t="s">
        <v>588</v>
      </c>
      <c r="G698" s="211"/>
      <c r="H698" s="248" t="s">
        <v>65</v>
      </c>
      <c r="I698" s="248">
        <v>20</v>
      </c>
      <c r="J698" s="212">
        <v>0.18000000000000002</v>
      </c>
      <c r="K698" s="212">
        <f t="shared" si="718"/>
        <v>0.22</v>
      </c>
      <c r="L698" s="212">
        <f>K698*G698</f>
        <v>0</v>
      </c>
      <c r="M698" s="212">
        <f t="shared" si="720"/>
        <v>0.18000000000000002</v>
      </c>
      <c r="N698" s="212">
        <f>M698*G698</f>
        <v>0</v>
      </c>
      <c r="O698" s="297">
        <f t="shared" si="722"/>
        <v>0.22</v>
      </c>
      <c r="P698" s="213">
        <f>O698*G698</f>
        <v>0</v>
      </c>
      <c r="Q698" s="132"/>
      <c r="R698" s="214">
        <f t="shared" si="727"/>
        <v>18</v>
      </c>
      <c r="AK698" s="141">
        <f t="shared" si="728"/>
        <v>17.600000000000001</v>
      </c>
    </row>
    <row r="699" spans="1:38" outlineLevel="1">
      <c r="A699" s="36"/>
      <c r="B699" s="296"/>
      <c r="C699" s="355"/>
      <c r="D699" s="248"/>
      <c r="E699" s="188"/>
      <c r="F699" s="258"/>
      <c r="G699" s="219"/>
      <c r="H699" s="248"/>
      <c r="I699" s="248"/>
      <c r="J699" s="212"/>
      <c r="K699" s="212"/>
      <c r="L699" s="212"/>
      <c r="M699" s="212"/>
      <c r="N699" s="212"/>
      <c r="O699" s="297"/>
      <c r="P699" s="213"/>
      <c r="Q699" s="132"/>
      <c r="R699" s="222"/>
      <c r="AK699" s="141"/>
    </row>
    <row r="700" spans="1:38" outlineLevel="1">
      <c r="A700" s="36"/>
      <c r="B700" s="343"/>
      <c r="C700" s="344" t="s">
        <v>542</v>
      </c>
      <c r="D700" s="350"/>
      <c r="E700" s="346"/>
      <c r="F700" s="347" t="s">
        <v>589</v>
      </c>
      <c r="G700" s="348"/>
      <c r="H700" s="348"/>
      <c r="I700" s="348"/>
      <c r="J700" s="325"/>
      <c r="K700" s="325"/>
      <c r="L700" s="325"/>
      <c r="M700" s="325"/>
      <c r="N700" s="325"/>
      <c r="O700" s="349"/>
      <c r="P700" s="237"/>
      <c r="Q700" s="132"/>
      <c r="R700" s="207"/>
      <c r="AK700" s="141"/>
    </row>
    <row r="701" spans="1:38" s="74" customFormat="1" ht="30.6" outlineLevel="1">
      <c r="A701" s="148" t="s">
        <v>25</v>
      </c>
      <c r="B701" s="208" t="s">
        <v>26</v>
      </c>
      <c r="C701" s="351" t="s">
        <v>542</v>
      </c>
      <c r="D701" s="190"/>
      <c r="E701" s="188">
        <v>12623931001</v>
      </c>
      <c r="F701" s="258" t="s">
        <v>590</v>
      </c>
      <c r="G701" s="211"/>
      <c r="H701" s="248" t="s">
        <v>584</v>
      </c>
      <c r="I701" s="248">
        <v>8</v>
      </c>
      <c r="J701" s="212">
        <v>14.53</v>
      </c>
      <c r="K701" s="212">
        <f t="shared" ref="K701:K732" si="742">ROUND((J701*$C$3),2)</f>
        <v>17.73</v>
      </c>
      <c r="L701" s="212">
        <f>K701*G701</f>
        <v>0</v>
      </c>
      <c r="M701" s="212">
        <f t="shared" ref="M701:M732" si="743">J701*(1-$E$5-$E$7)*(1-$E$9)*(1+$E$11)</f>
        <v>14.53</v>
      </c>
      <c r="N701" s="212">
        <f>M701*G701</f>
        <v>0</v>
      </c>
      <c r="O701" s="297">
        <f t="shared" ref="O701:O732" si="744">ROUND((M701*$C$3),2)</f>
        <v>17.73</v>
      </c>
      <c r="P701" s="213">
        <f>O701*G701</f>
        <v>0</v>
      </c>
      <c r="Q701" s="132"/>
      <c r="R701" s="214">
        <f t="shared" ref="R701:R732" si="745">ROUND(AK701,0)</f>
        <v>1418</v>
      </c>
      <c r="AK701" s="141">
        <f>K701*$AK$11*(1-$AK$10)</f>
        <v>1418.4</v>
      </c>
      <c r="AL701"/>
    </row>
    <row r="702" spans="1:38" outlineLevel="1">
      <c r="A702" s="36"/>
      <c r="B702" s="296"/>
      <c r="C702" s="355"/>
      <c r="D702" s="190"/>
      <c r="E702" s="188"/>
      <c r="F702" s="258"/>
      <c r="G702" s="219"/>
      <c r="H702" s="248"/>
      <c r="I702" s="248"/>
      <c r="J702" s="212"/>
      <c r="K702" s="212"/>
      <c r="L702" s="212"/>
      <c r="M702" s="212"/>
      <c r="N702" s="212"/>
      <c r="O702" s="297"/>
      <c r="P702" s="213"/>
      <c r="Q702" s="132"/>
      <c r="R702" s="222"/>
      <c r="AK702" s="141"/>
    </row>
    <row r="703" spans="1:38" outlineLevel="1">
      <c r="A703" s="36"/>
      <c r="B703" s="296" t="s">
        <v>30</v>
      </c>
      <c r="C703" s="327" t="s">
        <v>542</v>
      </c>
      <c r="D703" s="190"/>
      <c r="E703" s="311">
        <v>12278353001</v>
      </c>
      <c r="F703" s="354" t="s">
        <v>591</v>
      </c>
      <c r="G703" s="219"/>
      <c r="H703" s="244" t="s">
        <v>65</v>
      </c>
      <c r="I703" s="248">
        <v>1</v>
      </c>
      <c r="J703" s="212">
        <v>95</v>
      </c>
      <c r="K703" s="279">
        <f t="shared" ref="K703:K705" si="746">ROUND((J703*$C$3),2)</f>
        <v>115.9</v>
      </c>
      <c r="L703" s="279">
        <f>K703*G703</f>
        <v>0</v>
      </c>
      <c r="M703" s="279">
        <f t="shared" ref="M703:M705" si="747">J703*(1-$E$5-$E$7)*(1-$E$9)*(1+$E$11)</f>
        <v>95</v>
      </c>
      <c r="N703" s="279">
        <f>M703*G703</f>
        <v>0</v>
      </c>
      <c r="O703" s="332">
        <f t="shared" ref="O703:O705" si="748">ROUND((M703*$C$3),2)</f>
        <v>115.9</v>
      </c>
      <c r="P703" s="333">
        <f>O703*G703</f>
        <v>0</v>
      </c>
      <c r="Q703" s="132"/>
      <c r="R703" s="222">
        <f t="shared" ref="R703:R705" si="749">ROUND(AK703,0)</f>
        <v>9272</v>
      </c>
      <c r="AK703" s="141">
        <f>K703*$AK$11*(1-$AK$10)</f>
        <v>9272</v>
      </c>
    </row>
    <row r="704" spans="1:38" outlineLevel="1">
      <c r="A704" s="36"/>
      <c r="B704" s="296" t="s">
        <v>30</v>
      </c>
      <c r="C704" s="327" t="s">
        <v>542</v>
      </c>
      <c r="D704" s="190"/>
      <c r="E704" s="311">
        <v>12623733001</v>
      </c>
      <c r="F704" s="354" t="s">
        <v>592</v>
      </c>
      <c r="G704" s="219"/>
      <c r="H704" s="244" t="s">
        <v>65</v>
      </c>
      <c r="I704" s="248">
        <v>300</v>
      </c>
      <c r="J704" s="212">
        <v>0.06</v>
      </c>
      <c r="K704" s="279">
        <f t="shared" si="746"/>
        <v>7.0000000000000007E-2</v>
      </c>
      <c r="L704" s="279">
        <f>K704*G704</f>
        <v>0</v>
      </c>
      <c r="M704" s="279">
        <f t="shared" si="747"/>
        <v>0.06</v>
      </c>
      <c r="N704" s="279">
        <f>M704*G704</f>
        <v>0</v>
      </c>
      <c r="O704" s="332">
        <f t="shared" si="748"/>
        <v>7.0000000000000007E-2</v>
      </c>
      <c r="P704" s="333">
        <f>O704*G704</f>
        <v>0</v>
      </c>
      <c r="Q704" s="132"/>
      <c r="R704" s="222">
        <f t="shared" si="749"/>
        <v>6</v>
      </c>
      <c r="AK704" s="141">
        <f>K704*$AK$11*(1-$AK$10)</f>
        <v>5.6000000000000014</v>
      </c>
    </row>
    <row r="705" spans="1:38" outlineLevel="1">
      <c r="A705" s="36"/>
      <c r="B705" s="296" t="s">
        <v>30</v>
      </c>
      <c r="C705" s="327" t="s">
        <v>542</v>
      </c>
      <c r="D705" s="190"/>
      <c r="E705" s="311">
        <v>12402213001</v>
      </c>
      <c r="F705" s="354" t="s">
        <v>593</v>
      </c>
      <c r="G705" s="219"/>
      <c r="H705" s="244" t="s">
        <v>65</v>
      </c>
      <c r="I705" s="248">
        <v>300</v>
      </c>
      <c r="J705" s="212">
        <v>7.0000000000000007E-2</v>
      </c>
      <c r="K705" s="279">
        <f t="shared" si="746"/>
        <v>0.09</v>
      </c>
      <c r="L705" s="279">
        <f>K705*G705</f>
        <v>0</v>
      </c>
      <c r="M705" s="279">
        <f t="shared" si="747"/>
        <v>7.0000000000000007E-2</v>
      </c>
      <c r="N705" s="279">
        <f>M705*G705</f>
        <v>0</v>
      </c>
      <c r="O705" s="332">
        <f t="shared" si="748"/>
        <v>0.09</v>
      </c>
      <c r="P705" s="333">
        <f>O705*G705</f>
        <v>0</v>
      </c>
      <c r="Q705" s="132"/>
      <c r="R705" s="222">
        <f t="shared" si="749"/>
        <v>7</v>
      </c>
      <c r="AK705" s="141">
        <f>K705*$AK$11*(1-$AK$10)</f>
        <v>7.2</v>
      </c>
    </row>
    <row r="706" spans="1:38" outlineLevel="1">
      <c r="A706" s="36"/>
      <c r="B706" s="296"/>
      <c r="C706" s="355"/>
      <c r="D706" s="248"/>
      <c r="E706" s="188"/>
      <c r="F706" s="258"/>
      <c r="G706" s="219"/>
      <c r="H706" s="248"/>
      <c r="I706" s="248"/>
      <c r="J706" s="212"/>
      <c r="K706" s="212"/>
      <c r="L706" s="212"/>
      <c r="M706" s="212"/>
      <c r="N706" s="212"/>
      <c r="O706" s="297"/>
      <c r="P706" s="213"/>
      <c r="Q706" s="132"/>
      <c r="R706" s="222"/>
      <c r="AK706" s="141"/>
    </row>
    <row r="707" spans="1:38" outlineLevel="1">
      <c r="A707" s="36"/>
      <c r="B707" s="343"/>
      <c r="C707" s="344" t="s">
        <v>542</v>
      </c>
      <c r="D707" s="350"/>
      <c r="E707" s="346"/>
      <c r="F707" s="347" t="s">
        <v>594</v>
      </c>
      <c r="G707" s="348"/>
      <c r="H707" s="348"/>
      <c r="I707" s="348"/>
      <c r="J707" s="325"/>
      <c r="K707" s="325"/>
      <c r="L707" s="325"/>
      <c r="M707" s="325"/>
      <c r="N707" s="325"/>
      <c r="O707" s="349"/>
      <c r="P707" s="237"/>
      <c r="Q707" s="132"/>
      <c r="R707" s="207"/>
      <c r="AK707" s="141"/>
    </row>
    <row r="708" spans="1:38" outlineLevel="1">
      <c r="A708" s="36"/>
      <c r="B708" s="352" t="s">
        <v>30</v>
      </c>
      <c r="C708" s="327" t="s">
        <v>542</v>
      </c>
      <c r="D708" s="369"/>
      <c r="E708" s="311">
        <v>12442483002</v>
      </c>
      <c r="F708" s="354" t="s">
        <v>595</v>
      </c>
      <c r="G708" s="361"/>
      <c r="H708" s="369" t="s">
        <v>28</v>
      </c>
      <c r="I708" s="369">
        <v>10</v>
      </c>
      <c r="J708" s="279">
        <v>1.71</v>
      </c>
      <c r="K708" s="279">
        <f t="shared" si="742"/>
        <v>2.09</v>
      </c>
      <c r="L708" s="279">
        <f>K708*G708</f>
        <v>0</v>
      </c>
      <c r="M708" s="279">
        <f t="shared" ref="M708" si="750">J708*(1-$E$5-$E$7)*(1-$E$9)*(1+$E$11)</f>
        <v>1.71</v>
      </c>
      <c r="N708" s="279">
        <f>M708*G708</f>
        <v>0</v>
      </c>
      <c r="O708" s="370">
        <f t="shared" ref="O708" si="751">ROUND((M708*$C$3),2)</f>
        <v>2.09</v>
      </c>
      <c r="P708" s="333">
        <f>O708*G708</f>
        <v>0</v>
      </c>
      <c r="Q708" s="132"/>
      <c r="R708" s="222">
        <f t="shared" ref="R708" si="752">ROUND(AK708,0)</f>
        <v>167</v>
      </c>
      <c r="AK708" s="141">
        <f>K708*$AK$11*(1-$AK$10)</f>
        <v>167.20000000000002</v>
      </c>
    </row>
    <row r="709" spans="1:38" outlineLevel="1">
      <c r="A709" s="36"/>
      <c r="B709" s="371"/>
      <c r="C709" s="367"/>
      <c r="D709" s="372"/>
      <c r="E709" s="217"/>
      <c r="F709" s="373"/>
      <c r="G709" s="219"/>
      <c r="H709" s="372"/>
      <c r="I709" s="372"/>
      <c r="J709" s="220"/>
      <c r="K709" s="220"/>
      <c r="L709" s="220"/>
      <c r="M709" s="220"/>
      <c r="N709" s="220"/>
      <c r="O709" s="374"/>
      <c r="P709" s="221"/>
      <c r="Q709" s="132"/>
      <c r="R709" s="222"/>
      <c r="AK709" s="141"/>
    </row>
    <row r="710" spans="1:38" s="74" customFormat="1" ht="30.6" outlineLevel="1">
      <c r="A710" s="148" t="s">
        <v>25</v>
      </c>
      <c r="B710" s="208" t="s">
        <v>26</v>
      </c>
      <c r="C710" s="351" t="s">
        <v>542</v>
      </c>
      <c r="D710" s="375"/>
      <c r="E710" s="188">
        <v>12592681001</v>
      </c>
      <c r="F710" s="376" t="s">
        <v>596</v>
      </c>
      <c r="G710" s="211"/>
      <c r="H710" s="375" t="s">
        <v>65</v>
      </c>
      <c r="I710" s="375">
        <v>500</v>
      </c>
      <c r="J710" s="212">
        <v>0.08</v>
      </c>
      <c r="K710" s="212">
        <f t="shared" si="742"/>
        <v>0.1</v>
      </c>
      <c r="L710" s="212">
        <f>K710*G710</f>
        <v>0</v>
      </c>
      <c r="M710" s="212">
        <f t="shared" si="743"/>
        <v>0.08</v>
      </c>
      <c r="N710" s="212">
        <f>M710*G710</f>
        <v>0</v>
      </c>
      <c r="O710" s="377">
        <f t="shared" si="744"/>
        <v>0.1</v>
      </c>
      <c r="P710" s="213">
        <f>O710*G710</f>
        <v>0</v>
      </c>
      <c r="Q710" s="132"/>
      <c r="R710" s="214">
        <f t="shared" si="745"/>
        <v>8</v>
      </c>
      <c r="AK710" s="141">
        <f>K710*$AK$11*(1-$AK$10)</f>
        <v>8</v>
      </c>
      <c r="AL710"/>
    </row>
    <row r="711" spans="1:38" outlineLevel="1">
      <c r="A711" s="36"/>
      <c r="B711" s="296"/>
      <c r="C711" s="355"/>
      <c r="D711" s="248"/>
      <c r="E711" s="188"/>
      <c r="F711" s="258"/>
      <c r="G711" s="219"/>
      <c r="H711" s="248"/>
      <c r="I711" s="248"/>
      <c r="J711" s="212"/>
      <c r="K711" s="212"/>
      <c r="L711" s="212"/>
      <c r="M711" s="212"/>
      <c r="N711" s="212"/>
      <c r="O711" s="297"/>
      <c r="P711" s="213"/>
      <c r="Q711" s="132"/>
      <c r="R711" s="222"/>
      <c r="AK711" s="141"/>
    </row>
    <row r="712" spans="1:38" outlineLevel="1">
      <c r="A712" s="36"/>
      <c r="B712" s="343"/>
      <c r="C712" s="344" t="s">
        <v>542</v>
      </c>
      <c r="D712" s="350"/>
      <c r="E712" s="346"/>
      <c r="F712" s="347" t="s">
        <v>597</v>
      </c>
      <c r="G712" s="348"/>
      <c r="H712" s="348"/>
      <c r="I712" s="348"/>
      <c r="J712" s="325"/>
      <c r="K712" s="325"/>
      <c r="L712" s="325"/>
      <c r="M712" s="325"/>
      <c r="N712" s="325"/>
      <c r="O712" s="349"/>
      <c r="P712" s="237"/>
      <c r="Q712" s="132"/>
      <c r="R712" s="207"/>
      <c r="AK712" s="141"/>
    </row>
    <row r="713" spans="1:38" s="74" customFormat="1" ht="30.6" outlineLevel="1">
      <c r="A713" s="148" t="s">
        <v>25</v>
      </c>
      <c r="B713" s="208" t="s">
        <v>26</v>
      </c>
      <c r="C713" s="351" t="s">
        <v>542</v>
      </c>
      <c r="D713" s="375"/>
      <c r="E713" s="188">
        <v>12288901001</v>
      </c>
      <c r="F713" s="376" t="s">
        <v>598</v>
      </c>
      <c r="G713" s="211"/>
      <c r="H713" s="375" t="s">
        <v>65</v>
      </c>
      <c r="I713" s="375">
        <v>50</v>
      </c>
      <c r="J713" s="212">
        <v>0.35000000000000003</v>
      </c>
      <c r="K713" s="212">
        <f t="shared" si="742"/>
        <v>0.43</v>
      </c>
      <c r="L713" s="212">
        <f>K713*G713</f>
        <v>0</v>
      </c>
      <c r="M713" s="212">
        <f t="shared" si="743"/>
        <v>0.35000000000000003</v>
      </c>
      <c r="N713" s="212">
        <f>M713*G713</f>
        <v>0</v>
      </c>
      <c r="O713" s="377">
        <f t="shared" si="744"/>
        <v>0.43</v>
      </c>
      <c r="P713" s="213">
        <f>O713*G713</f>
        <v>0</v>
      </c>
      <c r="Q713" s="132"/>
      <c r="R713" s="214">
        <f t="shared" si="745"/>
        <v>34</v>
      </c>
      <c r="AK713" s="141">
        <f>K713*$AK$11*(1-$AK$10)</f>
        <v>34.4</v>
      </c>
      <c r="AL713"/>
    </row>
    <row r="714" spans="1:38" outlineLevel="1">
      <c r="A714" s="36"/>
      <c r="B714" s="371"/>
      <c r="C714" s="367"/>
      <c r="D714" s="372"/>
      <c r="E714" s="217"/>
      <c r="F714" s="373"/>
      <c r="G714" s="219"/>
      <c r="H714" s="372"/>
      <c r="I714" s="372"/>
      <c r="J714" s="220"/>
      <c r="K714" s="220"/>
      <c r="L714" s="220"/>
      <c r="M714" s="220"/>
      <c r="N714" s="220"/>
      <c r="O714" s="374"/>
      <c r="P714" s="221"/>
      <c r="Q714" s="132"/>
      <c r="R714" s="222"/>
      <c r="AK714" s="141"/>
    </row>
    <row r="715" spans="1:38" outlineLevel="1">
      <c r="A715" s="36"/>
      <c r="B715" s="343"/>
      <c r="C715" s="344" t="s">
        <v>542</v>
      </c>
      <c r="D715" s="350"/>
      <c r="E715" s="346"/>
      <c r="F715" s="347" t="s">
        <v>599</v>
      </c>
      <c r="G715" s="348"/>
      <c r="H715" s="348"/>
      <c r="I715" s="348"/>
      <c r="J715" s="325"/>
      <c r="K715" s="325"/>
      <c r="L715" s="325"/>
      <c r="M715" s="325"/>
      <c r="N715" s="325"/>
      <c r="O715" s="349"/>
      <c r="P715" s="237"/>
      <c r="Q715" s="132"/>
      <c r="R715" s="207"/>
      <c r="AK715" s="141"/>
    </row>
    <row r="716" spans="1:38" s="74" customFormat="1" outlineLevel="1">
      <c r="A716" s="156"/>
      <c r="B716" s="356" t="s">
        <v>52</v>
      </c>
      <c r="C716" s="357" t="s">
        <v>542</v>
      </c>
      <c r="D716" s="225">
        <v>12563241005</v>
      </c>
      <c r="E716" s="225">
        <v>12563241010</v>
      </c>
      <c r="F716" s="378" t="s">
        <v>600</v>
      </c>
      <c r="G716" s="228"/>
      <c r="H716" s="358" t="s">
        <v>65</v>
      </c>
      <c r="I716" s="358">
        <v>10</v>
      </c>
      <c r="J716" s="229">
        <v>20.13</v>
      </c>
      <c r="K716" s="229">
        <f t="shared" si="742"/>
        <v>24.56</v>
      </c>
      <c r="L716" s="229">
        <f>K716*G716</f>
        <v>0</v>
      </c>
      <c r="M716" s="229">
        <f t="shared" si="743"/>
        <v>20.13</v>
      </c>
      <c r="N716" s="229">
        <f>M716*G716</f>
        <v>0</v>
      </c>
      <c r="O716" s="359">
        <f t="shared" si="744"/>
        <v>24.56</v>
      </c>
      <c r="P716" s="230">
        <f>O716*G716</f>
        <v>0</v>
      </c>
      <c r="Q716" s="132"/>
      <c r="R716" s="231">
        <f t="shared" si="745"/>
        <v>1965</v>
      </c>
      <c r="AK716" s="141">
        <f>K716*$AK$11*(1-$AK$10)</f>
        <v>1964.8000000000002</v>
      </c>
      <c r="AL716"/>
    </row>
    <row r="717" spans="1:38" s="74" customFormat="1" ht="30.6" outlineLevel="1">
      <c r="A717" s="148" t="s">
        <v>25</v>
      </c>
      <c r="B717" s="208" t="s">
        <v>26</v>
      </c>
      <c r="C717" s="351" t="s">
        <v>542</v>
      </c>
      <c r="D717" s="190"/>
      <c r="E717" s="188">
        <v>12125511001</v>
      </c>
      <c r="F717" s="258" t="s">
        <v>601</v>
      </c>
      <c r="G717" s="211"/>
      <c r="H717" s="248" t="s">
        <v>65</v>
      </c>
      <c r="I717" s="248">
        <v>400</v>
      </c>
      <c r="J717" s="212">
        <v>0.37</v>
      </c>
      <c r="K717" s="212">
        <f t="shared" si="742"/>
        <v>0.45</v>
      </c>
      <c r="L717" s="212">
        <f>K717*G717</f>
        <v>0</v>
      </c>
      <c r="M717" s="212">
        <f t="shared" si="743"/>
        <v>0.37</v>
      </c>
      <c r="N717" s="212">
        <f>M717*G717</f>
        <v>0</v>
      </c>
      <c r="O717" s="297">
        <f t="shared" si="744"/>
        <v>0.45</v>
      </c>
      <c r="P717" s="213">
        <f>O717*G717</f>
        <v>0</v>
      </c>
      <c r="Q717" s="132"/>
      <c r="R717" s="214">
        <f t="shared" si="745"/>
        <v>36</v>
      </c>
      <c r="AK717" s="141">
        <f>K717*$AK$11*(1-$AK$10)</f>
        <v>36</v>
      </c>
      <c r="AL717"/>
    </row>
    <row r="718" spans="1:38" outlineLevel="1">
      <c r="A718" s="36"/>
      <c r="B718" s="293"/>
      <c r="C718" s="367"/>
      <c r="D718" s="215"/>
      <c r="E718" s="217"/>
      <c r="F718" s="295"/>
      <c r="G718" s="219"/>
      <c r="H718" s="294"/>
      <c r="I718" s="294"/>
      <c r="J718" s="220"/>
      <c r="K718" s="220"/>
      <c r="L718" s="220"/>
      <c r="M718" s="220"/>
      <c r="N718" s="220"/>
      <c r="O718" s="342"/>
      <c r="P718" s="221"/>
      <c r="Q718" s="132"/>
      <c r="R718" s="222"/>
      <c r="AK718" s="141"/>
    </row>
    <row r="719" spans="1:38" s="73" customFormat="1" ht="30.6" outlineLevel="1">
      <c r="A719" s="148" t="s">
        <v>25</v>
      </c>
      <c r="B719" s="208" t="s">
        <v>26</v>
      </c>
      <c r="C719" s="351" t="s">
        <v>542</v>
      </c>
      <c r="D719" s="248"/>
      <c r="E719" s="188">
        <v>12125521001</v>
      </c>
      <c r="F719" s="258" t="s">
        <v>602</v>
      </c>
      <c r="G719" s="211"/>
      <c r="H719" s="248" t="s">
        <v>65</v>
      </c>
      <c r="I719" s="248">
        <v>1</v>
      </c>
      <c r="J719" s="212">
        <v>73</v>
      </c>
      <c r="K719" s="212">
        <f t="shared" si="742"/>
        <v>89.06</v>
      </c>
      <c r="L719" s="212">
        <f>K719*G719</f>
        <v>0</v>
      </c>
      <c r="M719" s="212">
        <f t="shared" si="743"/>
        <v>73</v>
      </c>
      <c r="N719" s="212">
        <f>M719*G719</f>
        <v>0</v>
      </c>
      <c r="O719" s="297">
        <f t="shared" si="744"/>
        <v>89.06</v>
      </c>
      <c r="P719" s="213">
        <f>O719*G719</f>
        <v>0</v>
      </c>
      <c r="Q719" s="132"/>
      <c r="R719" s="214">
        <f t="shared" si="745"/>
        <v>7125</v>
      </c>
      <c r="AK719" s="141">
        <f>K719*$AK$11*(1-$AK$10)</f>
        <v>7124.8</v>
      </c>
    </row>
    <row r="720" spans="1:38" outlineLevel="1">
      <c r="A720" s="36"/>
      <c r="B720" s="296"/>
      <c r="C720" s="355"/>
      <c r="D720" s="248"/>
      <c r="E720" s="188"/>
      <c r="F720" s="258"/>
      <c r="G720" s="219"/>
      <c r="H720" s="248"/>
      <c r="I720" s="248"/>
      <c r="J720" s="212"/>
      <c r="K720" s="212"/>
      <c r="L720" s="212"/>
      <c r="M720" s="212"/>
      <c r="N720" s="212"/>
      <c r="O720" s="297"/>
      <c r="P720" s="213"/>
      <c r="Q720" s="132"/>
      <c r="R720" s="222"/>
      <c r="AK720" s="141"/>
    </row>
    <row r="721" spans="1:38" outlineLevel="1">
      <c r="A721" s="36"/>
      <c r="B721" s="343"/>
      <c r="C721" s="344" t="s">
        <v>542</v>
      </c>
      <c r="D721" s="350"/>
      <c r="E721" s="346"/>
      <c r="F721" s="347" t="s">
        <v>603</v>
      </c>
      <c r="G721" s="348"/>
      <c r="H721" s="348"/>
      <c r="I721" s="348"/>
      <c r="J721" s="325"/>
      <c r="K721" s="325"/>
      <c r="L721" s="325"/>
      <c r="M721" s="325"/>
      <c r="N721" s="325"/>
      <c r="O721" s="349"/>
      <c r="P721" s="237"/>
      <c r="Q721" s="132"/>
      <c r="R721" s="207"/>
      <c r="AK721" s="141"/>
    </row>
    <row r="722" spans="1:38" s="74" customFormat="1" ht="30.6" outlineLevel="1">
      <c r="A722" s="148" t="s">
        <v>25</v>
      </c>
      <c r="B722" s="208" t="s">
        <v>26</v>
      </c>
      <c r="C722" s="351" t="s">
        <v>542</v>
      </c>
      <c r="D722" s="351"/>
      <c r="E722" s="188">
        <v>12003031001</v>
      </c>
      <c r="F722" s="258" t="s">
        <v>604</v>
      </c>
      <c r="G722" s="211"/>
      <c r="H722" s="375" t="s">
        <v>65</v>
      </c>
      <c r="I722" s="375">
        <v>48</v>
      </c>
      <c r="J722" s="212">
        <v>4.75</v>
      </c>
      <c r="K722" s="212">
        <f t="shared" si="742"/>
        <v>5.8</v>
      </c>
      <c r="L722" s="212">
        <f>K722*G722</f>
        <v>0</v>
      </c>
      <c r="M722" s="212">
        <f t="shared" si="743"/>
        <v>4.75</v>
      </c>
      <c r="N722" s="212">
        <f>M722*G722</f>
        <v>0</v>
      </c>
      <c r="O722" s="377">
        <f t="shared" si="744"/>
        <v>5.8</v>
      </c>
      <c r="P722" s="213">
        <f>O722*G722</f>
        <v>0</v>
      </c>
      <c r="Q722" s="132"/>
      <c r="R722" s="214">
        <f t="shared" si="745"/>
        <v>464</v>
      </c>
      <c r="AK722" s="141">
        <f>K722*$AK$11*(1-$AK$10)</f>
        <v>464</v>
      </c>
      <c r="AL722"/>
    </row>
    <row r="723" spans="1:38" outlineLevel="1">
      <c r="A723" s="36"/>
      <c r="B723" s="356"/>
      <c r="C723" s="357"/>
      <c r="D723" s="226"/>
      <c r="E723" s="225"/>
      <c r="F723" s="378"/>
      <c r="G723" s="219"/>
      <c r="H723" s="358"/>
      <c r="I723" s="358"/>
      <c r="J723" s="220"/>
      <c r="K723" s="220"/>
      <c r="L723" s="220"/>
      <c r="M723" s="220"/>
      <c r="N723" s="220"/>
      <c r="O723" s="359"/>
      <c r="P723" s="221"/>
      <c r="Q723" s="132"/>
      <c r="R723" s="222"/>
      <c r="AK723" s="141"/>
    </row>
    <row r="724" spans="1:38" outlineLevel="1">
      <c r="A724" s="36"/>
      <c r="B724" s="343"/>
      <c r="C724" s="344" t="s">
        <v>542</v>
      </c>
      <c r="D724" s="350"/>
      <c r="E724" s="346"/>
      <c r="F724" s="347" t="s">
        <v>605</v>
      </c>
      <c r="G724" s="348"/>
      <c r="H724" s="348"/>
      <c r="I724" s="348"/>
      <c r="J724" s="325"/>
      <c r="K724" s="325"/>
      <c r="L724" s="325"/>
      <c r="M724" s="325"/>
      <c r="N724" s="325"/>
      <c r="O724" s="349"/>
      <c r="P724" s="237"/>
      <c r="Q724" s="132"/>
      <c r="R724" s="207"/>
      <c r="AK724" s="141"/>
    </row>
    <row r="725" spans="1:38" outlineLevel="1">
      <c r="A725" s="36"/>
      <c r="B725" s="296" t="s">
        <v>30</v>
      </c>
      <c r="C725" s="327" t="s">
        <v>542</v>
      </c>
      <c r="D725" s="379">
        <v>12179041001</v>
      </c>
      <c r="E725" s="311">
        <v>12179043001</v>
      </c>
      <c r="F725" s="380" t="s">
        <v>606</v>
      </c>
      <c r="G725" s="381"/>
      <c r="H725" s="375" t="s">
        <v>65</v>
      </c>
      <c r="I725" s="244">
        <v>1</v>
      </c>
      <c r="J725" s="279">
        <v>17.170000000000002</v>
      </c>
      <c r="K725" s="279">
        <f t="shared" ref="K725" si="753">ROUND((J725*$C$3),2)</f>
        <v>20.95</v>
      </c>
      <c r="L725" s="279">
        <f>K725*G725</f>
        <v>0</v>
      </c>
      <c r="M725" s="279">
        <f t="shared" ref="M725" si="754">J725*(1-$E$5-$E$7)*(1-$E$9)*(1+$E$11)</f>
        <v>17.170000000000002</v>
      </c>
      <c r="N725" s="279">
        <f>M725*G725</f>
        <v>0</v>
      </c>
      <c r="O725" s="332">
        <f t="shared" ref="O725" si="755">ROUND((M725*$C$3),2)</f>
        <v>20.95</v>
      </c>
      <c r="P725" s="333">
        <f>O725*G725</f>
        <v>0</v>
      </c>
      <c r="Q725" s="132"/>
      <c r="R725" s="222">
        <f t="shared" ref="R725" si="756">ROUND(AK725,0)</f>
        <v>1676</v>
      </c>
      <c r="AK725" s="141">
        <f>K725*$AK$11*(1-$AK$10)</f>
        <v>1676</v>
      </c>
    </row>
    <row r="726" spans="1:38" outlineLevel="1">
      <c r="A726" s="36"/>
      <c r="B726" s="296"/>
      <c r="C726" s="327"/>
      <c r="D726" s="379"/>
      <c r="E726" s="311"/>
      <c r="F726" s="380"/>
      <c r="G726" s="381"/>
      <c r="H726" s="244"/>
      <c r="I726" s="244"/>
      <c r="J726" s="279"/>
      <c r="K726" s="279"/>
      <c r="L726" s="279"/>
      <c r="M726" s="279"/>
      <c r="N726" s="279"/>
      <c r="O726" s="332"/>
      <c r="P726" s="333"/>
      <c r="Q726" s="132"/>
      <c r="R726" s="222"/>
      <c r="AK726" s="141"/>
    </row>
    <row r="727" spans="1:38" outlineLevel="1">
      <c r="A727" s="36"/>
      <c r="B727" s="296" t="s">
        <v>30</v>
      </c>
      <c r="C727" s="327" t="s">
        <v>542</v>
      </c>
      <c r="D727" s="379">
        <v>12393331001</v>
      </c>
      <c r="E727" s="311">
        <v>12393333001</v>
      </c>
      <c r="F727" s="380" t="s">
        <v>337</v>
      </c>
      <c r="G727" s="381"/>
      <c r="H727" s="244" t="s">
        <v>65</v>
      </c>
      <c r="I727" s="244">
        <v>25</v>
      </c>
      <c r="J727" s="279">
        <v>1.77</v>
      </c>
      <c r="K727" s="279">
        <f t="shared" ref="K727" si="757">ROUND((J727*$C$3),2)</f>
        <v>2.16</v>
      </c>
      <c r="L727" s="279">
        <f>K727*G727</f>
        <v>0</v>
      </c>
      <c r="M727" s="279">
        <f t="shared" ref="M727" si="758">J727*(1-$E$5-$E$7)*(1-$E$9)*(1+$E$11)</f>
        <v>1.77</v>
      </c>
      <c r="N727" s="279">
        <f>M727*G727</f>
        <v>0</v>
      </c>
      <c r="O727" s="332">
        <f t="shared" ref="O727" si="759">ROUND((M727*$C$3),2)</f>
        <v>2.16</v>
      </c>
      <c r="P727" s="333">
        <f>O727*G727</f>
        <v>0</v>
      </c>
      <c r="Q727" s="132"/>
      <c r="R727" s="222">
        <f t="shared" ref="R727" si="760">ROUND(AK727,0)</f>
        <v>173</v>
      </c>
      <c r="AK727" s="141">
        <f>K727*$AK$11*(1-$AK$10)</f>
        <v>172.8</v>
      </c>
    </row>
    <row r="728" spans="1:38" outlineLevel="1">
      <c r="A728" s="36"/>
      <c r="B728" s="296" t="s">
        <v>30</v>
      </c>
      <c r="C728" s="327" t="s">
        <v>542</v>
      </c>
      <c r="D728" s="379">
        <v>12393431001</v>
      </c>
      <c r="E728" s="311">
        <v>12393433001</v>
      </c>
      <c r="F728" s="380" t="s">
        <v>338</v>
      </c>
      <c r="G728" s="381"/>
      <c r="H728" s="244" t="s">
        <v>65</v>
      </c>
      <c r="I728" s="244">
        <v>25</v>
      </c>
      <c r="J728" s="279">
        <v>2.23</v>
      </c>
      <c r="K728" s="279">
        <f t="shared" ref="K728:K729" si="761">ROUND((J728*$C$3),2)</f>
        <v>2.72</v>
      </c>
      <c r="L728" s="279">
        <f>K728*G728</f>
        <v>0</v>
      </c>
      <c r="M728" s="279">
        <f t="shared" ref="M728:M729" si="762">J728*(1-$E$5-$E$7)*(1-$E$9)*(1+$E$11)</f>
        <v>2.23</v>
      </c>
      <c r="N728" s="279">
        <f>M728*G728</f>
        <v>0</v>
      </c>
      <c r="O728" s="332">
        <f t="shared" ref="O728:O729" si="763">ROUND((M728*$C$3),2)</f>
        <v>2.72</v>
      </c>
      <c r="P728" s="333">
        <f>O728*G728</f>
        <v>0</v>
      </c>
      <c r="Q728" s="132"/>
      <c r="R728" s="222">
        <f t="shared" ref="R728:R729" si="764">ROUND(AK728,0)</f>
        <v>218</v>
      </c>
      <c r="AK728" s="141">
        <f>K728*$AK$11*(1-$AK$10)</f>
        <v>217.60000000000002</v>
      </c>
    </row>
    <row r="729" spans="1:38" outlineLevel="1">
      <c r="A729" s="36"/>
      <c r="B729" s="296" t="s">
        <v>30</v>
      </c>
      <c r="C729" s="327" t="s">
        <v>542</v>
      </c>
      <c r="D729" s="379">
        <v>12391931001</v>
      </c>
      <c r="E729" s="311">
        <v>12391933001</v>
      </c>
      <c r="F729" s="380" t="s">
        <v>339</v>
      </c>
      <c r="G729" s="381"/>
      <c r="H729" s="244" t="s">
        <v>65</v>
      </c>
      <c r="I729" s="244">
        <v>25</v>
      </c>
      <c r="J729" s="279">
        <v>3.77</v>
      </c>
      <c r="K729" s="279">
        <f t="shared" si="761"/>
        <v>4.5999999999999996</v>
      </c>
      <c r="L729" s="279">
        <f>K729*G729</f>
        <v>0</v>
      </c>
      <c r="M729" s="279">
        <f t="shared" si="762"/>
        <v>3.77</v>
      </c>
      <c r="N729" s="279">
        <f>M729*G729</f>
        <v>0</v>
      </c>
      <c r="O729" s="332">
        <f t="shared" si="763"/>
        <v>4.5999999999999996</v>
      </c>
      <c r="P729" s="333">
        <f>O729*G729</f>
        <v>0</v>
      </c>
      <c r="Q729" s="132"/>
      <c r="R729" s="222">
        <f t="shared" si="764"/>
        <v>368</v>
      </c>
      <c r="AK729" s="141">
        <f>K729*$AK$11*(1-$AK$10)</f>
        <v>368</v>
      </c>
    </row>
    <row r="730" spans="1:38" outlineLevel="1">
      <c r="A730" s="36"/>
      <c r="B730" s="293"/>
      <c r="C730" s="367"/>
      <c r="D730" s="294"/>
      <c r="E730" s="126"/>
      <c r="F730" s="128"/>
      <c r="G730" s="219"/>
      <c r="H730" s="294"/>
      <c r="I730" s="294"/>
      <c r="J730" s="220"/>
      <c r="K730" s="220"/>
      <c r="L730" s="220"/>
      <c r="M730" s="220"/>
      <c r="N730" s="220"/>
      <c r="O730" s="342"/>
      <c r="P730" s="221"/>
      <c r="Q730" s="132"/>
      <c r="R730" s="222"/>
      <c r="AK730" s="141"/>
    </row>
    <row r="731" spans="1:38" s="74" customFormat="1" ht="30.6" outlineLevel="1">
      <c r="A731" s="148" t="s">
        <v>25</v>
      </c>
      <c r="B731" s="208" t="s">
        <v>26</v>
      </c>
      <c r="C731" s="351" t="s">
        <v>542</v>
      </c>
      <c r="D731" s="248"/>
      <c r="E731" s="188">
        <v>12278331001</v>
      </c>
      <c r="F731" s="258" t="s">
        <v>607</v>
      </c>
      <c r="G731" s="211"/>
      <c r="H731" s="248" t="s">
        <v>65</v>
      </c>
      <c r="I731" s="248">
        <v>25</v>
      </c>
      <c r="J731" s="212">
        <v>1.0900000000000001</v>
      </c>
      <c r="K731" s="212">
        <f t="shared" si="742"/>
        <v>1.33</v>
      </c>
      <c r="L731" s="212">
        <f>K731*G731</f>
        <v>0</v>
      </c>
      <c r="M731" s="212">
        <f t="shared" si="743"/>
        <v>1.0900000000000001</v>
      </c>
      <c r="N731" s="212">
        <f>M731*G731</f>
        <v>0</v>
      </c>
      <c r="O731" s="297">
        <f t="shared" si="744"/>
        <v>1.33</v>
      </c>
      <c r="P731" s="213">
        <f>O731*G731</f>
        <v>0</v>
      </c>
      <c r="Q731" s="132"/>
      <c r="R731" s="214">
        <f t="shared" si="745"/>
        <v>106</v>
      </c>
      <c r="AK731" s="141">
        <f>K731*$AK$11*(1-$AK$10)</f>
        <v>106.4</v>
      </c>
      <c r="AL731"/>
    </row>
    <row r="732" spans="1:38" s="74" customFormat="1" outlineLevel="1">
      <c r="A732" s="156"/>
      <c r="B732" s="356" t="s">
        <v>52</v>
      </c>
      <c r="C732" s="357" t="s">
        <v>542</v>
      </c>
      <c r="D732" s="358"/>
      <c r="E732" s="225">
        <v>12393331001</v>
      </c>
      <c r="F732" s="378" t="s">
        <v>608</v>
      </c>
      <c r="G732" s="228"/>
      <c r="H732" s="358" t="s">
        <v>65</v>
      </c>
      <c r="I732" s="358">
        <v>25</v>
      </c>
      <c r="J732" s="229">
        <v>1.77</v>
      </c>
      <c r="K732" s="229">
        <f t="shared" si="742"/>
        <v>2.16</v>
      </c>
      <c r="L732" s="229">
        <f>K732*G732</f>
        <v>0</v>
      </c>
      <c r="M732" s="229">
        <f t="shared" si="743"/>
        <v>1.77</v>
      </c>
      <c r="N732" s="229">
        <f>M732*G732</f>
        <v>0</v>
      </c>
      <c r="O732" s="359">
        <f t="shared" si="744"/>
        <v>2.16</v>
      </c>
      <c r="P732" s="230">
        <f>O732*G732</f>
        <v>0</v>
      </c>
      <c r="Q732" s="132"/>
      <c r="R732" s="231">
        <f t="shared" si="745"/>
        <v>173</v>
      </c>
      <c r="AK732" s="143">
        <f>K732*$AK$11*(1-$AK$10)</f>
        <v>172.8</v>
      </c>
    </row>
    <row r="733" spans="1:38" outlineLevel="1">
      <c r="A733" s="36"/>
      <c r="B733" s="296"/>
      <c r="C733" s="351"/>
      <c r="D733" s="382"/>
      <c r="E733" s="188"/>
      <c r="F733" s="383"/>
      <c r="G733" s="219"/>
      <c r="H733" s="248"/>
      <c r="I733" s="248"/>
      <c r="J733" s="212"/>
      <c r="K733" s="212"/>
      <c r="L733" s="212"/>
      <c r="M733" s="212"/>
      <c r="N733" s="212"/>
      <c r="O733" s="297"/>
      <c r="P733" s="213"/>
      <c r="Q733" s="132"/>
      <c r="R733" s="222"/>
      <c r="AK733" s="141"/>
    </row>
    <row r="734" spans="1:38" outlineLevel="1">
      <c r="A734" s="36"/>
      <c r="B734" s="343"/>
      <c r="C734" s="344" t="s">
        <v>542</v>
      </c>
      <c r="D734" s="345"/>
      <c r="E734" s="346"/>
      <c r="F734" s="384" t="s">
        <v>609</v>
      </c>
      <c r="G734" s="348"/>
      <c r="H734" s="348"/>
      <c r="I734" s="348"/>
      <c r="J734" s="325"/>
      <c r="K734" s="325"/>
      <c r="L734" s="325"/>
      <c r="M734" s="325"/>
      <c r="N734" s="325"/>
      <c r="O734" s="349"/>
      <c r="P734" s="237"/>
      <c r="Q734" s="132"/>
      <c r="R734" s="207"/>
      <c r="AK734" s="141"/>
    </row>
    <row r="735" spans="1:38" s="74" customFormat="1" ht="30.6" outlineLevel="1">
      <c r="A735" s="148" t="s">
        <v>25</v>
      </c>
      <c r="B735" s="208" t="s">
        <v>26</v>
      </c>
      <c r="C735" s="351" t="s">
        <v>542</v>
      </c>
      <c r="D735" s="375"/>
      <c r="E735" s="188">
        <v>12288901001</v>
      </c>
      <c r="F735" s="376" t="s">
        <v>598</v>
      </c>
      <c r="G735" s="211"/>
      <c r="H735" s="375" t="s">
        <v>65</v>
      </c>
      <c r="I735" s="375">
        <v>50</v>
      </c>
      <c r="J735" s="212">
        <v>0.35000000000000003</v>
      </c>
      <c r="K735" s="212">
        <f t="shared" ref="K735:K778" si="765">ROUND((J735*$C$3),2)</f>
        <v>0.43</v>
      </c>
      <c r="L735" s="212">
        <f>K735*G735</f>
        <v>0</v>
      </c>
      <c r="M735" s="212">
        <f t="shared" ref="M735:M778" si="766">J735*(1-$E$5-$E$7)*(1-$E$9)*(1+$E$11)</f>
        <v>0.35000000000000003</v>
      </c>
      <c r="N735" s="212">
        <f>M735*G735</f>
        <v>0</v>
      </c>
      <c r="O735" s="377">
        <f t="shared" ref="O735:O778" si="767">ROUND((M735*$C$3),2)</f>
        <v>0.43</v>
      </c>
      <c r="P735" s="213">
        <f>O735*G735</f>
        <v>0</v>
      </c>
      <c r="Q735" s="132"/>
      <c r="R735" s="214">
        <f t="shared" ref="R735:R778" si="768">ROUND(AK735,0)</f>
        <v>34</v>
      </c>
      <c r="AK735" s="141">
        <f>K735*$AK$11*(1-$AK$10)</f>
        <v>34.4</v>
      </c>
      <c r="AL735"/>
    </row>
    <row r="736" spans="1:38" outlineLevel="1">
      <c r="A736" s="36"/>
      <c r="B736" s="385"/>
      <c r="C736" s="355"/>
      <c r="D736" s="375"/>
      <c r="E736" s="188"/>
      <c r="F736" s="210"/>
      <c r="G736" s="219"/>
      <c r="H736" s="375"/>
      <c r="I736" s="375"/>
      <c r="J736" s="212"/>
      <c r="K736" s="212"/>
      <c r="L736" s="212"/>
      <c r="M736" s="212"/>
      <c r="N736" s="212"/>
      <c r="O736" s="377"/>
      <c r="P736" s="213"/>
      <c r="Q736" s="132"/>
      <c r="R736" s="222"/>
      <c r="AK736" s="141"/>
    </row>
    <row r="737" spans="1:37">
      <c r="A737" s="36"/>
      <c r="B737" s="343"/>
      <c r="C737" s="344" t="s">
        <v>542</v>
      </c>
      <c r="D737" s="345"/>
      <c r="E737" s="346"/>
      <c r="F737" s="347" t="s">
        <v>610</v>
      </c>
      <c r="G737" s="348"/>
      <c r="H737" s="348"/>
      <c r="I737" s="348"/>
      <c r="J737" s="325"/>
      <c r="K737" s="325"/>
      <c r="L737" s="325"/>
      <c r="M737" s="325"/>
      <c r="N737" s="325"/>
      <c r="O737" s="349"/>
      <c r="P737" s="237"/>
      <c r="Q737" s="132"/>
      <c r="R737" s="207"/>
      <c r="AK737" s="141"/>
    </row>
    <row r="738" spans="1:37">
      <c r="A738" s="36"/>
      <c r="B738" s="343"/>
      <c r="C738" s="344" t="s">
        <v>542</v>
      </c>
      <c r="D738" s="350"/>
      <c r="E738" s="346"/>
      <c r="F738" s="347" t="s">
        <v>611</v>
      </c>
      <c r="G738" s="348"/>
      <c r="H738" s="348"/>
      <c r="I738" s="348"/>
      <c r="J738" s="325"/>
      <c r="K738" s="325"/>
      <c r="L738" s="325"/>
      <c r="M738" s="325"/>
      <c r="N738" s="325"/>
      <c r="O738" s="349"/>
      <c r="P738" s="237"/>
      <c r="Q738" s="132"/>
      <c r="R738" s="207"/>
      <c r="AK738" s="141"/>
    </row>
    <row r="739" spans="1:37" outlineLevel="1">
      <c r="A739" s="36"/>
      <c r="B739" s="360" t="s">
        <v>30</v>
      </c>
      <c r="C739" s="327" t="s">
        <v>542</v>
      </c>
      <c r="D739" s="277">
        <v>12180211001</v>
      </c>
      <c r="E739" s="311">
        <v>12180213001</v>
      </c>
      <c r="F739" s="386" t="s">
        <v>612</v>
      </c>
      <c r="G739" s="361"/>
      <c r="H739" s="244" t="s">
        <v>65</v>
      </c>
      <c r="I739" s="244">
        <v>1</v>
      </c>
      <c r="J739" s="279">
        <v>151.34</v>
      </c>
      <c r="K739" s="279">
        <f t="shared" ref="K739:K749" si="769">ROUND((J739*$C$3),2)</f>
        <v>184.63</v>
      </c>
      <c r="L739" s="279">
        <f t="shared" ref="L739:L749" si="770">K739*G739</f>
        <v>0</v>
      </c>
      <c r="M739" s="279">
        <f t="shared" ref="M739:M749" si="771">J739*(1-$E$5-$E$7)*(1-$E$9)*(1+$E$11)</f>
        <v>151.34</v>
      </c>
      <c r="N739" s="279">
        <f t="shared" ref="N739:N749" si="772">M739*G739</f>
        <v>0</v>
      </c>
      <c r="O739" s="332">
        <f>ROUND((M739*$C$3),2)</f>
        <v>184.63</v>
      </c>
      <c r="P739" s="333">
        <f t="shared" ref="P739:P749" si="773">O739*G739</f>
        <v>0</v>
      </c>
      <c r="Q739" s="132"/>
      <c r="R739" s="222">
        <f>ROUND(AK739,0)</f>
        <v>14770</v>
      </c>
      <c r="AK739" s="141">
        <f>K739*$AK$11*(1-$AK$10)</f>
        <v>14770.400000000001</v>
      </c>
    </row>
    <row r="740" spans="1:37" outlineLevel="1">
      <c r="A740" s="36"/>
      <c r="B740" s="360" t="s">
        <v>30</v>
      </c>
      <c r="C740" s="327" t="s">
        <v>542</v>
      </c>
      <c r="D740" s="277">
        <v>12180311001</v>
      </c>
      <c r="E740" s="311">
        <v>12180313001</v>
      </c>
      <c r="F740" s="386" t="s">
        <v>613</v>
      </c>
      <c r="G740" s="361"/>
      <c r="H740" s="244" t="s">
        <v>65</v>
      </c>
      <c r="I740" s="244">
        <v>1</v>
      </c>
      <c r="J740" s="279">
        <v>174.09</v>
      </c>
      <c r="K740" s="279">
        <f t="shared" si="769"/>
        <v>212.39</v>
      </c>
      <c r="L740" s="279">
        <f t="shared" si="770"/>
        <v>0</v>
      </c>
      <c r="M740" s="279">
        <f t="shared" si="771"/>
        <v>174.09</v>
      </c>
      <c r="N740" s="279">
        <f t="shared" si="772"/>
        <v>0</v>
      </c>
      <c r="O740" s="332">
        <f t="shared" ref="O740:O749" si="774">ROUND((M740*$C$3),2)</f>
        <v>212.39</v>
      </c>
      <c r="P740" s="333">
        <f t="shared" si="773"/>
        <v>0</v>
      </c>
      <c r="Q740" s="132"/>
      <c r="R740" s="222">
        <f t="shared" ref="R740:R749" si="775">ROUND(AK740,0)</f>
        <v>16991</v>
      </c>
      <c r="AK740" s="141">
        <f t="shared" ref="AK740:AK749" si="776">K740*$AK$11*(1-$AK$10)</f>
        <v>16991.2</v>
      </c>
    </row>
    <row r="741" spans="1:37" outlineLevel="1">
      <c r="A741" s="36"/>
      <c r="B741" s="360" t="s">
        <v>30</v>
      </c>
      <c r="C741" s="327" t="s">
        <v>542</v>
      </c>
      <c r="D741" s="277">
        <v>12180411001</v>
      </c>
      <c r="E741" s="311">
        <v>12180413001</v>
      </c>
      <c r="F741" s="386" t="s">
        <v>614</v>
      </c>
      <c r="G741" s="361"/>
      <c r="H741" s="244" t="s">
        <v>65</v>
      </c>
      <c r="I741" s="244">
        <v>1</v>
      </c>
      <c r="J741" s="279">
        <v>199.19</v>
      </c>
      <c r="K741" s="279">
        <f t="shared" si="769"/>
        <v>243.01</v>
      </c>
      <c r="L741" s="279">
        <f t="shared" si="770"/>
        <v>0</v>
      </c>
      <c r="M741" s="279">
        <f t="shared" si="771"/>
        <v>199.19</v>
      </c>
      <c r="N741" s="279">
        <f t="shared" si="772"/>
        <v>0</v>
      </c>
      <c r="O741" s="332">
        <f t="shared" si="774"/>
        <v>243.01</v>
      </c>
      <c r="P741" s="333">
        <f t="shared" si="773"/>
        <v>0</v>
      </c>
      <c r="Q741" s="132"/>
      <c r="R741" s="222">
        <f t="shared" si="775"/>
        <v>19441</v>
      </c>
      <c r="AK741" s="141">
        <f t="shared" si="776"/>
        <v>19440.8</v>
      </c>
    </row>
    <row r="742" spans="1:37" outlineLevel="1">
      <c r="A742" s="36"/>
      <c r="B742" s="360" t="s">
        <v>30</v>
      </c>
      <c r="C742" s="327" t="s">
        <v>542</v>
      </c>
      <c r="D742" s="277">
        <v>12180511001</v>
      </c>
      <c r="E742" s="311">
        <v>12180513001</v>
      </c>
      <c r="F742" s="386" t="s">
        <v>615</v>
      </c>
      <c r="G742" s="361"/>
      <c r="H742" s="244" t="s">
        <v>65</v>
      </c>
      <c r="I742" s="244">
        <v>1</v>
      </c>
      <c r="J742" s="279">
        <v>220.67</v>
      </c>
      <c r="K742" s="279">
        <f t="shared" si="769"/>
        <v>269.22000000000003</v>
      </c>
      <c r="L742" s="279">
        <f t="shared" si="770"/>
        <v>0</v>
      </c>
      <c r="M742" s="279">
        <f t="shared" si="771"/>
        <v>220.67</v>
      </c>
      <c r="N742" s="279">
        <f t="shared" si="772"/>
        <v>0</v>
      </c>
      <c r="O742" s="332">
        <f t="shared" si="774"/>
        <v>269.22000000000003</v>
      </c>
      <c r="P742" s="333">
        <f t="shared" si="773"/>
        <v>0</v>
      </c>
      <c r="Q742" s="132"/>
      <c r="R742" s="222">
        <f t="shared" si="775"/>
        <v>21538</v>
      </c>
      <c r="AK742" s="141">
        <f t="shared" si="776"/>
        <v>21537.600000000006</v>
      </c>
    </row>
    <row r="743" spans="1:37" outlineLevel="1">
      <c r="A743" s="36"/>
      <c r="B743" s="360" t="s">
        <v>30</v>
      </c>
      <c r="C743" s="327" t="s">
        <v>542</v>
      </c>
      <c r="D743" s="277">
        <v>12180611001</v>
      </c>
      <c r="E743" s="311">
        <v>12180613001</v>
      </c>
      <c r="F743" s="386" t="s">
        <v>616</v>
      </c>
      <c r="G743" s="361"/>
      <c r="H743" s="244" t="s">
        <v>65</v>
      </c>
      <c r="I743" s="244">
        <v>1</v>
      </c>
      <c r="J743" s="279">
        <v>245.89</v>
      </c>
      <c r="K743" s="279">
        <f t="shared" si="769"/>
        <v>299.99</v>
      </c>
      <c r="L743" s="279">
        <f t="shared" si="770"/>
        <v>0</v>
      </c>
      <c r="M743" s="279">
        <f t="shared" si="771"/>
        <v>245.89</v>
      </c>
      <c r="N743" s="279">
        <f t="shared" si="772"/>
        <v>0</v>
      </c>
      <c r="O743" s="332">
        <f t="shared" si="774"/>
        <v>299.99</v>
      </c>
      <c r="P743" s="333">
        <f t="shared" si="773"/>
        <v>0</v>
      </c>
      <c r="Q743" s="132"/>
      <c r="R743" s="222">
        <f t="shared" si="775"/>
        <v>23999</v>
      </c>
      <c r="AK743" s="141">
        <f t="shared" si="776"/>
        <v>23999.200000000001</v>
      </c>
    </row>
    <row r="744" spans="1:37" outlineLevel="1">
      <c r="A744" s="36"/>
      <c r="B744" s="360" t="s">
        <v>30</v>
      </c>
      <c r="C744" s="327" t="s">
        <v>542</v>
      </c>
      <c r="D744" s="277">
        <v>12180711001</v>
      </c>
      <c r="E744" s="311">
        <v>12180713001</v>
      </c>
      <c r="F744" s="386" t="s">
        <v>617</v>
      </c>
      <c r="G744" s="361"/>
      <c r="H744" s="244" t="s">
        <v>65</v>
      </c>
      <c r="I744" s="244">
        <v>1</v>
      </c>
      <c r="J744" s="279">
        <v>273.81</v>
      </c>
      <c r="K744" s="279">
        <f t="shared" si="769"/>
        <v>334.05</v>
      </c>
      <c r="L744" s="279">
        <f t="shared" si="770"/>
        <v>0</v>
      </c>
      <c r="M744" s="279">
        <f t="shared" si="771"/>
        <v>273.81</v>
      </c>
      <c r="N744" s="279">
        <f t="shared" si="772"/>
        <v>0</v>
      </c>
      <c r="O744" s="332">
        <f t="shared" si="774"/>
        <v>334.05</v>
      </c>
      <c r="P744" s="333">
        <f t="shared" si="773"/>
        <v>0</v>
      </c>
      <c r="Q744" s="132"/>
      <c r="R744" s="222">
        <f t="shared" si="775"/>
        <v>26724</v>
      </c>
      <c r="AK744" s="141">
        <f t="shared" si="776"/>
        <v>26724</v>
      </c>
    </row>
    <row r="745" spans="1:37" outlineLevel="1">
      <c r="A745" s="36"/>
      <c r="B745" s="360" t="s">
        <v>30</v>
      </c>
      <c r="C745" s="327" t="s">
        <v>542</v>
      </c>
      <c r="D745" s="277">
        <v>12180811001</v>
      </c>
      <c r="E745" s="311">
        <v>12180813001</v>
      </c>
      <c r="F745" s="386" t="s">
        <v>618</v>
      </c>
      <c r="G745" s="361"/>
      <c r="H745" s="244" t="s">
        <v>65</v>
      </c>
      <c r="I745" s="244">
        <v>1</v>
      </c>
      <c r="J745" s="279">
        <v>298.42</v>
      </c>
      <c r="K745" s="279">
        <f t="shared" si="769"/>
        <v>364.07</v>
      </c>
      <c r="L745" s="279">
        <f t="shared" si="770"/>
        <v>0</v>
      </c>
      <c r="M745" s="279">
        <f t="shared" si="771"/>
        <v>298.42</v>
      </c>
      <c r="N745" s="279">
        <f t="shared" si="772"/>
        <v>0</v>
      </c>
      <c r="O745" s="332">
        <f t="shared" si="774"/>
        <v>364.07</v>
      </c>
      <c r="P745" s="333">
        <f t="shared" si="773"/>
        <v>0</v>
      </c>
      <c r="Q745" s="132"/>
      <c r="R745" s="222">
        <f t="shared" si="775"/>
        <v>29126</v>
      </c>
      <c r="AK745" s="141">
        <f t="shared" si="776"/>
        <v>29125.600000000002</v>
      </c>
    </row>
    <row r="746" spans="1:37" outlineLevel="1">
      <c r="A746" s="36"/>
      <c r="B746" s="360" t="s">
        <v>30</v>
      </c>
      <c r="C746" s="327" t="s">
        <v>542</v>
      </c>
      <c r="D746" s="277">
        <v>12180911001</v>
      </c>
      <c r="E746" s="311">
        <v>12180913001</v>
      </c>
      <c r="F746" s="386" t="s">
        <v>619</v>
      </c>
      <c r="G746" s="361"/>
      <c r="H746" s="244" t="s">
        <v>65</v>
      </c>
      <c r="I746" s="244">
        <v>1</v>
      </c>
      <c r="J746" s="279">
        <v>322.52999999999997</v>
      </c>
      <c r="K746" s="279">
        <f t="shared" si="769"/>
        <v>393.49</v>
      </c>
      <c r="L746" s="279">
        <f t="shared" si="770"/>
        <v>0</v>
      </c>
      <c r="M746" s="279">
        <f t="shared" si="771"/>
        <v>322.52999999999997</v>
      </c>
      <c r="N746" s="279">
        <f t="shared" si="772"/>
        <v>0</v>
      </c>
      <c r="O746" s="332">
        <f t="shared" si="774"/>
        <v>393.49</v>
      </c>
      <c r="P746" s="333">
        <f t="shared" si="773"/>
        <v>0</v>
      </c>
      <c r="Q746" s="132"/>
      <c r="R746" s="222">
        <f t="shared" si="775"/>
        <v>31479</v>
      </c>
      <c r="AK746" s="141">
        <f t="shared" si="776"/>
        <v>31479.200000000001</v>
      </c>
    </row>
    <row r="747" spans="1:37" outlineLevel="1">
      <c r="A747" s="36"/>
      <c r="B747" s="360" t="s">
        <v>30</v>
      </c>
      <c r="C747" s="327" t="s">
        <v>542</v>
      </c>
      <c r="D747" s="277">
        <v>12181011001</v>
      </c>
      <c r="E747" s="311">
        <v>12181013001</v>
      </c>
      <c r="F747" s="386" t="s">
        <v>620</v>
      </c>
      <c r="G747" s="361"/>
      <c r="H747" s="244" t="s">
        <v>65</v>
      </c>
      <c r="I747" s="244">
        <v>1</v>
      </c>
      <c r="J747" s="279">
        <v>346.15</v>
      </c>
      <c r="K747" s="279">
        <f t="shared" si="769"/>
        <v>422.3</v>
      </c>
      <c r="L747" s="279">
        <f t="shared" si="770"/>
        <v>0</v>
      </c>
      <c r="M747" s="279">
        <f t="shared" si="771"/>
        <v>346.15</v>
      </c>
      <c r="N747" s="279">
        <f t="shared" si="772"/>
        <v>0</v>
      </c>
      <c r="O747" s="332">
        <f t="shared" si="774"/>
        <v>422.3</v>
      </c>
      <c r="P747" s="333">
        <f t="shared" si="773"/>
        <v>0</v>
      </c>
      <c r="Q747" s="132"/>
      <c r="R747" s="222">
        <f t="shared" si="775"/>
        <v>33784</v>
      </c>
      <c r="AK747" s="141">
        <f t="shared" si="776"/>
        <v>33784</v>
      </c>
    </row>
    <row r="748" spans="1:37" outlineLevel="1">
      <c r="A748" s="36"/>
      <c r="B748" s="360" t="s">
        <v>30</v>
      </c>
      <c r="C748" s="327" t="s">
        <v>542</v>
      </c>
      <c r="D748" s="277">
        <v>12181111001</v>
      </c>
      <c r="E748" s="311">
        <v>12181113001</v>
      </c>
      <c r="F748" s="386" t="s">
        <v>621</v>
      </c>
      <c r="G748" s="361"/>
      <c r="H748" s="244" t="s">
        <v>65</v>
      </c>
      <c r="I748" s="244">
        <v>1</v>
      </c>
      <c r="J748" s="279">
        <v>373.52</v>
      </c>
      <c r="K748" s="279">
        <f t="shared" si="769"/>
        <v>455.69</v>
      </c>
      <c r="L748" s="279">
        <f t="shared" si="770"/>
        <v>0</v>
      </c>
      <c r="M748" s="279">
        <f t="shared" si="771"/>
        <v>373.52</v>
      </c>
      <c r="N748" s="279">
        <f t="shared" si="772"/>
        <v>0</v>
      </c>
      <c r="O748" s="332">
        <f t="shared" si="774"/>
        <v>455.69</v>
      </c>
      <c r="P748" s="333">
        <f t="shared" si="773"/>
        <v>0</v>
      </c>
      <c r="Q748" s="132"/>
      <c r="R748" s="222">
        <f t="shared" si="775"/>
        <v>36455</v>
      </c>
      <c r="AK748" s="141">
        <f t="shared" si="776"/>
        <v>36455.200000000004</v>
      </c>
    </row>
    <row r="749" spans="1:37" outlineLevel="1">
      <c r="A749" s="36"/>
      <c r="B749" s="360" t="s">
        <v>30</v>
      </c>
      <c r="C749" s="327" t="s">
        <v>542</v>
      </c>
      <c r="D749" s="277">
        <v>12181211001</v>
      </c>
      <c r="E749" s="311">
        <v>12181213001</v>
      </c>
      <c r="F749" s="386" t="s">
        <v>622</v>
      </c>
      <c r="G749" s="361"/>
      <c r="H749" s="244" t="s">
        <v>65</v>
      </c>
      <c r="I749" s="244">
        <v>1</v>
      </c>
      <c r="J749" s="279">
        <v>397.08</v>
      </c>
      <c r="K749" s="279">
        <f t="shared" si="769"/>
        <v>484.44</v>
      </c>
      <c r="L749" s="279">
        <f t="shared" si="770"/>
        <v>0</v>
      </c>
      <c r="M749" s="279">
        <f t="shared" si="771"/>
        <v>397.08</v>
      </c>
      <c r="N749" s="279">
        <f t="shared" si="772"/>
        <v>0</v>
      </c>
      <c r="O749" s="332">
        <f t="shared" si="774"/>
        <v>484.44</v>
      </c>
      <c r="P749" s="333">
        <f t="shared" si="773"/>
        <v>0</v>
      </c>
      <c r="Q749" s="132"/>
      <c r="R749" s="222">
        <f t="shared" si="775"/>
        <v>38755</v>
      </c>
      <c r="AK749" s="141">
        <f t="shared" si="776"/>
        <v>38755.200000000004</v>
      </c>
    </row>
    <row r="750" spans="1:37" outlineLevel="1">
      <c r="A750" s="36"/>
      <c r="B750" s="360"/>
      <c r="C750" s="327"/>
      <c r="D750" s="245"/>
      <c r="E750" s="311"/>
      <c r="F750" s="386"/>
      <c r="G750" s="361"/>
      <c r="H750" s="244"/>
      <c r="I750" s="244"/>
      <c r="J750" s="279"/>
      <c r="K750" s="279"/>
      <c r="L750" s="279"/>
      <c r="M750" s="279"/>
      <c r="N750" s="279"/>
      <c r="O750" s="332"/>
      <c r="P750" s="333"/>
      <c r="Q750" s="132"/>
      <c r="R750" s="222"/>
      <c r="AK750" s="141"/>
    </row>
    <row r="751" spans="1:37" outlineLevel="1">
      <c r="A751" s="36"/>
      <c r="B751" s="360" t="s">
        <v>30</v>
      </c>
      <c r="C751" s="327" t="s">
        <v>542</v>
      </c>
      <c r="D751" s="277">
        <v>12080211002</v>
      </c>
      <c r="E751" s="311">
        <v>12080213002</v>
      </c>
      <c r="F751" s="386" t="s">
        <v>623</v>
      </c>
      <c r="G751" s="361"/>
      <c r="H751" s="244" t="s">
        <v>65</v>
      </c>
      <c r="I751" s="244">
        <v>1</v>
      </c>
      <c r="J751" s="279">
        <v>154.37537965694</v>
      </c>
      <c r="K751" s="279">
        <f t="shared" ref="K751:K761" si="777">ROUND((J751*$C$3),2)</f>
        <v>188.34</v>
      </c>
      <c r="L751" s="279">
        <f t="shared" ref="L751:L761" si="778">K751*G751</f>
        <v>0</v>
      </c>
      <c r="M751" s="279">
        <f t="shared" ref="M751:M761" si="779">J751*(1-$E$5-$E$7)*(1-$E$9)*(1+$E$11)</f>
        <v>154.37537965694</v>
      </c>
      <c r="N751" s="279">
        <f t="shared" ref="N751:N761" si="780">M751*G751</f>
        <v>0</v>
      </c>
      <c r="O751" s="332">
        <f t="shared" ref="O751:O761" si="781">ROUND((M751*$C$3),2)</f>
        <v>188.34</v>
      </c>
      <c r="P751" s="333">
        <f t="shared" ref="P751:P761" si="782">O751*G751</f>
        <v>0</v>
      </c>
      <c r="Q751" s="132"/>
      <c r="R751" s="222">
        <f t="shared" ref="R751:R761" si="783">ROUND(AK751,0)</f>
        <v>15067</v>
      </c>
      <c r="AK751" s="141">
        <f>K751*$AK$11*(1-$AK$10)</f>
        <v>15067.2</v>
      </c>
    </row>
    <row r="752" spans="1:37" outlineLevel="1">
      <c r="A752" s="36"/>
      <c r="B752" s="360" t="s">
        <v>30</v>
      </c>
      <c r="C752" s="327" t="s">
        <v>542</v>
      </c>
      <c r="D752" s="277">
        <v>12080311002</v>
      </c>
      <c r="E752" s="311">
        <v>12080313002</v>
      </c>
      <c r="F752" s="386" t="s">
        <v>624</v>
      </c>
      <c r="G752" s="361"/>
      <c r="H752" s="244" t="s">
        <v>65</v>
      </c>
      <c r="I752" s="244">
        <v>1</v>
      </c>
      <c r="J752" s="279">
        <v>182.34281874794999</v>
      </c>
      <c r="K752" s="279">
        <f t="shared" si="777"/>
        <v>222.46</v>
      </c>
      <c r="L752" s="279">
        <f t="shared" si="778"/>
        <v>0</v>
      </c>
      <c r="M752" s="279">
        <f t="shared" si="779"/>
        <v>182.34281874794999</v>
      </c>
      <c r="N752" s="279">
        <f t="shared" si="780"/>
        <v>0</v>
      </c>
      <c r="O752" s="332">
        <f t="shared" si="781"/>
        <v>222.46</v>
      </c>
      <c r="P752" s="333">
        <f t="shared" si="782"/>
        <v>0</v>
      </c>
      <c r="Q752" s="132"/>
      <c r="R752" s="222">
        <f t="shared" si="783"/>
        <v>17797</v>
      </c>
      <c r="AK752" s="141">
        <f t="shared" ref="AK752:AK761" si="784">K752*$AK$11*(1-$AK$10)</f>
        <v>17796.8</v>
      </c>
    </row>
    <row r="753" spans="1:38" outlineLevel="1">
      <c r="A753" s="36"/>
      <c r="B753" s="360" t="s">
        <v>30</v>
      </c>
      <c r="C753" s="327" t="s">
        <v>542</v>
      </c>
      <c r="D753" s="277">
        <v>12080411002</v>
      </c>
      <c r="E753" s="311">
        <v>12080413002</v>
      </c>
      <c r="F753" s="386" t="s">
        <v>625</v>
      </c>
      <c r="G753" s="361"/>
      <c r="H753" s="244" t="s">
        <v>65</v>
      </c>
      <c r="I753" s="244">
        <v>1</v>
      </c>
      <c r="J753" s="279">
        <v>212.31961960398701</v>
      </c>
      <c r="K753" s="279">
        <f t="shared" si="777"/>
        <v>259.02999999999997</v>
      </c>
      <c r="L753" s="279">
        <f t="shared" si="778"/>
        <v>0</v>
      </c>
      <c r="M753" s="279">
        <f t="shared" si="779"/>
        <v>212.31961960398701</v>
      </c>
      <c r="N753" s="279">
        <f t="shared" si="780"/>
        <v>0</v>
      </c>
      <c r="O753" s="332">
        <f t="shared" si="781"/>
        <v>259.02999999999997</v>
      </c>
      <c r="P753" s="333">
        <f t="shared" si="782"/>
        <v>0</v>
      </c>
      <c r="Q753" s="132"/>
      <c r="R753" s="222">
        <f t="shared" si="783"/>
        <v>20722</v>
      </c>
      <c r="AK753" s="141">
        <f t="shared" si="784"/>
        <v>20722.399999999998</v>
      </c>
    </row>
    <row r="754" spans="1:38" outlineLevel="1">
      <c r="A754" s="36"/>
      <c r="B754" s="360" t="s">
        <v>30</v>
      </c>
      <c r="C754" s="327" t="s">
        <v>542</v>
      </c>
      <c r="D754" s="277">
        <v>12080511002</v>
      </c>
      <c r="E754" s="311">
        <v>12080513002</v>
      </c>
      <c r="F754" s="386" t="s">
        <v>626</v>
      </c>
      <c r="G754" s="361"/>
      <c r="H754" s="244" t="s">
        <v>65</v>
      </c>
      <c r="I754" s="244">
        <v>1</v>
      </c>
      <c r="J754" s="279">
        <v>241.15537663639699</v>
      </c>
      <c r="K754" s="279">
        <f t="shared" si="777"/>
        <v>294.20999999999998</v>
      </c>
      <c r="L754" s="279">
        <f t="shared" si="778"/>
        <v>0</v>
      </c>
      <c r="M754" s="279">
        <f t="shared" si="779"/>
        <v>241.15537663639699</v>
      </c>
      <c r="N754" s="279">
        <f t="shared" si="780"/>
        <v>0</v>
      </c>
      <c r="O754" s="332">
        <f t="shared" si="781"/>
        <v>294.20999999999998</v>
      </c>
      <c r="P754" s="333">
        <f t="shared" si="782"/>
        <v>0</v>
      </c>
      <c r="Q754" s="132"/>
      <c r="R754" s="222">
        <f t="shared" si="783"/>
        <v>23537</v>
      </c>
      <c r="AK754" s="141">
        <f t="shared" si="784"/>
        <v>23536.799999999999</v>
      </c>
    </row>
    <row r="755" spans="1:38" outlineLevel="1">
      <c r="A755" s="36"/>
      <c r="B755" s="360" t="s">
        <v>30</v>
      </c>
      <c r="C755" s="327" t="s">
        <v>542</v>
      </c>
      <c r="D755" s="277">
        <v>12080611002</v>
      </c>
      <c r="E755" s="311">
        <v>12080613002</v>
      </c>
      <c r="F755" s="386" t="s">
        <v>627</v>
      </c>
      <c r="G755" s="361"/>
      <c r="H755" s="244" t="s">
        <v>65</v>
      </c>
      <c r="I755" s="244">
        <v>1</v>
      </c>
      <c r="J755" s="279">
        <v>269.47183951260001</v>
      </c>
      <c r="K755" s="279">
        <f t="shared" si="777"/>
        <v>328.76</v>
      </c>
      <c r="L755" s="279">
        <f t="shared" si="778"/>
        <v>0</v>
      </c>
      <c r="M755" s="279">
        <f t="shared" si="779"/>
        <v>269.47183951260001</v>
      </c>
      <c r="N755" s="279">
        <f t="shared" si="780"/>
        <v>0</v>
      </c>
      <c r="O755" s="332">
        <f t="shared" si="781"/>
        <v>328.76</v>
      </c>
      <c r="P755" s="333">
        <f t="shared" si="782"/>
        <v>0</v>
      </c>
      <c r="Q755" s="132"/>
      <c r="R755" s="222">
        <f t="shared" si="783"/>
        <v>26301</v>
      </c>
      <c r="AK755" s="141">
        <f t="shared" si="784"/>
        <v>26300.800000000003</v>
      </c>
    </row>
    <row r="756" spans="1:38" outlineLevel="1">
      <c r="A756" s="36"/>
      <c r="B756" s="360" t="s">
        <v>30</v>
      </c>
      <c r="C756" s="327" t="s">
        <v>542</v>
      </c>
      <c r="D756" s="277">
        <v>12080711002</v>
      </c>
      <c r="E756" s="311">
        <v>12080713002</v>
      </c>
      <c r="F756" s="386" t="s">
        <v>628</v>
      </c>
      <c r="G756" s="361"/>
      <c r="H756" s="244" t="s">
        <v>65</v>
      </c>
      <c r="I756" s="244">
        <v>1</v>
      </c>
      <c r="J756" s="279">
        <v>307.55134471704599</v>
      </c>
      <c r="K756" s="279">
        <f t="shared" si="777"/>
        <v>375.21</v>
      </c>
      <c r="L756" s="279">
        <f t="shared" si="778"/>
        <v>0</v>
      </c>
      <c r="M756" s="279">
        <f t="shared" si="779"/>
        <v>307.55134471704599</v>
      </c>
      <c r="N756" s="279">
        <f t="shared" si="780"/>
        <v>0</v>
      </c>
      <c r="O756" s="332">
        <f t="shared" si="781"/>
        <v>375.21</v>
      </c>
      <c r="P756" s="333">
        <f t="shared" si="782"/>
        <v>0</v>
      </c>
      <c r="Q756" s="132"/>
      <c r="R756" s="222">
        <f t="shared" si="783"/>
        <v>30017</v>
      </c>
      <c r="AK756" s="141">
        <f t="shared" si="784"/>
        <v>30016.800000000003</v>
      </c>
    </row>
    <row r="757" spans="1:38" outlineLevel="1">
      <c r="A757" s="36"/>
      <c r="B757" s="360" t="s">
        <v>30</v>
      </c>
      <c r="C757" s="327" t="s">
        <v>542</v>
      </c>
      <c r="D757" s="277">
        <v>12080811002</v>
      </c>
      <c r="E757" s="311">
        <v>12080813002</v>
      </c>
      <c r="F757" s="386" t="s">
        <v>629</v>
      </c>
      <c r="G757" s="361"/>
      <c r="H757" s="244" t="s">
        <v>65</v>
      </c>
      <c r="I757" s="244">
        <v>1</v>
      </c>
      <c r="J757" s="279">
        <v>333.37042792846802</v>
      </c>
      <c r="K757" s="279">
        <f t="shared" si="777"/>
        <v>406.71</v>
      </c>
      <c r="L757" s="279">
        <f t="shared" si="778"/>
        <v>0</v>
      </c>
      <c r="M757" s="279">
        <f t="shared" si="779"/>
        <v>333.37042792846802</v>
      </c>
      <c r="N757" s="279">
        <f t="shared" si="780"/>
        <v>0</v>
      </c>
      <c r="O757" s="332">
        <f t="shared" si="781"/>
        <v>406.71</v>
      </c>
      <c r="P757" s="333">
        <f t="shared" si="782"/>
        <v>0</v>
      </c>
      <c r="Q757" s="132"/>
      <c r="R757" s="222">
        <f t="shared" si="783"/>
        <v>32537</v>
      </c>
      <c r="AK757" s="141">
        <f t="shared" si="784"/>
        <v>32536.800000000003</v>
      </c>
    </row>
    <row r="758" spans="1:38" outlineLevel="1">
      <c r="A758" s="36"/>
      <c r="B758" s="360" t="s">
        <v>30</v>
      </c>
      <c r="C758" s="327" t="s">
        <v>542</v>
      </c>
      <c r="D758" s="277">
        <v>12080911002</v>
      </c>
      <c r="E758" s="311">
        <v>12080913002</v>
      </c>
      <c r="F758" s="386" t="s">
        <v>630</v>
      </c>
      <c r="G758" s="361"/>
      <c r="H758" s="244" t="s">
        <v>65</v>
      </c>
      <c r="I758" s="244">
        <v>1</v>
      </c>
      <c r="J758" s="279">
        <v>372.69696738774002</v>
      </c>
      <c r="K758" s="279">
        <f t="shared" si="777"/>
        <v>454.69</v>
      </c>
      <c r="L758" s="279">
        <f t="shared" si="778"/>
        <v>0</v>
      </c>
      <c r="M758" s="279">
        <f t="shared" si="779"/>
        <v>372.69696738774002</v>
      </c>
      <c r="N758" s="279">
        <f t="shared" si="780"/>
        <v>0</v>
      </c>
      <c r="O758" s="332">
        <f t="shared" si="781"/>
        <v>454.69</v>
      </c>
      <c r="P758" s="333">
        <f t="shared" si="782"/>
        <v>0</v>
      </c>
      <c r="Q758" s="132"/>
      <c r="R758" s="222">
        <f t="shared" si="783"/>
        <v>36375</v>
      </c>
      <c r="AK758" s="141">
        <f t="shared" si="784"/>
        <v>36375.200000000004</v>
      </c>
    </row>
    <row r="759" spans="1:38" outlineLevel="1">
      <c r="A759" s="36"/>
      <c r="B759" s="360" t="s">
        <v>30</v>
      </c>
      <c r="C759" s="327" t="s">
        <v>542</v>
      </c>
      <c r="D759" s="277">
        <v>12081011002</v>
      </c>
      <c r="E759" s="311">
        <v>12081013002</v>
      </c>
      <c r="F759" s="386" t="s">
        <v>631</v>
      </c>
      <c r="G759" s="361"/>
      <c r="H759" s="244" t="s">
        <v>65</v>
      </c>
      <c r="I759" s="244">
        <v>1</v>
      </c>
      <c r="J759" s="279">
        <v>398.126057030482</v>
      </c>
      <c r="K759" s="279">
        <f t="shared" si="777"/>
        <v>485.71</v>
      </c>
      <c r="L759" s="279">
        <f t="shared" si="778"/>
        <v>0</v>
      </c>
      <c r="M759" s="279">
        <f t="shared" si="779"/>
        <v>398.126057030482</v>
      </c>
      <c r="N759" s="279">
        <f t="shared" si="780"/>
        <v>0</v>
      </c>
      <c r="O759" s="332">
        <f t="shared" si="781"/>
        <v>485.71</v>
      </c>
      <c r="P759" s="333">
        <f t="shared" si="782"/>
        <v>0</v>
      </c>
      <c r="Q759" s="132"/>
      <c r="R759" s="222">
        <f t="shared" si="783"/>
        <v>38857</v>
      </c>
      <c r="AK759" s="141">
        <f t="shared" si="784"/>
        <v>38856.800000000003</v>
      </c>
    </row>
    <row r="760" spans="1:38" outlineLevel="1">
      <c r="A760" s="36"/>
      <c r="B760" s="360" t="s">
        <v>30</v>
      </c>
      <c r="C760" s="327" t="s">
        <v>542</v>
      </c>
      <c r="D760" s="277">
        <v>12081111002</v>
      </c>
      <c r="E760" s="311">
        <v>12081113002</v>
      </c>
      <c r="F760" s="386" t="s">
        <v>632</v>
      </c>
      <c r="G760" s="361"/>
      <c r="H760" s="244" t="s">
        <v>65</v>
      </c>
      <c r="I760" s="244">
        <v>1</v>
      </c>
      <c r="J760" s="279">
        <v>439.52350940002901</v>
      </c>
      <c r="K760" s="279">
        <f t="shared" si="777"/>
        <v>536.22</v>
      </c>
      <c r="L760" s="279">
        <f t="shared" si="778"/>
        <v>0</v>
      </c>
      <c r="M760" s="279">
        <f t="shared" si="779"/>
        <v>439.52350940002901</v>
      </c>
      <c r="N760" s="279">
        <f t="shared" si="780"/>
        <v>0</v>
      </c>
      <c r="O760" s="332">
        <f t="shared" si="781"/>
        <v>536.22</v>
      </c>
      <c r="P760" s="333">
        <f t="shared" si="782"/>
        <v>0</v>
      </c>
      <c r="Q760" s="132"/>
      <c r="R760" s="222">
        <f t="shared" si="783"/>
        <v>42898</v>
      </c>
      <c r="AK760" s="141">
        <f t="shared" si="784"/>
        <v>42897.600000000006</v>
      </c>
    </row>
    <row r="761" spans="1:38" outlineLevel="1">
      <c r="A761" s="36"/>
      <c r="B761" s="360" t="s">
        <v>30</v>
      </c>
      <c r="C761" s="327" t="s">
        <v>542</v>
      </c>
      <c r="D761" s="277">
        <v>12081211002</v>
      </c>
      <c r="E761" s="311">
        <v>12081213002</v>
      </c>
      <c r="F761" s="386" t="s">
        <v>633</v>
      </c>
      <c r="G761" s="361"/>
      <c r="H761" s="244" t="s">
        <v>65</v>
      </c>
      <c r="I761" s="244">
        <v>1</v>
      </c>
      <c r="J761" s="279">
        <v>470.38972173898401</v>
      </c>
      <c r="K761" s="279">
        <f t="shared" si="777"/>
        <v>573.88</v>
      </c>
      <c r="L761" s="279">
        <f t="shared" si="778"/>
        <v>0</v>
      </c>
      <c r="M761" s="279">
        <f t="shared" si="779"/>
        <v>470.38972173898401</v>
      </c>
      <c r="N761" s="279">
        <f t="shared" si="780"/>
        <v>0</v>
      </c>
      <c r="O761" s="332">
        <f t="shared" si="781"/>
        <v>573.88</v>
      </c>
      <c r="P761" s="333">
        <f t="shared" si="782"/>
        <v>0</v>
      </c>
      <c r="Q761" s="132"/>
      <c r="R761" s="222">
        <f t="shared" si="783"/>
        <v>45910</v>
      </c>
      <c r="AK761" s="141">
        <f t="shared" si="784"/>
        <v>45910.400000000001</v>
      </c>
    </row>
    <row r="762" spans="1:38" outlineLevel="1">
      <c r="A762" s="36"/>
      <c r="B762" s="360"/>
      <c r="C762" s="327"/>
      <c r="D762" s="311"/>
      <c r="E762" s="311"/>
      <c r="F762" s="386"/>
      <c r="G762" s="361"/>
      <c r="H762" s="244"/>
      <c r="I762" s="244"/>
      <c r="J762" s="279"/>
      <c r="K762" s="279"/>
      <c r="L762" s="279"/>
      <c r="M762" s="279"/>
      <c r="N762" s="279"/>
      <c r="O762" s="332"/>
      <c r="P762" s="333"/>
      <c r="Q762" s="132"/>
      <c r="R762" s="222"/>
      <c r="AK762" s="141" t="e">
        <f>#REF!*$AK$11*(1-$AK$10)</f>
        <v>#REF!</v>
      </c>
    </row>
    <row r="763" spans="1:38" outlineLevel="1">
      <c r="A763" s="36"/>
      <c r="B763" s="360" t="s">
        <v>397</v>
      </c>
      <c r="C763" s="327" t="s">
        <v>542</v>
      </c>
      <c r="D763" s="245"/>
      <c r="E763" s="311">
        <v>12180811001</v>
      </c>
      <c r="F763" s="386" t="s">
        <v>634</v>
      </c>
      <c r="G763" s="361"/>
      <c r="H763" s="244" t="s">
        <v>65</v>
      </c>
      <c r="I763" s="244">
        <v>1</v>
      </c>
      <c r="J763" s="279">
        <v>464.05</v>
      </c>
      <c r="K763" s="279">
        <f t="shared" si="765"/>
        <v>566.14</v>
      </c>
      <c r="L763" s="279">
        <f t="shared" ref="L763:L764" si="785">K763*G763</f>
        <v>0</v>
      </c>
      <c r="M763" s="279">
        <f t="shared" si="766"/>
        <v>464.05</v>
      </c>
      <c r="N763" s="279">
        <f t="shared" ref="N763:N764" si="786">M763*G763</f>
        <v>0</v>
      </c>
      <c r="O763" s="332">
        <f t="shared" si="767"/>
        <v>566.14</v>
      </c>
      <c r="P763" s="333">
        <f t="shared" ref="P763:P764" si="787">O763*G763</f>
        <v>0</v>
      </c>
      <c r="Q763" s="132"/>
      <c r="R763" s="222">
        <f t="shared" si="768"/>
        <v>45291</v>
      </c>
      <c r="AK763" s="141">
        <f>K763*$AK$11*(1-$AK$10)</f>
        <v>45291.200000000004</v>
      </c>
    </row>
    <row r="764" spans="1:38" outlineLevel="1">
      <c r="A764" s="36"/>
      <c r="B764" s="360" t="s">
        <v>397</v>
      </c>
      <c r="C764" s="327" t="s">
        <v>542</v>
      </c>
      <c r="D764" s="245"/>
      <c r="E764" s="311">
        <v>12180911001</v>
      </c>
      <c r="F764" s="386" t="s">
        <v>635</v>
      </c>
      <c r="G764" s="361"/>
      <c r="H764" s="244" t="s">
        <v>65</v>
      </c>
      <c r="I764" s="244">
        <v>1</v>
      </c>
      <c r="J764" s="279">
        <v>500.92</v>
      </c>
      <c r="K764" s="279">
        <f t="shared" si="765"/>
        <v>611.12</v>
      </c>
      <c r="L764" s="279">
        <f t="shared" si="785"/>
        <v>0</v>
      </c>
      <c r="M764" s="279">
        <f t="shared" si="766"/>
        <v>500.92</v>
      </c>
      <c r="N764" s="279">
        <f t="shared" si="786"/>
        <v>0</v>
      </c>
      <c r="O764" s="332">
        <f t="shared" si="767"/>
        <v>611.12</v>
      </c>
      <c r="P764" s="333">
        <f t="shared" si="787"/>
        <v>0</v>
      </c>
      <c r="Q764" s="132"/>
      <c r="R764" s="222">
        <f t="shared" si="768"/>
        <v>48890</v>
      </c>
      <c r="AK764" s="141">
        <f>K764*$AK$11*(1-$AK$10)</f>
        <v>48889.600000000006</v>
      </c>
    </row>
    <row r="765" spans="1:38" outlineLevel="1">
      <c r="A765" s="36"/>
      <c r="B765" s="360"/>
      <c r="C765" s="327"/>
      <c r="D765" s="245"/>
      <c r="E765" s="311"/>
      <c r="F765" s="386"/>
      <c r="G765" s="361"/>
      <c r="H765" s="244"/>
      <c r="I765" s="244"/>
      <c r="J765" s="279"/>
      <c r="K765" s="279"/>
      <c r="L765" s="279"/>
      <c r="M765" s="279"/>
      <c r="N765" s="279"/>
      <c r="O765" s="332"/>
      <c r="P765" s="333"/>
      <c r="Q765" s="132"/>
      <c r="R765" s="222"/>
      <c r="AK765" s="141"/>
    </row>
    <row r="766" spans="1:38" s="74" customFormat="1" ht="26.45" outlineLevel="1">
      <c r="A766" s="156"/>
      <c r="B766" s="356" t="s">
        <v>52</v>
      </c>
      <c r="C766" s="357" t="s">
        <v>542</v>
      </c>
      <c r="D766" s="358"/>
      <c r="E766" s="225">
        <v>12081221001</v>
      </c>
      <c r="F766" s="378" t="s">
        <v>636</v>
      </c>
      <c r="G766" s="228"/>
      <c r="H766" s="226" t="s">
        <v>65</v>
      </c>
      <c r="I766" s="226">
        <v>1</v>
      </c>
      <c r="J766" s="229">
        <v>54.11</v>
      </c>
      <c r="K766" s="229">
        <f t="shared" si="765"/>
        <v>66.010000000000005</v>
      </c>
      <c r="L766" s="229">
        <f t="shared" ref="L766:L769" si="788">K766*G766</f>
        <v>0</v>
      </c>
      <c r="M766" s="229">
        <f t="shared" si="766"/>
        <v>54.11</v>
      </c>
      <c r="N766" s="229">
        <f t="shared" ref="N766:N769" si="789">M766*G766</f>
        <v>0</v>
      </c>
      <c r="O766" s="230">
        <f t="shared" si="767"/>
        <v>66.010000000000005</v>
      </c>
      <c r="P766" s="230">
        <f t="shared" ref="P766:P769" si="790">O766*G766</f>
        <v>0</v>
      </c>
      <c r="Q766" s="132"/>
      <c r="R766" s="231">
        <f t="shared" si="768"/>
        <v>5281</v>
      </c>
      <c r="AK766" s="141">
        <f>K766*$AK$11*(1-$AK$10)</f>
        <v>5280.8000000000011</v>
      </c>
    </row>
    <row r="767" spans="1:38" s="74" customFormat="1" ht="30.6" outlineLevel="1">
      <c r="A767" s="148" t="s">
        <v>25</v>
      </c>
      <c r="B767" s="208" t="s">
        <v>26</v>
      </c>
      <c r="C767" s="351" t="s">
        <v>542</v>
      </c>
      <c r="D767" s="248"/>
      <c r="E767" s="188">
        <v>12460441001</v>
      </c>
      <c r="F767" s="258" t="s">
        <v>637</v>
      </c>
      <c r="G767" s="211"/>
      <c r="H767" s="248" t="s">
        <v>65</v>
      </c>
      <c r="I767" s="248">
        <v>10</v>
      </c>
      <c r="J767" s="212">
        <v>4.5699999999999994</v>
      </c>
      <c r="K767" s="212">
        <f t="shared" si="765"/>
        <v>5.58</v>
      </c>
      <c r="L767" s="212">
        <f t="shared" si="788"/>
        <v>0</v>
      </c>
      <c r="M767" s="212">
        <f t="shared" si="766"/>
        <v>4.5699999999999994</v>
      </c>
      <c r="N767" s="212">
        <f t="shared" si="789"/>
        <v>0</v>
      </c>
      <c r="O767" s="297">
        <f t="shared" si="767"/>
        <v>5.58</v>
      </c>
      <c r="P767" s="213">
        <f t="shared" si="790"/>
        <v>0</v>
      </c>
      <c r="Q767" s="132"/>
      <c r="R767" s="214">
        <f t="shared" si="768"/>
        <v>446</v>
      </c>
      <c r="AK767" s="141">
        <f>K767*$AK$11*(1-$AK$10)</f>
        <v>446.40000000000003</v>
      </c>
      <c r="AL767"/>
    </row>
    <row r="768" spans="1:38" outlineLevel="1">
      <c r="A768" s="36"/>
      <c r="B768" s="360" t="s">
        <v>30</v>
      </c>
      <c r="C768" s="327" t="s">
        <v>542</v>
      </c>
      <c r="D768" s="311">
        <v>12506071002</v>
      </c>
      <c r="E768" s="311">
        <v>12506073002</v>
      </c>
      <c r="F768" s="329" t="s">
        <v>638</v>
      </c>
      <c r="G768" s="361"/>
      <c r="H768" s="244" t="s">
        <v>65</v>
      </c>
      <c r="I768" s="244">
        <v>10</v>
      </c>
      <c r="J768" s="279">
        <v>7.29</v>
      </c>
      <c r="K768" s="279">
        <f t="shared" ref="K768:K769" si="791">ROUND((J768*$C$3),2)</f>
        <v>8.89</v>
      </c>
      <c r="L768" s="279">
        <f t="shared" si="788"/>
        <v>0</v>
      </c>
      <c r="M768" s="279">
        <f t="shared" ref="M768:M769" si="792">J768*(1-$E$5-$E$7)*(1-$E$9)*(1+$E$11)</f>
        <v>7.29</v>
      </c>
      <c r="N768" s="279">
        <f t="shared" si="789"/>
        <v>0</v>
      </c>
      <c r="O768" s="332">
        <f t="shared" ref="O768:O769" si="793">ROUND((M768*$C$3),2)</f>
        <v>8.89</v>
      </c>
      <c r="P768" s="333">
        <f t="shared" si="790"/>
        <v>0</v>
      </c>
      <c r="Q768" s="132"/>
      <c r="R768" s="222">
        <f t="shared" ref="R768:R769" si="794">ROUND(AK768,0)</f>
        <v>711</v>
      </c>
      <c r="AK768" s="141">
        <f>K768*$AK$11*(1-$AK$10)</f>
        <v>711.2</v>
      </c>
    </row>
    <row r="769" spans="1:37" outlineLevel="1">
      <c r="A769" s="36"/>
      <c r="B769" s="360" t="s">
        <v>30</v>
      </c>
      <c r="C769" s="327" t="s">
        <v>542</v>
      </c>
      <c r="D769" s="311">
        <v>12506171002</v>
      </c>
      <c r="E769" s="311">
        <v>12506173002</v>
      </c>
      <c r="F769" s="329" t="s">
        <v>639</v>
      </c>
      <c r="G769" s="361"/>
      <c r="H769" s="244" t="s">
        <v>65</v>
      </c>
      <c r="I769" s="244">
        <v>10</v>
      </c>
      <c r="J769" s="279">
        <v>7.29</v>
      </c>
      <c r="K769" s="279">
        <f t="shared" si="791"/>
        <v>8.89</v>
      </c>
      <c r="L769" s="279">
        <f t="shared" si="788"/>
        <v>0</v>
      </c>
      <c r="M769" s="279">
        <f t="shared" si="792"/>
        <v>7.29</v>
      </c>
      <c r="N769" s="279">
        <f t="shared" si="789"/>
        <v>0</v>
      </c>
      <c r="O769" s="332">
        <f t="shared" si="793"/>
        <v>8.89</v>
      </c>
      <c r="P769" s="333">
        <f t="shared" si="790"/>
        <v>0</v>
      </c>
      <c r="Q769" s="132"/>
      <c r="R769" s="222">
        <f t="shared" si="794"/>
        <v>711</v>
      </c>
      <c r="AK769" s="141">
        <f>K769*$AK$11*(1-$AK$10)</f>
        <v>711.2</v>
      </c>
    </row>
    <row r="770" spans="1:37" outlineLevel="1">
      <c r="A770" s="36"/>
      <c r="B770" s="296"/>
      <c r="C770" s="355"/>
      <c r="D770" s="387"/>
      <c r="E770" s="188"/>
      <c r="F770" s="388"/>
      <c r="G770" s="219"/>
      <c r="H770" s="387"/>
      <c r="I770" s="387"/>
      <c r="J770" s="212"/>
      <c r="K770" s="212"/>
      <c r="L770" s="212"/>
      <c r="M770" s="212"/>
      <c r="N770" s="212"/>
      <c r="O770" s="389"/>
      <c r="P770" s="213"/>
      <c r="Q770" s="132"/>
      <c r="R770" s="222"/>
      <c r="AK770" s="141"/>
    </row>
    <row r="771" spans="1:37" outlineLevel="1">
      <c r="A771" s="36"/>
      <c r="B771" s="343"/>
      <c r="C771" s="344" t="s">
        <v>542</v>
      </c>
      <c r="D771" s="350"/>
      <c r="E771" s="346"/>
      <c r="F771" s="347" t="s">
        <v>640</v>
      </c>
      <c r="G771" s="348"/>
      <c r="H771" s="348"/>
      <c r="I771" s="348"/>
      <c r="J771" s="325"/>
      <c r="K771" s="325"/>
      <c r="L771" s="325"/>
      <c r="M771" s="325"/>
      <c r="N771" s="325"/>
      <c r="O771" s="349"/>
      <c r="P771" s="237"/>
      <c r="Q771" s="132"/>
      <c r="R771" s="207"/>
      <c r="AK771" s="141"/>
    </row>
    <row r="772" spans="1:37" outlineLevel="1">
      <c r="A772" s="36"/>
      <c r="B772" s="360" t="s">
        <v>397</v>
      </c>
      <c r="C772" s="327" t="s">
        <v>542</v>
      </c>
      <c r="D772" s="244"/>
      <c r="E772" s="311">
        <v>13454101001</v>
      </c>
      <c r="F772" s="329" t="s">
        <v>443</v>
      </c>
      <c r="G772" s="361"/>
      <c r="H772" s="244" t="s">
        <v>65</v>
      </c>
      <c r="I772" s="244">
        <v>1</v>
      </c>
      <c r="J772" s="279">
        <v>205.4</v>
      </c>
      <c r="K772" s="279">
        <f t="shared" si="765"/>
        <v>250.59</v>
      </c>
      <c r="L772" s="279">
        <f t="shared" ref="L772:L776" si="795">K772*G772</f>
        <v>0</v>
      </c>
      <c r="M772" s="279">
        <f t="shared" si="766"/>
        <v>205.4</v>
      </c>
      <c r="N772" s="279">
        <f t="shared" ref="N772:N776" si="796">M772*G772</f>
        <v>0</v>
      </c>
      <c r="O772" s="332">
        <f t="shared" si="767"/>
        <v>250.59</v>
      </c>
      <c r="P772" s="333">
        <f t="shared" ref="P772:P776" si="797">O772*G772</f>
        <v>0</v>
      </c>
      <c r="Q772" s="132"/>
      <c r="R772" s="222">
        <f t="shared" si="768"/>
        <v>20047</v>
      </c>
      <c r="AK772" s="141">
        <f>K772*$AK$11*(1-$AK$10)</f>
        <v>20047.2</v>
      </c>
    </row>
    <row r="773" spans="1:37" outlineLevel="1">
      <c r="A773" s="36"/>
      <c r="B773" s="360" t="s">
        <v>397</v>
      </c>
      <c r="C773" s="327" t="s">
        <v>542</v>
      </c>
      <c r="D773" s="244"/>
      <c r="E773" s="311">
        <v>13454201001</v>
      </c>
      <c r="F773" s="329" t="s">
        <v>444</v>
      </c>
      <c r="G773" s="361"/>
      <c r="H773" s="244" t="s">
        <v>65</v>
      </c>
      <c r="I773" s="244">
        <v>1</v>
      </c>
      <c r="J773" s="279">
        <v>243.72</v>
      </c>
      <c r="K773" s="279">
        <f t="shared" si="765"/>
        <v>297.33999999999997</v>
      </c>
      <c r="L773" s="279">
        <f t="shared" si="795"/>
        <v>0</v>
      </c>
      <c r="M773" s="279">
        <f t="shared" si="766"/>
        <v>243.72</v>
      </c>
      <c r="N773" s="279">
        <f t="shared" si="796"/>
        <v>0</v>
      </c>
      <c r="O773" s="332">
        <f t="shared" si="767"/>
        <v>297.33999999999997</v>
      </c>
      <c r="P773" s="333">
        <f t="shared" si="797"/>
        <v>0</v>
      </c>
      <c r="Q773" s="132"/>
      <c r="R773" s="222">
        <f t="shared" si="768"/>
        <v>23787</v>
      </c>
      <c r="AK773" s="141">
        <f>K773*$AK$11*(1-$AK$10)</f>
        <v>23787.199999999997</v>
      </c>
    </row>
    <row r="774" spans="1:37" outlineLevel="1">
      <c r="A774" s="36"/>
      <c r="B774" s="360" t="s">
        <v>397</v>
      </c>
      <c r="C774" s="327" t="s">
        <v>542</v>
      </c>
      <c r="D774" s="244"/>
      <c r="E774" s="311">
        <v>13454301001</v>
      </c>
      <c r="F774" s="329" t="s">
        <v>445</v>
      </c>
      <c r="G774" s="361"/>
      <c r="H774" s="244" t="s">
        <v>65</v>
      </c>
      <c r="I774" s="244">
        <v>1</v>
      </c>
      <c r="J774" s="279">
        <v>278.47000000000003</v>
      </c>
      <c r="K774" s="279">
        <f t="shared" si="765"/>
        <v>339.73</v>
      </c>
      <c r="L774" s="279">
        <f t="shared" si="795"/>
        <v>0</v>
      </c>
      <c r="M774" s="279">
        <f t="shared" si="766"/>
        <v>278.47000000000003</v>
      </c>
      <c r="N774" s="279">
        <f t="shared" si="796"/>
        <v>0</v>
      </c>
      <c r="O774" s="332">
        <f t="shared" si="767"/>
        <v>339.73</v>
      </c>
      <c r="P774" s="333">
        <f t="shared" si="797"/>
        <v>0</v>
      </c>
      <c r="Q774" s="132"/>
      <c r="R774" s="222">
        <f t="shared" si="768"/>
        <v>27178</v>
      </c>
      <c r="AK774" s="141">
        <f>K774*$AK$11*(1-$AK$10)</f>
        <v>27178.400000000001</v>
      </c>
    </row>
    <row r="775" spans="1:37" outlineLevel="1">
      <c r="A775" s="36"/>
      <c r="B775" s="360" t="s">
        <v>397</v>
      </c>
      <c r="C775" s="327" t="s">
        <v>542</v>
      </c>
      <c r="D775" s="244"/>
      <c r="E775" s="311">
        <v>13454401001</v>
      </c>
      <c r="F775" s="329" t="s">
        <v>446</v>
      </c>
      <c r="G775" s="361"/>
      <c r="H775" s="244" t="s">
        <v>65</v>
      </c>
      <c r="I775" s="244">
        <v>1</v>
      </c>
      <c r="J775" s="279">
        <v>327.08</v>
      </c>
      <c r="K775" s="279">
        <f t="shared" si="765"/>
        <v>399.04</v>
      </c>
      <c r="L775" s="279">
        <f t="shared" si="795"/>
        <v>0</v>
      </c>
      <c r="M775" s="279">
        <f t="shared" si="766"/>
        <v>327.08</v>
      </c>
      <c r="N775" s="279">
        <f t="shared" si="796"/>
        <v>0</v>
      </c>
      <c r="O775" s="332">
        <f t="shared" si="767"/>
        <v>399.04</v>
      </c>
      <c r="P775" s="333">
        <f t="shared" si="797"/>
        <v>0</v>
      </c>
      <c r="Q775" s="132"/>
      <c r="R775" s="222">
        <f t="shared" si="768"/>
        <v>31923</v>
      </c>
      <c r="AK775" s="141">
        <f>K775*$AK$11*(1-$AK$10)</f>
        <v>31923.200000000001</v>
      </c>
    </row>
    <row r="776" spans="1:37" outlineLevel="1">
      <c r="A776" s="36"/>
      <c r="B776" s="360" t="s">
        <v>397</v>
      </c>
      <c r="C776" s="327" t="s">
        <v>542</v>
      </c>
      <c r="D776" s="244"/>
      <c r="E776" s="311">
        <v>13454501001</v>
      </c>
      <c r="F776" s="329" t="s">
        <v>447</v>
      </c>
      <c r="G776" s="361"/>
      <c r="H776" s="244" t="s">
        <v>65</v>
      </c>
      <c r="I776" s="244">
        <v>1</v>
      </c>
      <c r="J776" s="279">
        <v>360.07</v>
      </c>
      <c r="K776" s="279">
        <f t="shared" si="765"/>
        <v>439.29</v>
      </c>
      <c r="L776" s="279">
        <f t="shared" si="795"/>
        <v>0</v>
      </c>
      <c r="M776" s="279">
        <f t="shared" si="766"/>
        <v>360.07</v>
      </c>
      <c r="N776" s="279">
        <f t="shared" si="796"/>
        <v>0</v>
      </c>
      <c r="O776" s="332">
        <f t="shared" si="767"/>
        <v>439.29</v>
      </c>
      <c r="P776" s="333">
        <f t="shared" si="797"/>
        <v>0</v>
      </c>
      <c r="Q776" s="132"/>
      <c r="R776" s="222">
        <f t="shared" si="768"/>
        <v>35143</v>
      </c>
      <c r="AK776" s="141">
        <f>K776*$AK$11*(1-$AK$10)</f>
        <v>35143.200000000004</v>
      </c>
    </row>
    <row r="777" spans="1:37" outlineLevel="1">
      <c r="A777" s="36"/>
      <c r="B777" s="296"/>
      <c r="C777" s="355"/>
      <c r="D777" s="248"/>
      <c r="E777" s="188"/>
      <c r="F777" s="258"/>
      <c r="G777" s="219"/>
      <c r="H777" s="248"/>
      <c r="I777" s="248"/>
      <c r="J777" s="212"/>
      <c r="K777" s="212"/>
      <c r="L777" s="212"/>
      <c r="M777" s="212"/>
      <c r="N777" s="212"/>
      <c r="O777" s="297"/>
      <c r="P777" s="213"/>
      <c r="Q777" s="132"/>
      <c r="R777" s="222"/>
      <c r="AK777" s="141"/>
    </row>
    <row r="778" spans="1:37" outlineLevel="1">
      <c r="A778" s="36"/>
      <c r="B778" s="360" t="s">
        <v>397</v>
      </c>
      <c r="C778" s="327" t="s">
        <v>542</v>
      </c>
      <c r="D778" s="244"/>
      <c r="E778" s="311">
        <v>13474101001</v>
      </c>
      <c r="F778" s="329" t="s">
        <v>448</v>
      </c>
      <c r="G778" s="361"/>
      <c r="H778" s="244" t="s">
        <v>65</v>
      </c>
      <c r="I778" s="244">
        <v>1</v>
      </c>
      <c r="J778" s="279">
        <v>185.1</v>
      </c>
      <c r="K778" s="279">
        <f t="shared" si="765"/>
        <v>225.82</v>
      </c>
      <c r="L778" s="279">
        <f t="shared" ref="L778:L779" si="798">K778*G778</f>
        <v>0</v>
      </c>
      <c r="M778" s="279">
        <f t="shared" si="766"/>
        <v>185.1</v>
      </c>
      <c r="N778" s="279">
        <f t="shared" ref="N778:N779" si="799">M778*G778</f>
        <v>0</v>
      </c>
      <c r="O778" s="332">
        <f t="shared" si="767"/>
        <v>225.82</v>
      </c>
      <c r="P778" s="333">
        <f t="shared" ref="P778:P779" si="800">O778*G778</f>
        <v>0</v>
      </c>
      <c r="Q778" s="132"/>
      <c r="R778" s="222">
        <f t="shared" si="768"/>
        <v>18066</v>
      </c>
      <c r="AK778" s="141">
        <f>K778*$AK$11*(1-$AK$10)</f>
        <v>18065.600000000002</v>
      </c>
    </row>
    <row r="779" spans="1:37" outlineLevel="1">
      <c r="A779" s="36"/>
      <c r="B779" s="360" t="s">
        <v>397</v>
      </c>
      <c r="C779" s="327" t="s">
        <v>542</v>
      </c>
      <c r="D779" s="244"/>
      <c r="E779" s="311">
        <v>13474501001</v>
      </c>
      <c r="F779" s="329" t="s">
        <v>449</v>
      </c>
      <c r="G779" s="361"/>
      <c r="H779" s="244" t="s">
        <v>65</v>
      </c>
      <c r="I779" s="244">
        <v>1</v>
      </c>
      <c r="J779" s="279">
        <v>309.70999999999998</v>
      </c>
      <c r="K779" s="279">
        <f t="shared" ref="K779:K818" si="801">ROUND((J779*$C$3),2)</f>
        <v>377.85</v>
      </c>
      <c r="L779" s="279">
        <f t="shared" si="798"/>
        <v>0</v>
      </c>
      <c r="M779" s="279">
        <f t="shared" ref="M779:M818" si="802">J779*(1-$E$5-$E$7)*(1-$E$9)*(1+$E$11)</f>
        <v>309.70999999999998</v>
      </c>
      <c r="N779" s="279">
        <f t="shared" si="799"/>
        <v>0</v>
      </c>
      <c r="O779" s="332">
        <f t="shared" ref="O779:O818" si="803">ROUND((M779*$C$3),2)</f>
        <v>377.85</v>
      </c>
      <c r="P779" s="333">
        <f t="shared" si="800"/>
        <v>0</v>
      </c>
      <c r="Q779" s="132"/>
      <c r="R779" s="222">
        <f t="shared" ref="R779:R816" si="804">ROUND(AK779,0)</f>
        <v>30228</v>
      </c>
      <c r="AK779" s="141">
        <f>K779*$AK$11*(1-$AK$10)</f>
        <v>30228</v>
      </c>
    </row>
    <row r="780" spans="1:37" outlineLevel="1">
      <c r="A780" s="36"/>
      <c r="B780" s="296"/>
      <c r="C780" s="355"/>
      <c r="D780" s="248"/>
      <c r="E780" s="188"/>
      <c r="F780" s="258"/>
      <c r="G780" s="219"/>
      <c r="H780" s="248"/>
      <c r="I780" s="248"/>
      <c r="J780" s="212"/>
      <c r="K780" s="212"/>
      <c r="L780" s="212"/>
      <c r="M780" s="212"/>
      <c r="N780" s="212"/>
      <c r="O780" s="297"/>
      <c r="P780" s="213"/>
      <c r="Q780" s="132"/>
      <c r="R780" s="222"/>
      <c r="AK780" s="141"/>
    </row>
    <row r="781" spans="1:37" outlineLevel="1">
      <c r="A781" s="36"/>
      <c r="B781" s="360" t="s">
        <v>397</v>
      </c>
      <c r="C781" s="327" t="s">
        <v>542</v>
      </c>
      <c r="D781" s="244"/>
      <c r="E781" s="311">
        <v>13464101001</v>
      </c>
      <c r="F781" s="329" t="s">
        <v>450</v>
      </c>
      <c r="G781" s="361"/>
      <c r="H781" s="244" t="s">
        <v>65</v>
      </c>
      <c r="I781" s="244">
        <v>1</v>
      </c>
      <c r="J781" s="279">
        <v>208.59</v>
      </c>
      <c r="K781" s="279">
        <f t="shared" si="801"/>
        <v>254.48</v>
      </c>
      <c r="L781" s="279">
        <f>K781*G781</f>
        <v>0</v>
      </c>
      <c r="M781" s="279">
        <f t="shared" si="802"/>
        <v>208.59</v>
      </c>
      <c r="N781" s="279">
        <f>M781*G781</f>
        <v>0</v>
      </c>
      <c r="O781" s="332">
        <f t="shared" si="803"/>
        <v>254.48</v>
      </c>
      <c r="P781" s="333">
        <f>O781*G781</f>
        <v>0</v>
      </c>
      <c r="Q781" s="132"/>
      <c r="R781" s="222">
        <f t="shared" si="804"/>
        <v>20358</v>
      </c>
      <c r="AK781" s="141">
        <f>K781*$AK$11*(1-$AK$10)</f>
        <v>20358.400000000001</v>
      </c>
    </row>
    <row r="782" spans="1:37" outlineLevel="1">
      <c r="A782" s="36"/>
      <c r="B782" s="360" t="s">
        <v>397</v>
      </c>
      <c r="C782" s="327" t="s">
        <v>542</v>
      </c>
      <c r="D782" s="244"/>
      <c r="E782" s="311">
        <v>13464201001</v>
      </c>
      <c r="F782" s="329" t="s">
        <v>451</v>
      </c>
      <c r="G782" s="361"/>
      <c r="H782" s="244" t="s">
        <v>65</v>
      </c>
      <c r="I782" s="244">
        <v>1</v>
      </c>
      <c r="J782" s="279">
        <v>250.46</v>
      </c>
      <c r="K782" s="279">
        <f t="shared" si="801"/>
        <v>305.56</v>
      </c>
      <c r="L782" s="279">
        <f>K782*G782</f>
        <v>0</v>
      </c>
      <c r="M782" s="279">
        <f t="shared" si="802"/>
        <v>250.46</v>
      </c>
      <c r="N782" s="279">
        <f>M782*G782</f>
        <v>0</v>
      </c>
      <c r="O782" s="332">
        <f t="shared" si="803"/>
        <v>305.56</v>
      </c>
      <c r="P782" s="333">
        <f>O782*G782</f>
        <v>0</v>
      </c>
      <c r="Q782" s="132"/>
      <c r="R782" s="222">
        <f t="shared" si="804"/>
        <v>24445</v>
      </c>
      <c r="AK782" s="141">
        <f>K782*$AK$11*(1-$AK$10)</f>
        <v>24444.800000000003</v>
      </c>
    </row>
    <row r="783" spans="1:37" outlineLevel="1">
      <c r="A783" s="36"/>
      <c r="B783" s="360" t="s">
        <v>397</v>
      </c>
      <c r="C783" s="327" t="s">
        <v>542</v>
      </c>
      <c r="D783" s="244"/>
      <c r="E783" s="311">
        <v>13464301001</v>
      </c>
      <c r="F783" s="329" t="s">
        <v>452</v>
      </c>
      <c r="G783" s="361"/>
      <c r="H783" s="244" t="s">
        <v>65</v>
      </c>
      <c r="I783" s="244">
        <v>1</v>
      </c>
      <c r="J783" s="279">
        <v>283.10000000000002</v>
      </c>
      <c r="K783" s="279">
        <f t="shared" si="801"/>
        <v>345.38</v>
      </c>
      <c r="L783" s="279">
        <f>K783*G783</f>
        <v>0</v>
      </c>
      <c r="M783" s="279">
        <f t="shared" si="802"/>
        <v>283.10000000000002</v>
      </c>
      <c r="N783" s="279">
        <f>M783*G783</f>
        <v>0</v>
      </c>
      <c r="O783" s="332">
        <f t="shared" si="803"/>
        <v>345.38</v>
      </c>
      <c r="P783" s="333">
        <f>O783*G783</f>
        <v>0</v>
      </c>
      <c r="Q783" s="132"/>
      <c r="R783" s="222">
        <f t="shared" si="804"/>
        <v>27630</v>
      </c>
      <c r="AK783" s="141">
        <f>K783*$AK$11*(1-$AK$10)</f>
        <v>27630.400000000001</v>
      </c>
    </row>
    <row r="784" spans="1:37" outlineLevel="1">
      <c r="A784" s="36"/>
      <c r="B784" s="360" t="s">
        <v>397</v>
      </c>
      <c r="C784" s="327" t="s">
        <v>542</v>
      </c>
      <c r="D784" s="244"/>
      <c r="E784" s="311">
        <v>13464401001</v>
      </c>
      <c r="F784" s="329" t="s">
        <v>453</v>
      </c>
      <c r="G784" s="361"/>
      <c r="H784" s="244" t="s">
        <v>65</v>
      </c>
      <c r="I784" s="244">
        <v>1</v>
      </c>
      <c r="J784" s="279">
        <v>329.56</v>
      </c>
      <c r="K784" s="279">
        <f t="shared" si="801"/>
        <v>402.06</v>
      </c>
      <c r="L784" s="279">
        <f>K784*G784</f>
        <v>0</v>
      </c>
      <c r="M784" s="279">
        <f t="shared" si="802"/>
        <v>329.56</v>
      </c>
      <c r="N784" s="279">
        <f>M784*G784</f>
        <v>0</v>
      </c>
      <c r="O784" s="332">
        <f t="shared" si="803"/>
        <v>402.06</v>
      </c>
      <c r="P784" s="333">
        <f>O784*G784</f>
        <v>0</v>
      </c>
      <c r="Q784" s="132"/>
      <c r="R784" s="222">
        <f t="shared" si="804"/>
        <v>32165</v>
      </c>
      <c r="AK784" s="141">
        <f>K784*$AK$11*(1-$AK$10)</f>
        <v>32164.800000000003</v>
      </c>
    </row>
    <row r="785" spans="1:93" outlineLevel="1">
      <c r="A785" s="36"/>
      <c r="B785" s="296"/>
      <c r="C785" s="355"/>
      <c r="D785" s="248"/>
      <c r="E785" s="188"/>
      <c r="F785" s="258"/>
      <c r="G785" s="219"/>
      <c r="H785" s="248"/>
      <c r="I785" s="248"/>
      <c r="J785" s="212"/>
      <c r="K785" s="212"/>
      <c r="L785" s="212"/>
      <c r="M785" s="212"/>
      <c r="N785" s="212"/>
      <c r="O785" s="297"/>
      <c r="P785" s="213"/>
      <c r="Q785" s="132"/>
      <c r="R785" s="222"/>
      <c r="AK785" s="141"/>
    </row>
    <row r="786" spans="1:93">
      <c r="A786" s="36"/>
      <c r="B786" s="343"/>
      <c r="C786" s="344" t="s">
        <v>542</v>
      </c>
      <c r="D786" s="345"/>
      <c r="E786" s="346"/>
      <c r="F786" s="347" t="s">
        <v>641</v>
      </c>
      <c r="G786" s="348"/>
      <c r="H786" s="348"/>
      <c r="I786" s="348"/>
      <c r="J786" s="325"/>
      <c r="K786" s="325"/>
      <c r="L786" s="325"/>
      <c r="M786" s="325"/>
      <c r="N786" s="325"/>
      <c r="O786" s="349"/>
      <c r="P786" s="237"/>
      <c r="Q786" s="132"/>
      <c r="R786" s="207"/>
      <c r="AK786" s="141"/>
    </row>
    <row r="787" spans="1:93" outlineLevel="1">
      <c r="A787" s="36"/>
      <c r="B787" s="343"/>
      <c r="C787" s="344" t="s">
        <v>542</v>
      </c>
      <c r="D787" s="345"/>
      <c r="E787" s="346"/>
      <c r="F787" s="347" t="s">
        <v>642</v>
      </c>
      <c r="G787" s="348"/>
      <c r="H787" s="348"/>
      <c r="I787" s="348"/>
      <c r="J787" s="325"/>
      <c r="K787" s="325"/>
      <c r="L787" s="325"/>
      <c r="M787" s="325"/>
      <c r="N787" s="325"/>
      <c r="O787" s="349"/>
      <c r="P787" s="237"/>
      <c r="Q787" s="132"/>
      <c r="R787" s="207"/>
      <c r="AK787" s="141"/>
    </row>
    <row r="788" spans="1:93" s="81" customFormat="1" outlineLevel="1">
      <c r="A788" s="157"/>
      <c r="B788" s="343" t="s">
        <v>397</v>
      </c>
      <c r="C788" s="327" t="s">
        <v>542</v>
      </c>
      <c r="D788" s="329">
        <v>13280001001</v>
      </c>
      <c r="E788" s="313">
        <v>13280001003</v>
      </c>
      <c r="F788" s="329" t="s">
        <v>643</v>
      </c>
      <c r="G788" s="361"/>
      <c r="H788" s="245" t="s">
        <v>65</v>
      </c>
      <c r="I788" s="390">
        <v>1</v>
      </c>
      <c r="J788" s="391">
        <v>110.79</v>
      </c>
      <c r="K788" s="391">
        <f t="shared" ref="K788:K790" si="805">ROUND((J788*$C$3),2)</f>
        <v>135.16</v>
      </c>
      <c r="L788" s="392">
        <f t="shared" ref="L788:L790" si="806">K788*G788</f>
        <v>0</v>
      </c>
      <c r="M788" s="245">
        <f t="shared" ref="M788:M790" si="807">J788*(1-$E$5-$E$7)*(1-$E$9)*(1+$E$11)</f>
        <v>110.79</v>
      </c>
      <c r="N788" s="245">
        <f t="shared" ref="N788:N790" si="808">M788*G788</f>
        <v>0</v>
      </c>
      <c r="O788" s="332">
        <f t="shared" ref="O788:O790" si="809">ROUND((M788*$C$3),2)</f>
        <v>135.16</v>
      </c>
      <c r="P788" s="333">
        <f t="shared" ref="P788:P790" si="810">O788*G788</f>
        <v>0</v>
      </c>
      <c r="Q788" s="132"/>
      <c r="R788" s="222">
        <f t="shared" si="804"/>
        <v>10813</v>
      </c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141">
        <f>K788*$AK$11*(1-$AK$10)</f>
        <v>10812.800000000001</v>
      </c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  <c r="BA788" s="74"/>
      <c r="BB788" s="74"/>
      <c r="BC788" s="74"/>
      <c r="BD788" s="74"/>
      <c r="BE788" s="74"/>
      <c r="BF788" s="74"/>
      <c r="BG788" s="74"/>
      <c r="BH788" s="74"/>
      <c r="BI788" s="74"/>
      <c r="BJ788" s="74"/>
      <c r="BK788" s="74"/>
      <c r="BL788" s="74"/>
      <c r="BM788" s="74"/>
      <c r="BN788" s="74"/>
      <c r="BO788" s="74"/>
      <c r="BP788" s="74"/>
      <c r="BQ788" s="74"/>
      <c r="BR788" s="74"/>
      <c r="BS788" s="74"/>
      <c r="BT788" s="74"/>
      <c r="BU788" s="74"/>
      <c r="BV788" s="74"/>
      <c r="BW788" s="74"/>
      <c r="BX788" s="74"/>
      <c r="BY788" s="74"/>
      <c r="BZ788" s="74"/>
      <c r="CA788" s="74"/>
      <c r="CB788" s="74"/>
      <c r="CC788" s="74"/>
      <c r="CD788" s="74"/>
      <c r="CE788" s="74"/>
      <c r="CF788" s="74"/>
      <c r="CG788" s="74"/>
      <c r="CH788" s="74"/>
      <c r="CI788" s="74"/>
      <c r="CJ788" s="74"/>
      <c r="CK788" s="74"/>
      <c r="CL788" s="74"/>
      <c r="CM788" s="74"/>
      <c r="CN788" s="74"/>
      <c r="CO788" s="74"/>
    </row>
    <row r="789" spans="1:93" s="81" customFormat="1" outlineLevel="1">
      <c r="A789" s="157"/>
      <c r="B789" s="343" t="s">
        <v>397</v>
      </c>
      <c r="C789" s="327" t="s">
        <v>542</v>
      </c>
      <c r="D789" s="329">
        <v>13280041001</v>
      </c>
      <c r="E789" s="313">
        <v>13280041003</v>
      </c>
      <c r="F789" s="329" t="s">
        <v>644</v>
      </c>
      <c r="G789" s="361"/>
      <c r="H789" s="245" t="s">
        <v>65</v>
      </c>
      <c r="I789" s="390">
        <v>1</v>
      </c>
      <c r="J789" s="391">
        <v>121.87</v>
      </c>
      <c r="K789" s="391">
        <f t="shared" si="805"/>
        <v>148.68</v>
      </c>
      <c r="L789" s="392">
        <f t="shared" si="806"/>
        <v>0</v>
      </c>
      <c r="M789" s="245">
        <f t="shared" si="807"/>
        <v>121.87</v>
      </c>
      <c r="N789" s="245">
        <f t="shared" si="808"/>
        <v>0</v>
      </c>
      <c r="O789" s="332">
        <f t="shared" si="809"/>
        <v>148.68</v>
      </c>
      <c r="P789" s="333">
        <f t="shared" si="810"/>
        <v>0</v>
      </c>
      <c r="Q789" s="132"/>
      <c r="R789" s="222">
        <f t="shared" si="804"/>
        <v>11894</v>
      </c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141">
        <f>K789*$AK$11*(1-$AK$10)</f>
        <v>11894.400000000001</v>
      </c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  <c r="BA789" s="74"/>
      <c r="BB789" s="74"/>
      <c r="BC789" s="74"/>
      <c r="BD789" s="74"/>
      <c r="BE789" s="74"/>
      <c r="BF789" s="74"/>
      <c r="BG789" s="74"/>
      <c r="BH789" s="74"/>
      <c r="BI789" s="74"/>
      <c r="BJ789" s="74"/>
      <c r="BK789" s="74"/>
      <c r="BL789" s="74"/>
      <c r="BM789" s="74"/>
      <c r="BN789" s="74"/>
      <c r="BO789" s="74"/>
      <c r="BP789" s="74"/>
      <c r="BQ789" s="74"/>
      <c r="BR789" s="74"/>
      <c r="BS789" s="74"/>
      <c r="BT789" s="74"/>
      <c r="BU789" s="74"/>
      <c r="BV789" s="74"/>
      <c r="BW789" s="74"/>
      <c r="BX789" s="74"/>
      <c r="BY789" s="74"/>
      <c r="BZ789" s="74"/>
      <c r="CA789" s="74"/>
      <c r="CB789" s="74"/>
      <c r="CC789" s="74"/>
      <c r="CD789" s="74"/>
      <c r="CE789" s="74"/>
      <c r="CF789" s="74"/>
      <c r="CG789" s="74"/>
      <c r="CH789" s="74"/>
      <c r="CI789" s="74"/>
      <c r="CJ789" s="74"/>
      <c r="CK789" s="74"/>
      <c r="CL789" s="74"/>
      <c r="CM789" s="74"/>
      <c r="CN789" s="74"/>
      <c r="CO789" s="74"/>
    </row>
    <row r="790" spans="1:93" s="81" customFormat="1" outlineLevel="1">
      <c r="A790" s="157"/>
      <c r="B790" s="343" t="s">
        <v>397</v>
      </c>
      <c r="C790" s="327" t="s">
        <v>542</v>
      </c>
      <c r="D790" s="329">
        <v>13280051001</v>
      </c>
      <c r="E790" s="313">
        <v>13280051003</v>
      </c>
      <c r="F790" s="329" t="s">
        <v>645</v>
      </c>
      <c r="G790" s="361"/>
      <c r="H790" s="245" t="s">
        <v>65</v>
      </c>
      <c r="I790" s="390">
        <v>1</v>
      </c>
      <c r="J790" s="391">
        <v>121.87</v>
      </c>
      <c r="K790" s="391">
        <f t="shared" si="805"/>
        <v>148.68</v>
      </c>
      <c r="L790" s="392">
        <f t="shared" si="806"/>
        <v>0</v>
      </c>
      <c r="M790" s="245">
        <f t="shared" si="807"/>
        <v>121.87</v>
      </c>
      <c r="N790" s="245">
        <f t="shared" si="808"/>
        <v>0</v>
      </c>
      <c r="O790" s="332">
        <f t="shared" si="809"/>
        <v>148.68</v>
      </c>
      <c r="P790" s="333">
        <f t="shared" si="810"/>
        <v>0</v>
      </c>
      <c r="Q790" s="132"/>
      <c r="R790" s="222">
        <f t="shared" si="804"/>
        <v>11894</v>
      </c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141">
        <f>K790*$AK$11*(1-$AK$10)</f>
        <v>11894.400000000001</v>
      </c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74"/>
      <c r="BM790" s="74"/>
      <c r="BN790" s="74"/>
      <c r="BO790" s="74"/>
      <c r="BP790" s="74"/>
      <c r="BQ790" s="74"/>
      <c r="BR790" s="74"/>
      <c r="BS790" s="74"/>
      <c r="BT790" s="74"/>
      <c r="BU790" s="74"/>
      <c r="BV790" s="74"/>
      <c r="BW790" s="74"/>
      <c r="BX790" s="74"/>
      <c r="BY790" s="74"/>
      <c r="BZ790" s="74"/>
      <c r="CA790" s="74"/>
      <c r="CB790" s="74"/>
      <c r="CC790" s="74"/>
      <c r="CD790" s="74"/>
      <c r="CE790" s="74"/>
      <c r="CF790" s="74"/>
      <c r="CG790" s="74"/>
      <c r="CH790" s="74"/>
      <c r="CI790" s="74"/>
      <c r="CJ790" s="74"/>
      <c r="CK790" s="74"/>
      <c r="CL790" s="74"/>
      <c r="CM790" s="74"/>
      <c r="CN790" s="74"/>
      <c r="CO790" s="74"/>
    </row>
    <row r="791" spans="1:93" s="81" customFormat="1" outlineLevel="1">
      <c r="A791" s="157"/>
      <c r="B791" s="393"/>
      <c r="C791" s="394"/>
      <c r="D791" s="394"/>
      <c r="E791" s="394"/>
      <c r="F791" s="394"/>
      <c r="G791" s="228"/>
      <c r="H791" s="394"/>
      <c r="I791" s="395"/>
      <c r="J791" s="394"/>
      <c r="K791" s="394"/>
      <c r="L791" s="394"/>
      <c r="M791" s="394"/>
      <c r="N791" s="394"/>
      <c r="O791" s="359"/>
      <c r="P791" s="230"/>
      <c r="Q791" s="132"/>
      <c r="R791" s="222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141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  <c r="BA791" s="74"/>
      <c r="BB791" s="74"/>
      <c r="BC791" s="74"/>
      <c r="BD791" s="74"/>
      <c r="BE791" s="74"/>
      <c r="BF791" s="74"/>
      <c r="BG791" s="74"/>
      <c r="BH791" s="74"/>
      <c r="BI791" s="74"/>
      <c r="BJ791" s="74"/>
      <c r="BK791" s="74"/>
      <c r="BL791" s="74"/>
      <c r="BM791" s="74"/>
      <c r="BN791" s="74"/>
      <c r="BO791" s="74"/>
      <c r="BP791" s="74"/>
      <c r="BQ791" s="74"/>
      <c r="BR791" s="74"/>
      <c r="BS791" s="74"/>
      <c r="BT791" s="74"/>
      <c r="BU791" s="74"/>
      <c r="BV791" s="74"/>
      <c r="BW791" s="74"/>
      <c r="BX791" s="74"/>
      <c r="BY791" s="74"/>
      <c r="BZ791" s="74"/>
      <c r="CA791" s="74"/>
      <c r="CB791" s="74"/>
      <c r="CC791" s="74"/>
      <c r="CD791" s="74"/>
      <c r="CE791" s="74"/>
      <c r="CF791" s="74"/>
      <c r="CG791" s="74"/>
      <c r="CH791" s="74"/>
      <c r="CI791" s="74"/>
      <c r="CJ791" s="74"/>
      <c r="CK791" s="74"/>
      <c r="CL791" s="74"/>
      <c r="CM791" s="74"/>
      <c r="CN791" s="74"/>
      <c r="CO791" s="74"/>
    </row>
    <row r="792" spans="1:93" s="81" customFormat="1" outlineLevel="1">
      <c r="A792" s="157"/>
      <c r="B792" s="343" t="s">
        <v>397</v>
      </c>
      <c r="C792" s="327" t="s">
        <v>542</v>
      </c>
      <c r="D792" s="329"/>
      <c r="E792" s="313">
        <v>13280241001</v>
      </c>
      <c r="F792" s="329" t="s">
        <v>646</v>
      </c>
      <c r="G792" s="361"/>
      <c r="H792" s="245" t="s">
        <v>65</v>
      </c>
      <c r="I792" s="390">
        <v>1</v>
      </c>
      <c r="J792" s="391">
        <v>510.3</v>
      </c>
      <c r="K792" s="391">
        <f t="shared" ref="K792:K796" si="811">ROUND((J792*$C$3),2)</f>
        <v>622.57000000000005</v>
      </c>
      <c r="L792" s="392">
        <f t="shared" ref="L792:L796" si="812">K792*G792</f>
        <v>0</v>
      </c>
      <c r="M792" s="245">
        <f t="shared" ref="M792:M796" si="813">J792*(1-$E$5-$E$7)*(1-$E$9)*(1+$E$11)</f>
        <v>510.3</v>
      </c>
      <c r="N792" s="245">
        <f t="shared" ref="N792:N796" si="814">M792*G792</f>
        <v>0</v>
      </c>
      <c r="O792" s="332">
        <f t="shared" ref="O792:O796" si="815">ROUND((M792*$C$3),2)</f>
        <v>622.57000000000005</v>
      </c>
      <c r="P792" s="333">
        <f t="shared" ref="P792:P796" si="816">O792*G792</f>
        <v>0</v>
      </c>
      <c r="Q792" s="132"/>
      <c r="R792" s="222">
        <f t="shared" si="804"/>
        <v>49806</v>
      </c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141">
        <f>K792*$AK$11*(1-$AK$10)</f>
        <v>49805.600000000006</v>
      </c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  <c r="BA792" s="74"/>
      <c r="BB792" s="74"/>
      <c r="BC792" s="74"/>
      <c r="BD792" s="74"/>
      <c r="BE792" s="74"/>
      <c r="BF792" s="74"/>
      <c r="BG792" s="74"/>
      <c r="BH792" s="74"/>
      <c r="BI792" s="74"/>
      <c r="BJ792" s="74"/>
      <c r="BK792" s="74"/>
      <c r="BL792" s="74"/>
      <c r="BM792" s="74"/>
      <c r="BN792" s="74"/>
      <c r="BO792" s="74"/>
      <c r="BP792" s="74"/>
      <c r="BQ792" s="74"/>
      <c r="BR792" s="74"/>
      <c r="BS792" s="74"/>
      <c r="BT792" s="74"/>
      <c r="BU792" s="74"/>
      <c r="BV792" s="74"/>
      <c r="BW792" s="74"/>
      <c r="BX792" s="74"/>
      <c r="BY792" s="74"/>
      <c r="BZ792" s="74"/>
      <c r="CA792" s="74"/>
      <c r="CB792" s="74"/>
      <c r="CC792" s="74"/>
      <c r="CD792" s="74"/>
      <c r="CE792" s="74"/>
      <c r="CF792" s="74"/>
      <c r="CG792" s="74"/>
      <c r="CH792" s="74"/>
      <c r="CI792" s="74"/>
      <c r="CJ792" s="74"/>
      <c r="CK792" s="74"/>
      <c r="CL792" s="74"/>
      <c r="CM792" s="74"/>
      <c r="CN792" s="74"/>
      <c r="CO792" s="74"/>
    </row>
    <row r="793" spans="1:93" s="81" customFormat="1" outlineLevel="1">
      <c r="A793" s="157"/>
      <c r="B793" s="343" t="s">
        <v>397</v>
      </c>
      <c r="C793" s="327" t="s">
        <v>542</v>
      </c>
      <c r="D793" s="329">
        <v>13280201001</v>
      </c>
      <c r="E793" s="313">
        <v>13709711001</v>
      </c>
      <c r="F793" s="329" t="s">
        <v>647</v>
      </c>
      <c r="G793" s="361"/>
      <c r="H793" s="245" t="s">
        <v>65</v>
      </c>
      <c r="I793" s="390">
        <v>1</v>
      </c>
      <c r="J793" s="391">
        <v>201.83</v>
      </c>
      <c r="K793" s="391">
        <f t="shared" ref="K793:K794" si="817">ROUND((J793*$C$3),2)</f>
        <v>246.23</v>
      </c>
      <c r="L793" s="392">
        <f t="shared" si="812"/>
        <v>0</v>
      </c>
      <c r="M793" s="245">
        <f t="shared" ref="M793:M794" si="818">J793*(1-$E$5-$E$7)*(1-$E$9)*(1+$E$11)</f>
        <v>201.83</v>
      </c>
      <c r="N793" s="245">
        <f t="shared" si="814"/>
        <v>0</v>
      </c>
      <c r="O793" s="332">
        <f t="shared" ref="O793:O794" si="819">ROUND((M793*$C$3),2)</f>
        <v>246.23</v>
      </c>
      <c r="P793" s="333">
        <f t="shared" si="816"/>
        <v>0</v>
      </c>
      <c r="Q793" s="132"/>
      <c r="R793" s="222">
        <f t="shared" si="804"/>
        <v>19698</v>
      </c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141">
        <f>K793*$AK$11*(1-$AK$10)</f>
        <v>19698.400000000001</v>
      </c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  <c r="BA793" s="74"/>
      <c r="BB793" s="74"/>
      <c r="BC793" s="74"/>
      <c r="BD793" s="74"/>
      <c r="BE793" s="74"/>
      <c r="BF793" s="74"/>
      <c r="BG793" s="74"/>
      <c r="BH793" s="74"/>
      <c r="BI793" s="74"/>
      <c r="BJ793" s="74"/>
      <c r="BK793" s="74"/>
      <c r="BL793" s="74"/>
      <c r="BM793" s="74"/>
      <c r="BN793" s="74"/>
      <c r="BO793" s="74"/>
      <c r="BP793" s="74"/>
      <c r="BQ793" s="74"/>
      <c r="BR793" s="74"/>
      <c r="BS793" s="74"/>
      <c r="BT793" s="74"/>
      <c r="BU793" s="74"/>
      <c r="BV793" s="74"/>
      <c r="BW793" s="74"/>
      <c r="BX793" s="74"/>
      <c r="BY793" s="74"/>
      <c r="BZ793" s="74"/>
      <c r="CA793" s="74"/>
      <c r="CB793" s="74"/>
      <c r="CC793" s="74"/>
      <c r="CD793" s="74"/>
      <c r="CE793" s="74"/>
      <c r="CF793" s="74"/>
      <c r="CG793" s="74"/>
      <c r="CH793" s="74"/>
      <c r="CI793" s="74"/>
      <c r="CJ793" s="74"/>
      <c r="CK793" s="74"/>
      <c r="CL793" s="74"/>
      <c r="CM793" s="74"/>
      <c r="CN793" s="74"/>
      <c r="CO793" s="74"/>
    </row>
    <row r="794" spans="1:93" s="81" customFormat="1" outlineLevel="1">
      <c r="A794" s="157"/>
      <c r="B794" s="343" t="s">
        <v>397</v>
      </c>
      <c r="C794" s="327" t="s">
        <v>542</v>
      </c>
      <c r="D794" s="329">
        <v>13280221001</v>
      </c>
      <c r="E794" s="313">
        <v>13709731001</v>
      </c>
      <c r="F794" s="329" t="s">
        <v>648</v>
      </c>
      <c r="G794" s="361"/>
      <c r="H794" s="245" t="s">
        <v>65</v>
      </c>
      <c r="I794" s="390">
        <v>1</v>
      </c>
      <c r="J794" s="391">
        <v>201.83</v>
      </c>
      <c r="K794" s="391">
        <f t="shared" si="817"/>
        <v>246.23</v>
      </c>
      <c r="L794" s="392">
        <f t="shared" si="812"/>
        <v>0</v>
      </c>
      <c r="M794" s="245">
        <f t="shared" si="818"/>
        <v>201.83</v>
      </c>
      <c r="N794" s="245">
        <f t="shared" si="814"/>
        <v>0</v>
      </c>
      <c r="O794" s="332">
        <f t="shared" si="819"/>
        <v>246.23</v>
      </c>
      <c r="P794" s="333">
        <f t="shared" si="816"/>
        <v>0</v>
      </c>
      <c r="Q794" s="132"/>
      <c r="R794" s="222">
        <f t="shared" si="804"/>
        <v>19698</v>
      </c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141">
        <f>K794*$AK$11*(1-$AK$10)</f>
        <v>19698.400000000001</v>
      </c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  <c r="BA794" s="74"/>
      <c r="BB794" s="74"/>
      <c r="BC794" s="74"/>
      <c r="BD794" s="74"/>
      <c r="BE794" s="74"/>
      <c r="BF794" s="74"/>
      <c r="BG794" s="74"/>
      <c r="BH794" s="74"/>
      <c r="BI794" s="74"/>
      <c r="BJ794" s="74"/>
      <c r="BK794" s="74"/>
      <c r="BL794" s="74"/>
      <c r="BM794" s="74"/>
      <c r="BN794" s="74"/>
      <c r="BO794" s="74"/>
      <c r="BP794" s="74"/>
      <c r="BQ794" s="74"/>
      <c r="BR794" s="74"/>
      <c r="BS794" s="74"/>
      <c r="BT794" s="74"/>
      <c r="BU794" s="74"/>
      <c r="BV794" s="74"/>
      <c r="BW794" s="74"/>
      <c r="BX794" s="74"/>
      <c r="BY794" s="74"/>
      <c r="BZ794" s="74"/>
      <c r="CA794" s="74"/>
      <c r="CB794" s="74"/>
      <c r="CC794" s="74"/>
      <c r="CD794" s="74"/>
      <c r="CE794" s="74"/>
      <c r="CF794" s="74"/>
      <c r="CG794" s="74"/>
      <c r="CH794" s="74"/>
      <c r="CI794" s="74"/>
      <c r="CJ794" s="74"/>
      <c r="CK794" s="74"/>
      <c r="CL794" s="74"/>
      <c r="CM794" s="74"/>
      <c r="CN794" s="74"/>
      <c r="CO794" s="74"/>
    </row>
    <row r="795" spans="1:93" s="81" customFormat="1" outlineLevel="1">
      <c r="A795" s="157"/>
      <c r="B795" s="343" t="s">
        <v>397</v>
      </c>
      <c r="C795" s="327" t="s">
        <v>542</v>
      </c>
      <c r="D795" s="311"/>
      <c r="E795" s="311">
        <v>13280341001</v>
      </c>
      <c r="F795" s="329" t="s">
        <v>649</v>
      </c>
      <c r="G795" s="361"/>
      <c r="H795" s="245" t="s">
        <v>65</v>
      </c>
      <c r="I795" s="390">
        <v>1</v>
      </c>
      <c r="J795" s="391">
        <v>90.4</v>
      </c>
      <c r="K795" s="391">
        <f t="shared" si="811"/>
        <v>110.29</v>
      </c>
      <c r="L795" s="392">
        <f t="shared" si="812"/>
        <v>0</v>
      </c>
      <c r="M795" s="245">
        <f t="shared" si="813"/>
        <v>90.4</v>
      </c>
      <c r="N795" s="245">
        <f t="shared" si="814"/>
        <v>0</v>
      </c>
      <c r="O795" s="332">
        <f t="shared" si="815"/>
        <v>110.29</v>
      </c>
      <c r="P795" s="333">
        <f t="shared" si="816"/>
        <v>0</v>
      </c>
      <c r="Q795" s="132"/>
      <c r="R795" s="222">
        <f t="shared" si="804"/>
        <v>8823</v>
      </c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141">
        <f>K795*$AK$11*(1-$AK$10)</f>
        <v>8823.2000000000007</v>
      </c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74"/>
      <c r="BM795" s="74"/>
      <c r="BN795" s="74"/>
      <c r="BO795" s="74"/>
      <c r="BP795" s="74"/>
      <c r="BQ795" s="74"/>
      <c r="BR795" s="74"/>
      <c r="BS795" s="74"/>
      <c r="BT795" s="74"/>
      <c r="BU795" s="74"/>
      <c r="BV795" s="74"/>
      <c r="BW795" s="74"/>
      <c r="BX795" s="74"/>
      <c r="BY795" s="74"/>
      <c r="BZ795" s="74"/>
      <c r="CA795" s="74"/>
      <c r="CB795" s="74"/>
      <c r="CC795" s="74"/>
      <c r="CD795" s="74"/>
      <c r="CE795" s="74"/>
      <c r="CF795" s="74"/>
      <c r="CG795" s="74"/>
      <c r="CH795" s="74"/>
      <c r="CI795" s="74"/>
      <c r="CJ795" s="74"/>
      <c r="CK795" s="74"/>
      <c r="CL795" s="74"/>
      <c r="CM795" s="74"/>
      <c r="CN795" s="74"/>
      <c r="CO795" s="74"/>
    </row>
    <row r="796" spans="1:93" s="81" customFormat="1" outlineLevel="1">
      <c r="A796" s="157"/>
      <c r="B796" s="343" t="s">
        <v>397</v>
      </c>
      <c r="C796" s="327" t="s">
        <v>542</v>
      </c>
      <c r="D796" s="244"/>
      <c r="E796" s="311">
        <v>13280391001</v>
      </c>
      <c r="F796" s="329" t="s">
        <v>650</v>
      </c>
      <c r="G796" s="361"/>
      <c r="H796" s="245" t="s">
        <v>65</v>
      </c>
      <c r="I796" s="390">
        <v>1</v>
      </c>
      <c r="J796" s="391">
        <v>22.57</v>
      </c>
      <c r="K796" s="391">
        <f t="shared" si="811"/>
        <v>27.54</v>
      </c>
      <c r="L796" s="392">
        <f t="shared" si="812"/>
        <v>0</v>
      </c>
      <c r="M796" s="245">
        <f t="shared" si="813"/>
        <v>22.57</v>
      </c>
      <c r="N796" s="245">
        <f t="shared" si="814"/>
        <v>0</v>
      </c>
      <c r="O796" s="332">
        <f t="shared" si="815"/>
        <v>27.54</v>
      </c>
      <c r="P796" s="333">
        <f t="shared" si="816"/>
        <v>0</v>
      </c>
      <c r="Q796" s="132"/>
      <c r="R796" s="222">
        <f t="shared" si="804"/>
        <v>2203</v>
      </c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141">
        <f>K796*$AK$11*(1-$AK$10)</f>
        <v>2203.2000000000003</v>
      </c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  <c r="BA796" s="74"/>
      <c r="BB796" s="74"/>
      <c r="BC796" s="74"/>
      <c r="BD796" s="74"/>
      <c r="BE796" s="74"/>
      <c r="BF796" s="74"/>
      <c r="BG796" s="74"/>
      <c r="BH796" s="74"/>
      <c r="BI796" s="74"/>
      <c r="BJ796" s="74"/>
      <c r="BK796" s="74"/>
      <c r="BL796" s="74"/>
      <c r="BM796" s="74"/>
      <c r="BN796" s="74"/>
      <c r="BO796" s="74"/>
      <c r="BP796" s="74"/>
      <c r="BQ796" s="74"/>
      <c r="BR796" s="74"/>
      <c r="BS796" s="74"/>
      <c r="BT796" s="74"/>
      <c r="BU796" s="74"/>
      <c r="BV796" s="74"/>
      <c r="BW796" s="74"/>
      <c r="BX796" s="74"/>
      <c r="BY796" s="74"/>
      <c r="BZ796" s="74"/>
      <c r="CA796" s="74"/>
      <c r="CB796" s="74"/>
      <c r="CC796" s="74"/>
      <c r="CD796" s="74"/>
      <c r="CE796" s="74"/>
      <c r="CF796" s="74"/>
      <c r="CG796" s="74"/>
      <c r="CH796" s="74"/>
      <c r="CI796" s="74"/>
      <c r="CJ796" s="74"/>
      <c r="CK796" s="74"/>
      <c r="CL796" s="74"/>
      <c r="CM796" s="74"/>
      <c r="CN796" s="74"/>
      <c r="CO796" s="74"/>
    </row>
    <row r="797" spans="1:93" s="92" customFormat="1" outlineLevel="1">
      <c r="A797" s="155"/>
      <c r="B797" s="334"/>
      <c r="C797" s="335"/>
      <c r="D797" s="396"/>
      <c r="E797" s="337"/>
      <c r="F797" s="338"/>
      <c r="G797" s="397"/>
      <c r="H797" s="340"/>
      <c r="I797" s="340"/>
      <c r="J797" s="341"/>
      <c r="K797" s="341"/>
      <c r="L797" s="341"/>
      <c r="M797" s="341"/>
      <c r="N797" s="341"/>
      <c r="O797" s="333"/>
      <c r="P797" s="333"/>
      <c r="Q797" s="132"/>
      <c r="R797" s="222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 s="141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</row>
    <row r="798" spans="1:93" outlineLevel="1">
      <c r="A798" s="36"/>
      <c r="B798" s="343" t="s">
        <v>397</v>
      </c>
      <c r="C798" s="327" t="s">
        <v>542</v>
      </c>
      <c r="D798" s="244"/>
      <c r="E798" s="311">
        <v>13360241001</v>
      </c>
      <c r="F798" s="329" t="s">
        <v>651</v>
      </c>
      <c r="G798" s="361"/>
      <c r="H798" s="244" t="s">
        <v>65</v>
      </c>
      <c r="I798" s="244">
        <v>1</v>
      </c>
      <c r="J798" s="279">
        <v>65.64</v>
      </c>
      <c r="K798" s="279">
        <f t="shared" si="801"/>
        <v>80.08</v>
      </c>
      <c r="L798" s="279">
        <f t="shared" ref="L798:L800" si="820">K798*G798</f>
        <v>0</v>
      </c>
      <c r="M798" s="279">
        <f t="shared" si="802"/>
        <v>65.64</v>
      </c>
      <c r="N798" s="279">
        <f t="shared" ref="N798:N800" si="821">M798*G798</f>
        <v>0</v>
      </c>
      <c r="O798" s="332">
        <f t="shared" si="803"/>
        <v>80.08</v>
      </c>
      <c r="P798" s="333">
        <f t="shared" ref="P798:P800" si="822">O798*G798</f>
        <v>0</v>
      </c>
      <c r="Q798" s="132"/>
      <c r="R798" s="222">
        <f t="shared" si="804"/>
        <v>6406</v>
      </c>
      <c r="AK798" s="141">
        <f>K798*$AK$11*(1-$AK$10)</f>
        <v>6406.4000000000005</v>
      </c>
    </row>
    <row r="799" spans="1:93" outlineLevel="1">
      <c r="A799" s="36"/>
      <c r="B799" s="343" t="s">
        <v>397</v>
      </c>
      <c r="C799" s="327" t="s">
        <v>542</v>
      </c>
      <c r="D799" s="244"/>
      <c r="E799" s="311">
        <v>13370241001</v>
      </c>
      <c r="F799" s="329" t="s">
        <v>652</v>
      </c>
      <c r="G799" s="361"/>
      <c r="H799" s="244" t="s">
        <v>65</v>
      </c>
      <c r="I799" s="244">
        <v>1</v>
      </c>
      <c r="J799" s="279">
        <v>73.680000000000007</v>
      </c>
      <c r="K799" s="279">
        <f t="shared" si="801"/>
        <v>89.89</v>
      </c>
      <c r="L799" s="279">
        <f t="shared" si="820"/>
        <v>0</v>
      </c>
      <c r="M799" s="279">
        <f t="shared" si="802"/>
        <v>73.680000000000007</v>
      </c>
      <c r="N799" s="279">
        <f t="shared" si="821"/>
        <v>0</v>
      </c>
      <c r="O799" s="332">
        <f t="shared" si="803"/>
        <v>89.89</v>
      </c>
      <c r="P799" s="333">
        <f t="shared" si="822"/>
        <v>0</v>
      </c>
      <c r="Q799" s="132"/>
      <c r="R799" s="222">
        <f t="shared" si="804"/>
        <v>7191</v>
      </c>
      <c r="AK799" s="141">
        <f>K799*$AK$11*(1-$AK$10)</f>
        <v>7191.2000000000007</v>
      </c>
    </row>
    <row r="800" spans="1:93" outlineLevel="1">
      <c r="A800" s="36"/>
      <c r="B800" s="343" t="s">
        <v>397</v>
      </c>
      <c r="C800" s="327" t="s">
        <v>542</v>
      </c>
      <c r="D800" s="244"/>
      <c r="E800" s="311">
        <v>13382301001</v>
      </c>
      <c r="F800" s="329" t="s">
        <v>653</v>
      </c>
      <c r="G800" s="361"/>
      <c r="H800" s="244" t="s">
        <v>65</v>
      </c>
      <c r="I800" s="244">
        <v>1</v>
      </c>
      <c r="J800" s="279">
        <v>102.05</v>
      </c>
      <c r="K800" s="279">
        <f t="shared" si="801"/>
        <v>124.5</v>
      </c>
      <c r="L800" s="279">
        <f t="shared" si="820"/>
        <v>0</v>
      </c>
      <c r="M800" s="279">
        <f t="shared" si="802"/>
        <v>102.05</v>
      </c>
      <c r="N800" s="279">
        <f t="shared" si="821"/>
        <v>0</v>
      </c>
      <c r="O800" s="332">
        <f t="shared" si="803"/>
        <v>124.5</v>
      </c>
      <c r="P800" s="333">
        <f t="shared" si="822"/>
        <v>0</v>
      </c>
      <c r="Q800" s="132"/>
      <c r="R800" s="222">
        <f t="shared" si="804"/>
        <v>9960</v>
      </c>
      <c r="AK800" s="141">
        <f>K800*$AK$11*(1-$AK$10)</f>
        <v>9960</v>
      </c>
    </row>
    <row r="801" spans="1:38" s="74" customFormat="1" outlineLevel="1">
      <c r="A801" s="156"/>
      <c r="B801" s="398"/>
      <c r="C801" s="357"/>
      <c r="D801" s="358"/>
      <c r="E801" s="225"/>
      <c r="F801" s="378"/>
      <c r="G801" s="228"/>
      <c r="H801" s="358"/>
      <c r="I801" s="358"/>
      <c r="J801" s="229"/>
      <c r="K801" s="229"/>
      <c r="L801" s="229"/>
      <c r="M801" s="229"/>
      <c r="N801" s="229"/>
      <c r="O801" s="359"/>
      <c r="P801" s="230"/>
      <c r="Q801" s="132"/>
      <c r="R801" s="231"/>
      <c r="AK801" s="141"/>
      <c r="AL801"/>
    </row>
    <row r="802" spans="1:38" s="74" customFormat="1" outlineLevel="1">
      <c r="A802" s="156"/>
      <c r="B802" s="360" t="s">
        <v>30</v>
      </c>
      <c r="C802" s="327" t="s">
        <v>542</v>
      </c>
      <c r="D802" s="358"/>
      <c r="E802" s="311">
        <v>13370243001</v>
      </c>
      <c r="F802" s="399" t="s">
        <v>654</v>
      </c>
      <c r="G802" s="228"/>
      <c r="H802" s="244" t="s">
        <v>65</v>
      </c>
      <c r="I802" s="244">
        <v>1</v>
      </c>
      <c r="J802" s="279">
        <v>52.51</v>
      </c>
      <c r="K802" s="279">
        <f t="shared" si="801"/>
        <v>64.06</v>
      </c>
      <c r="L802" s="229">
        <f t="shared" ref="L802:L807" si="823">K802*G802</f>
        <v>0</v>
      </c>
      <c r="M802" s="229">
        <f>J802*(1-$E$5-$E$7)*(1-$E$9)*(1+$E$11)</f>
        <v>52.51</v>
      </c>
      <c r="N802" s="279">
        <f t="shared" ref="N802:N807" si="824">M802*G802</f>
        <v>0</v>
      </c>
      <c r="O802" s="332">
        <f t="shared" ref="O802" si="825">ROUND((M802*$C$3),2)</f>
        <v>64.06</v>
      </c>
      <c r="P802" s="333">
        <f t="shared" ref="P802:P807" si="826">O802*G802</f>
        <v>0</v>
      </c>
      <c r="Q802" s="132"/>
      <c r="R802" s="222">
        <f t="shared" ref="R802:R805" si="827">ROUND(AK802,0)</f>
        <v>5125</v>
      </c>
      <c r="AK802" s="141">
        <f t="shared" ref="AK802:AK807" si="828">K802*$AK$11*(1-$AK$10)</f>
        <v>5124.8</v>
      </c>
      <c r="AL802"/>
    </row>
    <row r="803" spans="1:38" s="74" customFormat="1" outlineLevel="1">
      <c r="A803" s="156"/>
      <c r="B803" s="360" t="s">
        <v>30</v>
      </c>
      <c r="C803" s="327" t="s">
        <v>542</v>
      </c>
      <c r="D803" s="358"/>
      <c r="E803" s="311">
        <v>13360243001</v>
      </c>
      <c r="F803" s="399" t="s">
        <v>655</v>
      </c>
      <c r="G803" s="228"/>
      <c r="H803" s="244" t="s">
        <v>65</v>
      </c>
      <c r="I803" s="244">
        <v>1</v>
      </c>
      <c r="J803" s="279">
        <v>52.51</v>
      </c>
      <c r="K803" s="279">
        <f t="shared" si="801"/>
        <v>64.06</v>
      </c>
      <c r="L803" s="229">
        <f t="shared" si="823"/>
        <v>0</v>
      </c>
      <c r="M803" s="229">
        <f t="shared" ref="M803:M805" si="829">J803*(1-$E$5-$E$7)*(1-$E$9)*(1+$E$11)</f>
        <v>52.51</v>
      </c>
      <c r="N803" s="279">
        <f t="shared" si="824"/>
        <v>0</v>
      </c>
      <c r="O803" s="332">
        <f t="shared" ref="O803:O805" si="830">ROUND((M803*$C$3),2)</f>
        <v>64.06</v>
      </c>
      <c r="P803" s="333">
        <f t="shared" si="826"/>
        <v>0</v>
      </c>
      <c r="Q803" s="132"/>
      <c r="R803" s="222">
        <f t="shared" si="827"/>
        <v>5125</v>
      </c>
      <c r="AK803" s="141">
        <f t="shared" si="828"/>
        <v>5124.8</v>
      </c>
      <c r="AL803"/>
    </row>
    <row r="804" spans="1:38" s="74" customFormat="1" outlineLevel="1">
      <c r="A804" s="156"/>
      <c r="B804" s="360" t="s">
        <v>30</v>
      </c>
      <c r="C804" s="327" t="s">
        <v>542</v>
      </c>
      <c r="D804" s="358"/>
      <c r="E804" s="311">
        <v>13372303001</v>
      </c>
      <c r="F804" s="399" t="s">
        <v>656</v>
      </c>
      <c r="G804" s="228"/>
      <c r="H804" s="244" t="s">
        <v>65</v>
      </c>
      <c r="I804" s="244">
        <v>1</v>
      </c>
      <c r="J804" s="279">
        <v>51.83</v>
      </c>
      <c r="K804" s="279">
        <f t="shared" si="801"/>
        <v>63.23</v>
      </c>
      <c r="L804" s="229">
        <f t="shared" si="823"/>
        <v>0</v>
      </c>
      <c r="M804" s="229">
        <f t="shared" si="829"/>
        <v>51.83</v>
      </c>
      <c r="N804" s="279">
        <f t="shared" si="824"/>
        <v>0</v>
      </c>
      <c r="O804" s="332">
        <f t="shared" si="830"/>
        <v>63.23</v>
      </c>
      <c r="P804" s="333">
        <f t="shared" si="826"/>
        <v>0</v>
      </c>
      <c r="Q804" s="132"/>
      <c r="R804" s="222">
        <f t="shared" si="827"/>
        <v>5058</v>
      </c>
      <c r="AK804" s="141">
        <f t="shared" si="828"/>
        <v>5058.4000000000005</v>
      </c>
      <c r="AL804"/>
    </row>
    <row r="805" spans="1:38" s="74" customFormat="1" outlineLevel="1">
      <c r="A805" s="156"/>
      <c r="B805" s="360" t="s">
        <v>30</v>
      </c>
      <c r="C805" s="327" t="s">
        <v>542</v>
      </c>
      <c r="D805" s="358"/>
      <c r="E805" s="311">
        <v>13362303001</v>
      </c>
      <c r="F805" s="399" t="s">
        <v>657</v>
      </c>
      <c r="G805" s="228"/>
      <c r="H805" s="244" t="s">
        <v>65</v>
      </c>
      <c r="I805" s="244">
        <v>1</v>
      </c>
      <c r="J805" s="279">
        <v>51.83</v>
      </c>
      <c r="K805" s="279">
        <f t="shared" si="801"/>
        <v>63.23</v>
      </c>
      <c r="L805" s="229">
        <f t="shared" si="823"/>
        <v>0</v>
      </c>
      <c r="M805" s="229">
        <f t="shared" si="829"/>
        <v>51.83</v>
      </c>
      <c r="N805" s="279">
        <f t="shared" si="824"/>
        <v>0</v>
      </c>
      <c r="O805" s="332">
        <f t="shared" si="830"/>
        <v>63.23</v>
      </c>
      <c r="P805" s="333">
        <f t="shared" si="826"/>
        <v>0</v>
      </c>
      <c r="Q805" s="132"/>
      <c r="R805" s="222">
        <f t="shared" si="827"/>
        <v>5058</v>
      </c>
      <c r="AK805" s="141">
        <f t="shared" si="828"/>
        <v>5058.4000000000005</v>
      </c>
      <c r="AL805"/>
    </row>
    <row r="806" spans="1:38" s="74" customFormat="1" ht="26.45" outlineLevel="1">
      <c r="A806" s="156"/>
      <c r="B806" s="360" t="s">
        <v>30</v>
      </c>
      <c r="C806" s="327" t="s">
        <v>542</v>
      </c>
      <c r="D806" s="400" t="s">
        <v>658</v>
      </c>
      <c r="E806" s="311">
        <v>12179053001</v>
      </c>
      <c r="F806" s="399" t="s">
        <v>659</v>
      </c>
      <c r="G806" s="228"/>
      <c r="H806" s="244" t="s">
        <v>65</v>
      </c>
      <c r="I806" s="244">
        <v>1</v>
      </c>
      <c r="J806" s="279">
        <v>5.83</v>
      </c>
      <c r="K806" s="279">
        <f>ROUND((J806*$C$3),2)</f>
        <v>7.11</v>
      </c>
      <c r="L806" s="279">
        <f t="shared" si="823"/>
        <v>0</v>
      </c>
      <c r="M806" s="279">
        <f>J806*(1-$E$5-$E$7)*(1-$E$9)*(1+$E$11)</f>
        <v>5.83</v>
      </c>
      <c r="N806" s="279">
        <f t="shared" si="824"/>
        <v>0</v>
      </c>
      <c r="O806" s="332">
        <f>ROUND((M806*$C$3),2)</f>
        <v>7.11</v>
      </c>
      <c r="P806" s="333">
        <f t="shared" si="826"/>
        <v>0</v>
      </c>
      <c r="Q806" s="132"/>
      <c r="R806" s="222">
        <f>ROUND(AK806,0)</f>
        <v>569</v>
      </c>
      <c r="AK806" s="141">
        <f t="shared" si="828"/>
        <v>568.80000000000007</v>
      </c>
      <c r="AL806"/>
    </row>
    <row r="807" spans="1:38" s="73" customFormat="1" ht="30.6" outlineLevel="1">
      <c r="A807" s="148" t="s">
        <v>25</v>
      </c>
      <c r="B807" s="208" t="s">
        <v>26</v>
      </c>
      <c r="C807" s="351" t="s">
        <v>542</v>
      </c>
      <c r="D807" s="190">
        <v>12270751100</v>
      </c>
      <c r="E807" s="188">
        <v>13168311100</v>
      </c>
      <c r="F807" s="258" t="s">
        <v>660</v>
      </c>
      <c r="G807" s="401"/>
      <c r="H807" s="248" t="s">
        <v>65</v>
      </c>
      <c r="I807" s="248">
        <v>1</v>
      </c>
      <c r="J807" s="212">
        <v>18.39</v>
      </c>
      <c r="K807" s="212">
        <f t="shared" si="801"/>
        <v>22.44</v>
      </c>
      <c r="L807" s="212">
        <f t="shared" si="823"/>
        <v>0</v>
      </c>
      <c r="M807" s="212">
        <f t="shared" si="802"/>
        <v>18.39</v>
      </c>
      <c r="N807" s="212">
        <f t="shared" si="824"/>
        <v>0</v>
      </c>
      <c r="O807" s="297">
        <f t="shared" si="803"/>
        <v>22.44</v>
      </c>
      <c r="P807" s="213">
        <f t="shared" si="826"/>
        <v>0</v>
      </c>
      <c r="Q807" s="132"/>
      <c r="R807" s="214">
        <f t="shared" si="804"/>
        <v>1795</v>
      </c>
      <c r="AK807" s="141">
        <f t="shared" si="828"/>
        <v>1795.2</v>
      </c>
    </row>
    <row r="808" spans="1:38" outlineLevel="1">
      <c r="A808" s="36"/>
      <c r="B808" s="398"/>
      <c r="C808" s="357"/>
      <c r="D808" s="358"/>
      <c r="E808" s="225"/>
      <c r="F808" s="378"/>
      <c r="G808" s="219"/>
      <c r="H808" s="358"/>
      <c r="I808" s="358"/>
      <c r="J808" s="220"/>
      <c r="K808" s="220"/>
      <c r="L808" s="220"/>
      <c r="M808" s="220"/>
      <c r="N808" s="220"/>
      <c r="O808" s="359"/>
      <c r="P808" s="221"/>
      <c r="Q808" s="132"/>
      <c r="R808" s="222"/>
      <c r="AK808" s="141"/>
    </row>
    <row r="809" spans="1:38" s="74" customFormat="1" outlineLevel="1">
      <c r="A809" s="156"/>
      <c r="B809" s="343" t="s">
        <v>397</v>
      </c>
      <c r="C809" s="327" t="s">
        <v>542</v>
      </c>
      <c r="D809" s="277">
        <v>13390241002</v>
      </c>
      <c r="E809" s="311">
        <v>13490241001</v>
      </c>
      <c r="F809" s="329" t="s">
        <v>661</v>
      </c>
      <c r="G809" s="361"/>
      <c r="H809" s="244" t="s">
        <v>65</v>
      </c>
      <c r="I809" s="244">
        <v>1</v>
      </c>
      <c r="J809" s="279">
        <v>112.07</v>
      </c>
      <c r="K809" s="279">
        <f t="shared" si="801"/>
        <v>136.72999999999999</v>
      </c>
      <c r="L809" s="279">
        <f t="shared" ref="L809:L811" si="831">K809*G809</f>
        <v>0</v>
      </c>
      <c r="M809" s="279">
        <f t="shared" si="802"/>
        <v>112.07</v>
      </c>
      <c r="N809" s="279">
        <f t="shared" ref="N809:N811" si="832">M809*G809</f>
        <v>0</v>
      </c>
      <c r="O809" s="332">
        <f t="shared" si="803"/>
        <v>136.72999999999999</v>
      </c>
      <c r="P809" s="333">
        <f t="shared" ref="P809:P811" si="833">O809*G809</f>
        <v>0</v>
      </c>
      <c r="Q809" s="132"/>
      <c r="R809" s="222">
        <f t="shared" si="804"/>
        <v>10938</v>
      </c>
      <c r="AK809" s="141">
        <f>K809*$AK$11*(1-$AK$10)</f>
        <v>10938.4</v>
      </c>
    </row>
    <row r="810" spans="1:38" ht="26.45" outlineLevel="1">
      <c r="A810" s="36"/>
      <c r="B810" s="360" t="s">
        <v>30</v>
      </c>
      <c r="C810" s="327" t="s">
        <v>542</v>
      </c>
      <c r="D810" s="400" t="s">
        <v>662</v>
      </c>
      <c r="E810" s="311">
        <v>13736143002</v>
      </c>
      <c r="F810" s="399" t="s">
        <v>663</v>
      </c>
      <c r="G810" s="228"/>
      <c r="H810" s="244" t="s">
        <v>65</v>
      </c>
      <c r="I810" s="244">
        <v>1</v>
      </c>
      <c r="J810" s="229">
        <v>82.25</v>
      </c>
      <c r="K810" s="229">
        <f t="shared" ref="K810" si="834">ROUND((J810*$C$3),2)</f>
        <v>100.35</v>
      </c>
      <c r="L810" s="229">
        <f t="shared" si="831"/>
        <v>0</v>
      </c>
      <c r="M810" s="229">
        <f t="shared" ref="M810" si="835">J810*(1-$E$5-$E$7)*(1-$E$9)*(1+$E$11)</f>
        <v>82.25</v>
      </c>
      <c r="N810" s="229">
        <f t="shared" si="832"/>
        <v>0</v>
      </c>
      <c r="O810" s="359">
        <f t="shared" ref="O810" si="836">ROUND((M810*$C$3),2)</f>
        <v>100.35</v>
      </c>
      <c r="P810" s="230">
        <f t="shared" si="833"/>
        <v>0</v>
      </c>
      <c r="Q810" s="132"/>
      <c r="R810" s="231">
        <f t="shared" ref="R810" si="837">ROUND(AK810,0)</f>
        <v>8028</v>
      </c>
      <c r="AK810" s="143">
        <f>K810*$AK$11*(1-$AK$10)</f>
        <v>8028</v>
      </c>
    </row>
    <row r="811" spans="1:38" s="74" customFormat="1" ht="26.45" outlineLevel="1">
      <c r="A811" s="156"/>
      <c r="B811" s="360" t="s">
        <v>30</v>
      </c>
      <c r="C811" s="327" t="s">
        <v>542</v>
      </c>
      <c r="D811" s="400" t="s">
        <v>662</v>
      </c>
      <c r="E811" s="311">
        <v>13736113002</v>
      </c>
      <c r="F811" s="399" t="s">
        <v>664</v>
      </c>
      <c r="G811" s="228"/>
      <c r="H811" s="244" t="s">
        <v>65</v>
      </c>
      <c r="I811" s="244">
        <v>1</v>
      </c>
      <c r="J811" s="279">
        <v>102.09</v>
      </c>
      <c r="K811" s="279">
        <f>ROUND((J811*$C$3),2)</f>
        <v>124.55</v>
      </c>
      <c r="L811" s="279">
        <f t="shared" si="831"/>
        <v>0</v>
      </c>
      <c r="M811" s="279">
        <f>J811*(1-$E$5-$E$7)*(1-$E$9)*(1+$E$11)</f>
        <v>102.09</v>
      </c>
      <c r="N811" s="279">
        <f t="shared" si="832"/>
        <v>0</v>
      </c>
      <c r="O811" s="332">
        <f>ROUND((M811*$C$3),2)</f>
        <v>124.55</v>
      </c>
      <c r="P811" s="333">
        <f t="shared" si="833"/>
        <v>0</v>
      </c>
      <c r="Q811" s="132"/>
      <c r="R811" s="222">
        <f>ROUND(AK811,0)</f>
        <v>9964</v>
      </c>
      <c r="AK811" s="141">
        <f>K811*$AK$11*(1-$AK$10)</f>
        <v>9964</v>
      </c>
      <c r="AL811"/>
    </row>
    <row r="812" spans="1:38" outlineLevel="1">
      <c r="A812" s="36"/>
      <c r="B812" s="402"/>
      <c r="C812" s="367"/>
      <c r="D812" s="215"/>
      <c r="E812" s="217"/>
      <c r="F812" s="295"/>
      <c r="G812" s="219"/>
      <c r="H812" s="294"/>
      <c r="I812" s="294"/>
      <c r="J812" s="220"/>
      <c r="K812" s="220"/>
      <c r="L812" s="220"/>
      <c r="M812" s="220"/>
      <c r="N812" s="220"/>
      <c r="O812" s="342"/>
      <c r="P812" s="221"/>
      <c r="Q812" s="132"/>
      <c r="R812" s="222"/>
      <c r="AK812" s="141"/>
    </row>
    <row r="813" spans="1:38" outlineLevel="1">
      <c r="A813" s="36"/>
      <c r="B813" s="311" t="s">
        <v>30</v>
      </c>
      <c r="C813" s="327" t="s">
        <v>542</v>
      </c>
      <c r="D813" s="277">
        <v>13202751001</v>
      </c>
      <c r="E813" s="311">
        <v>13683651001</v>
      </c>
      <c r="F813" s="329" t="s">
        <v>665</v>
      </c>
      <c r="G813" s="361"/>
      <c r="H813" s="244" t="s">
        <v>65</v>
      </c>
      <c r="I813" s="244">
        <v>1</v>
      </c>
      <c r="J813" s="279">
        <v>46.05</v>
      </c>
      <c r="K813" s="279">
        <f>ROUND((J813*$C$3),2)</f>
        <v>56.18</v>
      </c>
      <c r="L813" s="279">
        <f>K813*G813</f>
        <v>0</v>
      </c>
      <c r="M813" s="279">
        <f>J813*(1-$E$5-$E$7)*(1-$E$9)*(1+$E$11)</f>
        <v>46.05</v>
      </c>
      <c r="N813" s="279">
        <f>M813*G813</f>
        <v>0</v>
      </c>
      <c r="O813" s="332">
        <f>ROUND((M813*$C$3),2)</f>
        <v>56.18</v>
      </c>
      <c r="P813" s="333">
        <f>O813*G813</f>
        <v>0</v>
      </c>
      <c r="Q813" s="132"/>
      <c r="R813" s="222">
        <f t="shared" si="804"/>
        <v>4494</v>
      </c>
      <c r="AK813" s="141">
        <f>K813*$AK$11*(1-$AK$10)</f>
        <v>4494.4000000000005</v>
      </c>
    </row>
    <row r="814" spans="1:38" outlineLevel="1">
      <c r="A814" s="36"/>
      <c r="B814" s="311" t="s">
        <v>30</v>
      </c>
      <c r="C814" s="327" t="s">
        <v>542</v>
      </c>
      <c r="D814" s="277">
        <v>13202761001</v>
      </c>
      <c r="E814" s="311">
        <v>13683661001</v>
      </c>
      <c r="F814" s="329" t="s">
        <v>666</v>
      </c>
      <c r="G814" s="361"/>
      <c r="H814" s="244" t="s">
        <v>65</v>
      </c>
      <c r="I814" s="244">
        <v>1</v>
      </c>
      <c r="J814" s="279">
        <v>46.05</v>
      </c>
      <c r="K814" s="279">
        <f>ROUND((J814*$C$3),2)</f>
        <v>56.18</v>
      </c>
      <c r="L814" s="279">
        <f>K814*G814</f>
        <v>0</v>
      </c>
      <c r="M814" s="279">
        <f>J814*(1-$E$5-$E$7)*(1-$E$9)*(1+$E$11)</f>
        <v>46.05</v>
      </c>
      <c r="N814" s="279">
        <f>M814*G814</f>
        <v>0</v>
      </c>
      <c r="O814" s="332">
        <f>ROUND((M814*$C$3),2)</f>
        <v>56.18</v>
      </c>
      <c r="P814" s="333">
        <f>O814*G814</f>
        <v>0</v>
      </c>
      <c r="Q814" s="132"/>
      <c r="R814" s="222">
        <f t="shared" si="804"/>
        <v>4494</v>
      </c>
      <c r="AK814" s="141">
        <f>K814*$AK$11*(1-$AK$10)</f>
        <v>4494.4000000000005</v>
      </c>
    </row>
    <row r="815" spans="1:38" outlineLevel="1">
      <c r="A815" s="36"/>
      <c r="B815" s="311" t="s">
        <v>30</v>
      </c>
      <c r="C815" s="327" t="s">
        <v>542</v>
      </c>
      <c r="D815" s="277"/>
      <c r="E815" s="311">
        <v>13683671001</v>
      </c>
      <c r="F815" s="329" t="s">
        <v>667</v>
      </c>
      <c r="G815" s="361"/>
      <c r="H815" s="244" t="s">
        <v>65</v>
      </c>
      <c r="I815" s="244">
        <v>1</v>
      </c>
      <c r="J815" s="279">
        <v>46.05</v>
      </c>
      <c r="K815" s="279">
        <f>ROUND((J815*$C$3),2)</f>
        <v>56.18</v>
      </c>
      <c r="L815" s="279">
        <f>K815*G815</f>
        <v>0</v>
      </c>
      <c r="M815" s="279">
        <f>J815*(1-$E$5-$E$7)*(1-$E$9)*(1+$E$11)</f>
        <v>46.05</v>
      </c>
      <c r="N815" s="279">
        <f>M815*G815</f>
        <v>0</v>
      </c>
      <c r="O815" s="332">
        <f>ROUND((M815*$C$3),2)</f>
        <v>56.18</v>
      </c>
      <c r="P815" s="333">
        <f>O815*G815</f>
        <v>0</v>
      </c>
      <c r="Q815" s="132"/>
      <c r="R815" s="222">
        <f t="shared" si="804"/>
        <v>4494</v>
      </c>
      <c r="AK815" s="141">
        <f>K815*$AK$11*(1-$AK$10)</f>
        <v>4494.4000000000005</v>
      </c>
    </row>
    <row r="816" spans="1:38" outlineLevel="1">
      <c r="A816" s="36"/>
      <c r="B816" s="311" t="s">
        <v>30</v>
      </c>
      <c r="C816" s="327" t="s">
        <v>542</v>
      </c>
      <c r="D816" s="277"/>
      <c r="E816" s="311">
        <v>13683681001</v>
      </c>
      <c r="F816" s="329" t="s">
        <v>668</v>
      </c>
      <c r="G816" s="361"/>
      <c r="H816" s="244" t="s">
        <v>65</v>
      </c>
      <c r="I816" s="244">
        <v>1</v>
      </c>
      <c r="J816" s="279">
        <v>46.05</v>
      </c>
      <c r="K816" s="279">
        <f>ROUND((J816*$C$3),2)</f>
        <v>56.18</v>
      </c>
      <c r="L816" s="279">
        <f>K816*G816</f>
        <v>0</v>
      </c>
      <c r="M816" s="279">
        <f>J816*(1-$E$5-$E$7)*(1-$E$9)*(1+$E$11)</f>
        <v>46.05</v>
      </c>
      <c r="N816" s="279">
        <f>M816*G816</f>
        <v>0</v>
      </c>
      <c r="O816" s="332">
        <f>ROUND((M816*$C$3),2)</f>
        <v>56.18</v>
      </c>
      <c r="P816" s="333">
        <f>O816*G816</f>
        <v>0</v>
      </c>
      <c r="Q816" s="132"/>
      <c r="R816" s="222">
        <f t="shared" si="804"/>
        <v>4494</v>
      </c>
      <c r="AK816" s="141">
        <f>K816*$AK$11*(1-$AK$10)</f>
        <v>4494.4000000000005</v>
      </c>
    </row>
    <row r="817" spans="1:38" outlineLevel="1">
      <c r="A817" s="36"/>
      <c r="B817" s="402"/>
      <c r="C817" s="367"/>
      <c r="D817" s="215"/>
      <c r="E817" s="217"/>
      <c r="F817" s="295"/>
      <c r="G817" s="219"/>
      <c r="H817" s="294"/>
      <c r="I817" s="294"/>
      <c r="J817" s="220"/>
      <c r="K817" s="220"/>
      <c r="L817" s="220"/>
      <c r="M817" s="220"/>
      <c r="N817" s="220"/>
      <c r="O817" s="342"/>
      <c r="P817" s="221"/>
      <c r="Q817" s="132"/>
      <c r="R817" s="222"/>
      <c r="AK817" s="141"/>
    </row>
    <row r="818" spans="1:38" ht="30.6" outlineLevel="1">
      <c r="A818" s="148" t="s">
        <v>25</v>
      </c>
      <c r="B818" s="208" t="s">
        <v>26</v>
      </c>
      <c r="C818" s="351" t="s">
        <v>542</v>
      </c>
      <c r="D818" s="248"/>
      <c r="E818" s="188">
        <v>12492871001</v>
      </c>
      <c r="F818" s="258" t="s">
        <v>669</v>
      </c>
      <c r="G818" s="211"/>
      <c r="H818" s="248" t="s">
        <v>65</v>
      </c>
      <c r="I818" s="248">
        <v>1</v>
      </c>
      <c r="J818" s="212">
        <v>187.98</v>
      </c>
      <c r="K818" s="212">
        <f t="shared" si="801"/>
        <v>229.34</v>
      </c>
      <c r="L818" s="212">
        <f>K818*G818</f>
        <v>0</v>
      </c>
      <c r="M818" s="212">
        <f t="shared" si="802"/>
        <v>187.98</v>
      </c>
      <c r="N818" s="212">
        <f>M818*G818</f>
        <v>0</v>
      </c>
      <c r="O818" s="297">
        <f t="shared" si="803"/>
        <v>229.34</v>
      </c>
      <c r="P818" s="213">
        <f>O818*G818</f>
        <v>0</v>
      </c>
      <c r="Q818" s="132"/>
      <c r="R818" s="214">
        <f t="shared" ref="R818:R824" si="838">ROUND(AK818,0)</f>
        <v>18347</v>
      </c>
      <c r="AK818" s="141">
        <f>K818*$AK$11*(1-$AK$10)</f>
        <v>18347.2</v>
      </c>
    </row>
    <row r="819" spans="1:38" outlineLevel="1">
      <c r="A819" s="36"/>
      <c r="B819" s="296"/>
      <c r="C819" s="355"/>
      <c r="D819" s="248"/>
      <c r="E819" s="188"/>
      <c r="F819" s="258"/>
      <c r="G819" s="219"/>
      <c r="H819" s="403"/>
      <c r="I819" s="403"/>
      <c r="J819" s="212"/>
      <c r="K819" s="212"/>
      <c r="L819" s="212"/>
      <c r="M819" s="212"/>
      <c r="N819" s="212"/>
      <c r="O819" s="342"/>
      <c r="P819" s="213"/>
      <c r="Q819" s="132"/>
      <c r="R819" s="222"/>
      <c r="AK819" s="141"/>
    </row>
    <row r="820" spans="1:38" outlineLevel="1">
      <c r="A820" s="36"/>
      <c r="B820" s="343"/>
      <c r="C820" s="344" t="s">
        <v>542</v>
      </c>
      <c r="D820" s="345"/>
      <c r="E820" s="346"/>
      <c r="F820" s="347" t="s">
        <v>670</v>
      </c>
      <c r="G820" s="348"/>
      <c r="H820" s="348"/>
      <c r="I820" s="348"/>
      <c r="J820" s="325"/>
      <c r="K820" s="325"/>
      <c r="L820" s="325"/>
      <c r="M820" s="325"/>
      <c r="N820" s="325"/>
      <c r="O820" s="349"/>
      <c r="P820" s="237"/>
      <c r="Q820" s="132"/>
      <c r="R820" s="207"/>
      <c r="AK820" s="141"/>
    </row>
    <row r="821" spans="1:38">
      <c r="A821" s="36"/>
      <c r="B821" s="360" t="s">
        <v>30</v>
      </c>
      <c r="C821" s="327" t="s">
        <v>542</v>
      </c>
      <c r="D821" s="244">
        <v>13185101001</v>
      </c>
      <c r="E821" s="328">
        <v>13185453001</v>
      </c>
      <c r="F821" s="404" t="s">
        <v>671</v>
      </c>
      <c r="G821" s="361"/>
      <c r="H821" s="279" t="s">
        <v>65</v>
      </c>
      <c r="I821" s="405">
        <v>1</v>
      </c>
      <c r="J821" s="279">
        <v>499.45</v>
      </c>
      <c r="K821" s="279">
        <f>ROUND((J821*$C$3),2)</f>
        <v>609.33000000000004</v>
      </c>
      <c r="L821" s="279">
        <f>K821*G821</f>
        <v>0</v>
      </c>
      <c r="M821" s="279">
        <f>J821*(1-$E$5-$E$7)*(1-$E$9)*(1+$E$11)</f>
        <v>499.45</v>
      </c>
      <c r="N821" s="279">
        <f>M821*G821</f>
        <v>0</v>
      </c>
      <c r="O821" s="333">
        <f>ROUND((M821*$C$3),2)</f>
        <v>609.33000000000004</v>
      </c>
      <c r="P821" s="333">
        <f>O821*G821</f>
        <v>0</v>
      </c>
      <c r="Q821" s="132"/>
      <c r="R821" s="222">
        <f>ROUND(AK821,0)</f>
        <v>48746</v>
      </c>
      <c r="AK821" s="141">
        <f>K821*$AK$11*(1-$AK$10)</f>
        <v>48746.400000000009</v>
      </c>
    </row>
    <row r="822" spans="1:38" outlineLevel="1">
      <c r="A822" s="36"/>
      <c r="B822" s="293"/>
      <c r="C822" s="367"/>
      <c r="D822" s="215"/>
      <c r="E822" s="406"/>
      <c r="F822" s="407"/>
      <c r="G822" s="219"/>
      <c r="H822" s="220"/>
      <c r="I822" s="408"/>
      <c r="J822" s="220"/>
      <c r="K822" s="220"/>
      <c r="L822" s="220"/>
      <c r="M822" s="220"/>
      <c r="N822" s="220"/>
      <c r="O822" s="221"/>
      <c r="P822" s="221"/>
      <c r="Q822" s="132"/>
      <c r="R822" s="222"/>
      <c r="AK822" s="141"/>
    </row>
    <row r="823" spans="1:38" outlineLevel="1">
      <c r="A823" s="36"/>
      <c r="B823" s="343"/>
      <c r="C823" s="344" t="s">
        <v>542</v>
      </c>
      <c r="D823" s="350"/>
      <c r="E823" s="346"/>
      <c r="F823" s="347" t="s">
        <v>672</v>
      </c>
      <c r="G823" s="348"/>
      <c r="H823" s="348"/>
      <c r="I823" s="348"/>
      <c r="J823" s="325"/>
      <c r="K823" s="325"/>
      <c r="L823" s="325"/>
      <c r="M823" s="325"/>
      <c r="N823" s="325"/>
      <c r="O823" s="349"/>
      <c r="P823" s="237"/>
      <c r="Q823" s="132"/>
      <c r="R823" s="207"/>
      <c r="AK823" s="141"/>
    </row>
    <row r="824" spans="1:38" ht="30.6" outlineLevel="1">
      <c r="A824" s="148" t="s">
        <v>25</v>
      </c>
      <c r="B824" s="208" t="s">
        <v>26</v>
      </c>
      <c r="C824" s="351" t="s">
        <v>542</v>
      </c>
      <c r="D824" s="248"/>
      <c r="E824" s="188">
        <v>12492871001</v>
      </c>
      <c r="F824" s="258" t="s">
        <v>673</v>
      </c>
      <c r="G824" s="211"/>
      <c r="H824" s="248" t="s">
        <v>65</v>
      </c>
      <c r="I824" s="248">
        <v>1</v>
      </c>
      <c r="J824" s="212">
        <v>187.98</v>
      </c>
      <c r="K824" s="212">
        <f t="shared" ref="K824:K827" si="839">ROUND((J824*$C$3),2)</f>
        <v>229.34</v>
      </c>
      <c r="L824" s="212">
        <f>K824*G824</f>
        <v>0</v>
      </c>
      <c r="M824" s="212">
        <f t="shared" ref="M824:M827" si="840">J824*(1-$E$5-$E$7)*(1-$E$9)*(1+$E$11)</f>
        <v>187.98</v>
      </c>
      <c r="N824" s="212">
        <f>M824*G824</f>
        <v>0</v>
      </c>
      <c r="O824" s="297">
        <f t="shared" ref="O824:O827" si="841">ROUND((M824*$C$3),2)</f>
        <v>229.34</v>
      </c>
      <c r="P824" s="213">
        <f>O824*G824</f>
        <v>0</v>
      </c>
      <c r="Q824" s="132"/>
      <c r="R824" s="214">
        <f t="shared" si="838"/>
        <v>18347</v>
      </c>
      <c r="AK824" s="141">
        <f>K824*$AK$11*(1-$AK$10)</f>
        <v>18347.2</v>
      </c>
    </row>
    <row r="825" spans="1:38" outlineLevel="1">
      <c r="A825" s="36"/>
      <c r="B825" s="296"/>
      <c r="C825" s="355"/>
      <c r="D825" s="248"/>
      <c r="E825" s="188"/>
      <c r="F825" s="258"/>
      <c r="G825" s="219"/>
      <c r="H825" s="248"/>
      <c r="I825" s="248"/>
      <c r="J825" s="212"/>
      <c r="K825" s="212"/>
      <c r="L825" s="212"/>
      <c r="M825" s="212"/>
      <c r="N825" s="212"/>
      <c r="O825" s="297"/>
      <c r="P825" s="213"/>
      <c r="Q825" s="132"/>
      <c r="R825" s="222"/>
      <c r="AK825" s="141"/>
    </row>
    <row r="826" spans="1:38" outlineLevel="1">
      <c r="A826" s="36"/>
      <c r="B826" s="360"/>
      <c r="C826" s="344" t="s">
        <v>542</v>
      </c>
      <c r="D826" s="350"/>
      <c r="E826" s="363"/>
      <c r="F826" s="364" t="s">
        <v>674</v>
      </c>
      <c r="G826" s="348"/>
      <c r="H826" s="350"/>
      <c r="I826" s="350"/>
      <c r="J826" s="325"/>
      <c r="K826" s="325"/>
      <c r="L826" s="325"/>
      <c r="M826" s="325"/>
      <c r="N826" s="325"/>
      <c r="O826" s="349"/>
      <c r="P826" s="237"/>
      <c r="Q826" s="132"/>
      <c r="R826" s="207"/>
      <c r="AK826" s="141"/>
    </row>
    <row r="827" spans="1:38" outlineLevel="1">
      <c r="A827" s="36"/>
      <c r="B827" s="360" t="s">
        <v>397</v>
      </c>
      <c r="C827" s="327" t="s">
        <v>542</v>
      </c>
      <c r="D827" s="244"/>
      <c r="E827" s="311">
        <v>12283961001</v>
      </c>
      <c r="F827" s="243" t="s">
        <v>675</v>
      </c>
      <c r="G827" s="361"/>
      <c r="H827" s="244" t="s">
        <v>65</v>
      </c>
      <c r="I827" s="244">
        <v>1</v>
      </c>
      <c r="J827" s="279">
        <v>211.43</v>
      </c>
      <c r="K827" s="279">
        <f t="shared" si="839"/>
        <v>257.94</v>
      </c>
      <c r="L827" s="279">
        <f>K827*G827</f>
        <v>0</v>
      </c>
      <c r="M827" s="279">
        <f t="shared" si="840"/>
        <v>211.43</v>
      </c>
      <c r="N827" s="279">
        <f>M827*G827</f>
        <v>0</v>
      </c>
      <c r="O827" s="332">
        <f t="shared" si="841"/>
        <v>257.94</v>
      </c>
      <c r="P827" s="333">
        <f>O827*G827</f>
        <v>0</v>
      </c>
      <c r="Q827" s="132"/>
      <c r="R827" s="222">
        <f t="shared" ref="R827:R832" si="842">ROUND(AK827,0)</f>
        <v>20635</v>
      </c>
      <c r="AK827" s="141">
        <f>K827*$AK$11*(1-$AK$10)</f>
        <v>20635.2</v>
      </c>
    </row>
    <row r="828" spans="1:38" outlineLevel="1">
      <c r="A828" s="36"/>
      <c r="B828" s="296"/>
      <c r="C828" s="351"/>
      <c r="D828" s="248"/>
      <c r="E828" s="188"/>
      <c r="F828" s="239"/>
      <c r="G828" s="219"/>
      <c r="H828" s="248"/>
      <c r="I828" s="248"/>
      <c r="J828" s="212"/>
      <c r="K828" s="212"/>
      <c r="L828" s="212"/>
      <c r="M828" s="212"/>
      <c r="N828" s="212"/>
      <c r="O828" s="297"/>
      <c r="P828" s="213"/>
      <c r="Q828" s="132"/>
      <c r="R828" s="222"/>
      <c r="AK828" s="141"/>
    </row>
    <row r="829" spans="1:38" outlineLevel="1">
      <c r="A829" s="36"/>
      <c r="B829" s="343"/>
      <c r="C829" s="344" t="s">
        <v>542</v>
      </c>
      <c r="D829" s="350"/>
      <c r="E829" s="346"/>
      <c r="F829" s="347" t="s">
        <v>676</v>
      </c>
      <c r="G829" s="348"/>
      <c r="H829" s="348"/>
      <c r="I829" s="348"/>
      <c r="J829" s="325"/>
      <c r="K829" s="325"/>
      <c r="L829" s="325"/>
      <c r="M829" s="325"/>
      <c r="N829" s="325"/>
      <c r="O829" s="349"/>
      <c r="P829" s="237"/>
      <c r="Q829" s="132"/>
      <c r="R829" s="207"/>
      <c r="AK829" s="141"/>
    </row>
    <row r="830" spans="1:38" outlineLevel="1">
      <c r="A830" s="36"/>
      <c r="B830" s="343"/>
      <c r="C830" s="344" t="s">
        <v>542</v>
      </c>
      <c r="D830" s="350"/>
      <c r="E830" s="346"/>
      <c r="F830" s="347" t="s">
        <v>677</v>
      </c>
      <c r="G830" s="348"/>
      <c r="H830" s="348"/>
      <c r="I830" s="348"/>
      <c r="J830" s="325"/>
      <c r="K830" s="325"/>
      <c r="L830" s="325"/>
      <c r="M830" s="325"/>
      <c r="N830" s="325"/>
      <c r="O830" s="349"/>
      <c r="P830" s="237"/>
      <c r="Q830" s="132"/>
      <c r="R830" s="207"/>
      <c r="AK830" s="141"/>
    </row>
    <row r="831" spans="1:38" outlineLevel="1">
      <c r="A831" s="36"/>
      <c r="B831" s="385"/>
      <c r="C831" s="351"/>
      <c r="D831" s="190"/>
      <c r="E831" s="188"/>
      <c r="F831" s="376"/>
      <c r="G831" s="219"/>
      <c r="H831" s="375"/>
      <c r="I831" s="375"/>
      <c r="J831" s="212"/>
      <c r="K831" s="212"/>
      <c r="L831" s="212"/>
      <c r="M831" s="212"/>
      <c r="N831" s="212"/>
      <c r="O831" s="377"/>
      <c r="P831" s="213"/>
      <c r="Q831" s="132"/>
      <c r="R831" s="222"/>
      <c r="AK831" s="141"/>
    </row>
    <row r="832" spans="1:38" s="74" customFormat="1" outlineLevel="1">
      <c r="A832" s="152"/>
      <c r="B832" s="296" t="s">
        <v>397</v>
      </c>
      <c r="C832" s="351" t="s">
        <v>542</v>
      </c>
      <c r="D832" s="248"/>
      <c r="E832" s="188">
        <v>12468991001</v>
      </c>
      <c r="F832" s="258" t="s">
        <v>678</v>
      </c>
      <c r="G832" s="211"/>
      <c r="H832" s="248" t="s">
        <v>65</v>
      </c>
      <c r="I832" s="248">
        <v>100</v>
      </c>
      <c r="J832" s="229">
        <v>4</v>
      </c>
      <c r="K832" s="229">
        <f t="shared" ref="K832:K854" si="843">ROUND((J832*$C$3),2)</f>
        <v>4.88</v>
      </c>
      <c r="L832" s="229">
        <f>K832*G832</f>
        <v>0</v>
      </c>
      <c r="M832" s="229">
        <f t="shared" ref="M832:M854" si="844">J832*(1-$E$5-$E$7)*(1-$E$9)*(1+$E$11)</f>
        <v>4</v>
      </c>
      <c r="N832" s="229">
        <f>M832*G832</f>
        <v>0</v>
      </c>
      <c r="O832" s="359">
        <f t="shared" ref="O832:O854" si="845">ROUND((M832*$C$3),2)</f>
        <v>4.88</v>
      </c>
      <c r="P832" s="230">
        <f>O832*G832</f>
        <v>0</v>
      </c>
      <c r="Q832" s="132"/>
      <c r="R832" s="231">
        <f t="shared" si="842"/>
        <v>390</v>
      </c>
      <c r="AK832" s="141">
        <f>K832*$AK$11*(1-$AK$10)</f>
        <v>390.40000000000003</v>
      </c>
      <c r="AL832"/>
    </row>
    <row r="833" spans="1:93" outlineLevel="1">
      <c r="A833" s="36"/>
      <c r="B833" s="296"/>
      <c r="C833" s="351"/>
      <c r="D833" s="248"/>
      <c r="E833" s="188"/>
      <c r="F833" s="258"/>
      <c r="G833" s="219"/>
      <c r="H833" s="248"/>
      <c r="I833" s="248"/>
      <c r="J833" s="212"/>
      <c r="K833" s="212"/>
      <c r="L833" s="212"/>
      <c r="M833" s="212"/>
      <c r="N833" s="212"/>
      <c r="O833" s="297"/>
      <c r="P833" s="213"/>
      <c r="Q833" s="132"/>
      <c r="R833" s="222"/>
      <c r="AK833" s="141"/>
    </row>
    <row r="834" spans="1:93" outlineLevel="1">
      <c r="A834" s="36"/>
      <c r="B834" s="343"/>
      <c r="C834" s="344" t="s">
        <v>542</v>
      </c>
      <c r="D834" s="350"/>
      <c r="E834" s="346"/>
      <c r="F834" s="347" t="s">
        <v>679</v>
      </c>
      <c r="G834" s="409"/>
      <c r="H834" s="348"/>
      <c r="I834" s="348"/>
      <c r="J834" s="325"/>
      <c r="K834" s="325"/>
      <c r="L834" s="325"/>
      <c r="M834" s="325"/>
      <c r="N834" s="325"/>
      <c r="O834" s="349"/>
      <c r="P834" s="237"/>
      <c r="Q834" s="132"/>
      <c r="R834" s="207"/>
      <c r="AK834" s="141"/>
    </row>
    <row r="835" spans="1:93" outlineLevel="1">
      <c r="A835" s="36"/>
      <c r="B835" s="343"/>
      <c r="C835" s="344" t="s">
        <v>542</v>
      </c>
      <c r="D835" s="350"/>
      <c r="E835" s="346"/>
      <c r="F835" s="347" t="s">
        <v>680</v>
      </c>
      <c r="G835" s="409"/>
      <c r="H835" s="348"/>
      <c r="I835" s="348"/>
      <c r="J835" s="410"/>
      <c r="K835" s="410"/>
      <c r="L835" s="410"/>
      <c r="M835" s="410"/>
      <c r="N835" s="410"/>
      <c r="O835" s="349"/>
      <c r="P835" s="411"/>
      <c r="Q835" s="132"/>
      <c r="R835" s="207"/>
      <c r="AK835" s="141"/>
    </row>
    <row r="836" spans="1:93" outlineLevel="1">
      <c r="A836" s="36"/>
      <c r="B836" s="311" t="s">
        <v>30</v>
      </c>
      <c r="C836" s="327" t="s">
        <v>542</v>
      </c>
      <c r="D836" s="277">
        <v>11361601500</v>
      </c>
      <c r="E836" s="328">
        <v>11361603500</v>
      </c>
      <c r="F836" s="329" t="s">
        <v>548</v>
      </c>
      <c r="G836" s="330"/>
      <c r="H836" s="331" t="s">
        <v>28</v>
      </c>
      <c r="I836" s="331">
        <v>500</v>
      </c>
      <c r="J836" s="279">
        <v>2.4500000000000002</v>
      </c>
      <c r="K836" s="279">
        <v>2.99</v>
      </c>
      <c r="L836" s="279">
        <v>0</v>
      </c>
      <c r="M836" s="279">
        <v>2.4500000000000002</v>
      </c>
      <c r="N836" s="279">
        <v>0</v>
      </c>
      <c r="O836" s="332">
        <v>2.99</v>
      </c>
      <c r="P836" s="333">
        <v>0</v>
      </c>
      <c r="Q836" s="132"/>
      <c r="R836" s="222">
        <v>239</v>
      </c>
      <c r="AK836" s="141">
        <v>239.20000000000002</v>
      </c>
    </row>
    <row r="837" spans="1:93" s="92" customFormat="1" outlineLevel="1">
      <c r="A837" s="155"/>
      <c r="B837" s="311" t="s">
        <v>30</v>
      </c>
      <c r="C837" s="327" t="s">
        <v>542</v>
      </c>
      <c r="D837" s="277">
        <v>11367701300</v>
      </c>
      <c r="E837" s="328">
        <v>11367703300</v>
      </c>
      <c r="F837" s="329" t="s">
        <v>550</v>
      </c>
      <c r="G837" s="330"/>
      <c r="H837" s="331" t="s">
        <v>28</v>
      </c>
      <c r="I837" s="331">
        <v>300</v>
      </c>
      <c r="J837" s="279">
        <v>4.04</v>
      </c>
      <c r="K837" s="279">
        <v>4.93</v>
      </c>
      <c r="L837" s="279">
        <v>0</v>
      </c>
      <c r="M837" s="279">
        <v>4.04</v>
      </c>
      <c r="N837" s="279">
        <v>0</v>
      </c>
      <c r="O837" s="332">
        <v>4.93</v>
      </c>
      <c r="P837" s="333">
        <v>0</v>
      </c>
      <c r="Q837" s="132"/>
      <c r="R837" s="222">
        <v>394</v>
      </c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 s="141">
        <v>394.40000000000003</v>
      </c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</row>
    <row r="838" spans="1:93">
      <c r="Q838" s="132"/>
    </row>
    <row r="839" spans="1:93" s="74" customFormat="1" outlineLevel="1">
      <c r="A839" s="156"/>
      <c r="B839" s="352" t="s">
        <v>30</v>
      </c>
      <c r="C839" s="327" t="s">
        <v>542</v>
      </c>
      <c r="D839" s="311">
        <v>12503071002</v>
      </c>
      <c r="E839" s="311">
        <v>12503073002</v>
      </c>
      <c r="F839" s="354" t="s">
        <v>555</v>
      </c>
      <c r="G839" s="228"/>
      <c r="H839" s="244" t="s">
        <v>65</v>
      </c>
      <c r="I839" s="244">
        <v>50</v>
      </c>
      <c r="J839" s="353">
        <v>1.19</v>
      </c>
      <c r="K839" s="229">
        <f t="shared" ref="K839:K840" si="846">ROUND((J839*$C$3),2)</f>
        <v>1.45</v>
      </c>
      <c r="L839" s="279">
        <f t="shared" ref="L839:L840" si="847">K839*G839</f>
        <v>0</v>
      </c>
      <c r="M839" s="279">
        <f t="shared" ref="M839:M840" si="848">J839*(1-$E$5-$E$7)*(1-$E$9)*(1+$E$11)</f>
        <v>1.19</v>
      </c>
      <c r="N839" s="279">
        <f t="shared" ref="N839:N840" si="849">M839*G839</f>
        <v>0</v>
      </c>
      <c r="O839" s="332">
        <f t="shared" ref="O839:O840" si="850">ROUND((M839*$C$3),2)</f>
        <v>1.45</v>
      </c>
      <c r="P839" s="333">
        <f t="shared" ref="P839:P840" si="851">O839*G839</f>
        <v>0</v>
      </c>
      <c r="Q839" s="132"/>
      <c r="R839" s="222">
        <f t="shared" ref="R839:R840" si="852">ROUND(AK839,0)</f>
        <v>116</v>
      </c>
      <c r="AK839" s="141">
        <f t="shared" ref="AK839:AK840" si="853">K839*$AK$11*(1-$AK$10)</f>
        <v>116</v>
      </c>
      <c r="AL839"/>
    </row>
    <row r="840" spans="1:93" s="74" customFormat="1" outlineLevel="1">
      <c r="A840" s="156"/>
      <c r="B840" s="352" t="s">
        <v>30</v>
      </c>
      <c r="C840" s="327" t="s">
        <v>542</v>
      </c>
      <c r="D840" s="311">
        <v>12591971002</v>
      </c>
      <c r="E840" s="311">
        <v>12591973002</v>
      </c>
      <c r="F840" s="329" t="s">
        <v>556</v>
      </c>
      <c r="G840" s="228"/>
      <c r="H840" s="244" t="s">
        <v>65</v>
      </c>
      <c r="I840" s="244">
        <v>50</v>
      </c>
      <c r="J840" s="353">
        <v>2.0299999999999998</v>
      </c>
      <c r="K840" s="229">
        <f t="shared" si="846"/>
        <v>2.48</v>
      </c>
      <c r="L840" s="279">
        <f t="shared" si="847"/>
        <v>0</v>
      </c>
      <c r="M840" s="279">
        <f t="shared" si="848"/>
        <v>2.0299999999999998</v>
      </c>
      <c r="N840" s="279">
        <f t="shared" si="849"/>
        <v>0</v>
      </c>
      <c r="O840" s="332">
        <f t="shared" si="850"/>
        <v>2.48</v>
      </c>
      <c r="P840" s="333">
        <f t="shared" si="851"/>
        <v>0</v>
      </c>
      <c r="Q840" s="132"/>
      <c r="R840" s="222">
        <f t="shared" si="852"/>
        <v>198</v>
      </c>
      <c r="AK840" s="141">
        <f t="shared" si="853"/>
        <v>198.4</v>
      </c>
      <c r="AL840"/>
    </row>
    <row r="841" spans="1:93" s="74" customFormat="1" outlineLevel="1">
      <c r="A841" s="156"/>
      <c r="B841" s="160"/>
      <c r="C841" s="161"/>
      <c r="D841" s="132"/>
      <c r="E841" s="132"/>
      <c r="F841" s="162"/>
      <c r="G841" s="163"/>
      <c r="H841" s="164"/>
      <c r="I841" s="164"/>
      <c r="J841" s="165"/>
      <c r="K841" s="166"/>
      <c r="L841" s="119"/>
      <c r="M841" s="119"/>
      <c r="N841" s="119"/>
      <c r="O841" s="167"/>
      <c r="P841" s="168"/>
      <c r="Q841" s="132"/>
      <c r="R841" s="169"/>
      <c r="AK841" s="141"/>
      <c r="AL841"/>
    </row>
    <row r="842" spans="1:93" s="74" customFormat="1" outlineLevel="1">
      <c r="A842" s="156"/>
      <c r="B842" s="352" t="s">
        <v>30</v>
      </c>
      <c r="C842" s="327" t="s">
        <v>542</v>
      </c>
      <c r="D842" s="311">
        <v>12503171002</v>
      </c>
      <c r="E842" s="311">
        <v>12503173002</v>
      </c>
      <c r="F842" s="329" t="s">
        <v>559</v>
      </c>
      <c r="G842" s="228"/>
      <c r="H842" s="244" t="s">
        <v>65</v>
      </c>
      <c r="I842" s="244">
        <v>10</v>
      </c>
      <c r="J842" s="279">
        <v>3.9432929487179491</v>
      </c>
      <c r="K842" s="279">
        <v>4.8099999999999996</v>
      </c>
      <c r="L842" s="279">
        <v>0</v>
      </c>
      <c r="M842" s="279">
        <v>3.9432929487179491</v>
      </c>
      <c r="N842" s="279">
        <v>0</v>
      </c>
      <c r="O842" s="332">
        <v>4.8099999999999996</v>
      </c>
      <c r="P842" s="333">
        <v>0</v>
      </c>
      <c r="Q842" s="132"/>
      <c r="R842" s="222">
        <v>385</v>
      </c>
      <c r="AK842" s="141">
        <v>384.79999999999995</v>
      </c>
      <c r="AL842"/>
    </row>
    <row r="843" spans="1:93" s="74" customFormat="1" outlineLevel="1">
      <c r="A843" s="156"/>
      <c r="B843" s="352" t="s">
        <v>30</v>
      </c>
      <c r="C843" s="327" t="s">
        <v>542</v>
      </c>
      <c r="D843" s="311">
        <v>12591871002</v>
      </c>
      <c r="E843" s="311">
        <v>12591873002</v>
      </c>
      <c r="F843" s="329" t="s">
        <v>560</v>
      </c>
      <c r="G843" s="228"/>
      <c r="H843" s="244" t="s">
        <v>65</v>
      </c>
      <c r="I843" s="244">
        <v>5</v>
      </c>
      <c r="J843" s="279">
        <v>5.1188952177777782</v>
      </c>
      <c r="K843" s="279">
        <v>6.25</v>
      </c>
      <c r="L843" s="279">
        <v>0</v>
      </c>
      <c r="M843" s="279">
        <v>5.1188952177777782</v>
      </c>
      <c r="N843" s="279">
        <v>0</v>
      </c>
      <c r="O843" s="332">
        <v>6.25</v>
      </c>
      <c r="P843" s="333">
        <v>0</v>
      </c>
      <c r="Q843" s="132"/>
      <c r="R843" s="222">
        <v>500</v>
      </c>
      <c r="AK843" s="141">
        <v>500</v>
      </c>
      <c r="AL843"/>
    </row>
    <row r="844" spans="1:93" s="74" customFormat="1" outlineLevel="1">
      <c r="A844" s="156"/>
      <c r="B844" s="352" t="s">
        <v>30</v>
      </c>
      <c r="C844" s="327" t="s">
        <v>542</v>
      </c>
      <c r="D844" s="311">
        <v>12685701001</v>
      </c>
      <c r="E844" s="311">
        <v>12685703001</v>
      </c>
      <c r="F844" s="329" t="s">
        <v>566</v>
      </c>
      <c r="G844" s="228"/>
      <c r="H844" s="244" t="s">
        <v>65</v>
      </c>
      <c r="I844" s="244">
        <v>10</v>
      </c>
      <c r="J844" s="279">
        <v>4.7142077540983607</v>
      </c>
      <c r="K844" s="279">
        <v>5.75</v>
      </c>
      <c r="L844" s="279">
        <v>0</v>
      </c>
      <c r="M844" s="279">
        <v>4.7142077540983607</v>
      </c>
      <c r="N844" s="279">
        <v>0</v>
      </c>
      <c r="O844" s="332">
        <v>5.75</v>
      </c>
      <c r="P844" s="333">
        <v>0</v>
      </c>
      <c r="Q844" s="132"/>
      <c r="R844" s="222">
        <v>460</v>
      </c>
      <c r="AK844" s="141">
        <v>460</v>
      </c>
      <c r="AL844"/>
    </row>
    <row r="845" spans="1:93" s="74" customFormat="1" outlineLevel="1">
      <c r="A845" s="156"/>
      <c r="B845" s="352" t="s">
        <v>30</v>
      </c>
      <c r="C845" s="327" t="s">
        <v>542</v>
      </c>
      <c r="D845" s="311">
        <v>12588271002</v>
      </c>
      <c r="E845" s="311">
        <v>12588273002</v>
      </c>
      <c r="F845" s="329" t="s">
        <v>567</v>
      </c>
      <c r="G845" s="228"/>
      <c r="H845" s="244" t="s">
        <v>65</v>
      </c>
      <c r="I845" s="244">
        <v>10</v>
      </c>
      <c r="J845" s="279">
        <v>5.2483500000000003</v>
      </c>
      <c r="K845" s="279">
        <v>6.4</v>
      </c>
      <c r="L845" s="279">
        <v>0</v>
      </c>
      <c r="M845" s="279">
        <v>5.2483500000000003</v>
      </c>
      <c r="N845" s="279">
        <v>0</v>
      </c>
      <c r="O845" s="332">
        <v>6.4</v>
      </c>
      <c r="P845" s="333">
        <v>0</v>
      </c>
      <c r="Q845" s="132"/>
      <c r="R845" s="222">
        <v>512</v>
      </c>
      <c r="AK845" s="141">
        <v>512</v>
      </c>
      <c r="AL845"/>
    </row>
    <row r="846" spans="1:93" s="74" customFormat="1" outlineLevel="1">
      <c r="A846" s="156"/>
      <c r="B846" s="352" t="s">
        <v>30</v>
      </c>
      <c r="C846" s="327" t="s">
        <v>542</v>
      </c>
      <c r="D846" s="311">
        <v>12685801001</v>
      </c>
      <c r="E846" s="311">
        <v>12685803001</v>
      </c>
      <c r="F846" s="329" t="s">
        <v>568</v>
      </c>
      <c r="G846" s="228"/>
      <c r="H846" s="244" t="s">
        <v>65</v>
      </c>
      <c r="I846" s="244">
        <v>5</v>
      </c>
      <c r="J846" s="279">
        <v>5.4127904191616771</v>
      </c>
      <c r="K846" s="279">
        <v>6.6</v>
      </c>
      <c r="L846" s="279">
        <v>0</v>
      </c>
      <c r="M846" s="279">
        <v>5.4127904191616771</v>
      </c>
      <c r="N846" s="279">
        <v>0</v>
      </c>
      <c r="O846" s="332">
        <v>6.6</v>
      </c>
      <c r="P846" s="333">
        <v>0</v>
      </c>
      <c r="Q846" s="132"/>
      <c r="R846" s="222">
        <v>528</v>
      </c>
      <c r="AK846" s="141">
        <v>528</v>
      </c>
      <c r="AL846"/>
    </row>
    <row r="847" spans="1:93" s="74" customFormat="1" outlineLevel="1">
      <c r="A847" s="156"/>
      <c r="B847" s="352" t="s">
        <v>30</v>
      </c>
      <c r="C847" s="327" t="s">
        <v>542</v>
      </c>
      <c r="D847" s="311">
        <v>12534391002</v>
      </c>
      <c r="E847" s="311">
        <v>12534393002</v>
      </c>
      <c r="F847" s="329" t="s">
        <v>569</v>
      </c>
      <c r="G847" s="228"/>
      <c r="H847" s="244" t="s">
        <v>65</v>
      </c>
      <c r="I847" s="244">
        <v>5</v>
      </c>
      <c r="J847" s="279">
        <v>6.8183686928104592</v>
      </c>
      <c r="K847" s="279">
        <v>8.32</v>
      </c>
      <c r="L847" s="279">
        <v>0</v>
      </c>
      <c r="M847" s="279">
        <v>6.8183686928104592</v>
      </c>
      <c r="N847" s="279">
        <v>0</v>
      </c>
      <c r="O847" s="332">
        <v>8.32</v>
      </c>
      <c r="P847" s="333">
        <v>0</v>
      </c>
      <c r="Q847" s="132"/>
      <c r="R847" s="222">
        <v>666</v>
      </c>
      <c r="AK847" s="141">
        <v>665.6</v>
      </c>
      <c r="AL847"/>
    </row>
    <row r="848" spans="1:93" s="74" customFormat="1" outlineLevel="1">
      <c r="A848" s="156"/>
      <c r="B848" s="352" t="s">
        <v>30</v>
      </c>
      <c r="C848" s="327" t="s">
        <v>542</v>
      </c>
      <c r="D848" s="311">
        <v>12589071002</v>
      </c>
      <c r="E848" s="311">
        <v>12589073002</v>
      </c>
      <c r="F848" s="362" t="s">
        <v>574</v>
      </c>
      <c r="G848" s="228"/>
      <c r="H848" s="244" t="s">
        <v>65</v>
      </c>
      <c r="I848" s="244">
        <v>5</v>
      </c>
      <c r="J848" s="279">
        <v>6.8425357070193291</v>
      </c>
      <c r="K848" s="279">
        <v>8.35</v>
      </c>
      <c r="L848" s="279">
        <v>0</v>
      </c>
      <c r="M848" s="279">
        <v>6.8425357070193291</v>
      </c>
      <c r="N848" s="279">
        <v>0</v>
      </c>
      <c r="O848" s="332">
        <v>8.35</v>
      </c>
      <c r="P848" s="333">
        <v>0</v>
      </c>
      <c r="Q848" s="132"/>
      <c r="R848" s="222">
        <v>668</v>
      </c>
      <c r="AK848" s="141">
        <v>668</v>
      </c>
      <c r="AL848"/>
    </row>
    <row r="849" spans="1:93" s="74" customFormat="1" outlineLevel="1">
      <c r="A849" s="156"/>
      <c r="B849" s="352" t="s">
        <v>30</v>
      </c>
      <c r="C849" s="327" t="s">
        <v>542</v>
      </c>
      <c r="D849" s="311">
        <v>12594491002</v>
      </c>
      <c r="E849" s="311">
        <v>12594493002</v>
      </c>
      <c r="F849" s="362" t="s">
        <v>575</v>
      </c>
      <c r="G849" s="228"/>
      <c r="H849" s="244" t="s">
        <v>65</v>
      </c>
      <c r="I849" s="244">
        <v>5</v>
      </c>
      <c r="J849" s="279">
        <v>11.072929227665705</v>
      </c>
      <c r="K849" s="279">
        <v>13.51</v>
      </c>
      <c r="L849" s="279">
        <v>0</v>
      </c>
      <c r="M849" s="279">
        <v>11.072929227665705</v>
      </c>
      <c r="N849" s="279">
        <v>0</v>
      </c>
      <c r="O849" s="332">
        <v>13.51</v>
      </c>
      <c r="P849" s="333">
        <v>0</v>
      </c>
      <c r="Q849" s="132"/>
      <c r="R849" s="222">
        <v>1081</v>
      </c>
      <c r="AK849" s="141">
        <v>1080.8</v>
      </c>
      <c r="AL849"/>
    </row>
    <row r="850" spans="1:93">
      <c r="Q850" s="132"/>
    </row>
    <row r="851" spans="1:93" outlineLevel="1">
      <c r="A851" s="36"/>
      <c r="B851" s="296" t="s">
        <v>30</v>
      </c>
      <c r="C851" s="327" t="s">
        <v>542</v>
      </c>
      <c r="D851" s="277">
        <v>12393431001</v>
      </c>
      <c r="E851" s="311">
        <v>12393433001</v>
      </c>
      <c r="F851" s="380" t="s">
        <v>338</v>
      </c>
      <c r="G851" s="298"/>
      <c r="H851" s="244" t="s">
        <v>65</v>
      </c>
      <c r="I851" s="244">
        <v>25</v>
      </c>
      <c r="J851" s="279">
        <v>2.23</v>
      </c>
      <c r="K851" s="279">
        <f>ROUND((J851*$C$3),2)</f>
        <v>2.72</v>
      </c>
      <c r="L851" s="279">
        <f>K851*G851</f>
        <v>0</v>
      </c>
      <c r="M851" s="279">
        <f>J851*(1-$E$5-$E$7)*(1-$E$9)*(1+$E$11)</f>
        <v>2.23</v>
      </c>
      <c r="N851" s="279">
        <f>M851*G851</f>
        <v>0</v>
      </c>
      <c r="O851" s="332">
        <f>ROUND((M851*$C$3),2)</f>
        <v>2.72</v>
      </c>
      <c r="P851" s="333">
        <f>O851*G851</f>
        <v>0</v>
      </c>
      <c r="Q851" s="132"/>
      <c r="R851" s="222">
        <f>ROUND(AK851,0)</f>
        <v>218</v>
      </c>
      <c r="AK851" s="141">
        <f>K851*$AK$11*(1-$AK$10)</f>
        <v>217.60000000000002</v>
      </c>
    </row>
    <row r="852" spans="1:93" outlineLevel="1">
      <c r="A852" s="36"/>
      <c r="B852" s="296" t="s">
        <v>30</v>
      </c>
      <c r="C852" s="327" t="s">
        <v>542</v>
      </c>
      <c r="D852" s="277">
        <v>12391931001</v>
      </c>
      <c r="E852" s="311">
        <v>12391933001</v>
      </c>
      <c r="F852" s="380" t="s">
        <v>339</v>
      </c>
      <c r="G852" s="298"/>
      <c r="H852" s="244" t="s">
        <v>65</v>
      </c>
      <c r="I852" s="244">
        <v>25</v>
      </c>
      <c r="J852" s="279">
        <v>3.77</v>
      </c>
      <c r="K852" s="279">
        <f t="shared" ref="K852" si="854">ROUND((J852*$C$3),2)</f>
        <v>4.5999999999999996</v>
      </c>
      <c r="L852" s="279">
        <f>K852*G852</f>
        <v>0</v>
      </c>
      <c r="M852" s="279">
        <f t="shared" ref="M852" si="855">J852*(1-$E$5-$E$7)*(1-$E$9)*(1+$E$11)</f>
        <v>3.77</v>
      </c>
      <c r="N852" s="279">
        <f>M852*G852</f>
        <v>0</v>
      </c>
      <c r="O852" s="332">
        <f t="shared" ref="O852" si="856">ROUND((M852*$C$3),2)</f>
        <v>4.5999999999999996</v>
      </c>
      <c r="P852" s="333">
        <f>O852*G852</f>
        <v>0</v>
      </c>
      <c r="Q852" s="132"/>
      <c r="R852" s="222">
        <f t="shared" ref="R852" si="857">ROUND(AK852,0)</f>
        <v>368</v>
      </c>
      <c r="AK852" s="141">
        <f>K852*$AK$11*(1-$AK$10)</f>
        <v>368</v>
      </c>
    </row>
    <row r="853" spans="1:93" outlineLevel="1">
      <c r="A853" s="36"/>
      <c r="B853" s="296"/>
      <c r="C853" s="355"/>
      <c r="D853" s="248"/>
      <c r="E853" s="188"/>
      <c r="F853" s="129"/>
      <c r="G853" s="211"/>
      <c r="H853" s="248"/>
      <c r="I853" s="248"/>
      <c r="J853" s="212"/>
      <c r="K853" s="212"/>
      <c r="L853" s="212"/>
      <c r="M853" s="212"/>
      <c r="N853" s="212"/>
      <c r="O853" s="297"/>
      <c r="P853" s="213"/>
      <c r="Q853" s="132"/>
      <c r="R853" s="222"/>
      <c r="AK853" s="141">
        <f>K853*$AK$11*(1-$AK$10)</f>
        <v>0</v>
      </c>
    </row>
    <row r="854" spans="1:93" outlineLevel="1">
      <c r="A854" s="36"/>
      <c r="B854" s="352" t="s">
        <v>30</v>
      </c>
      <c r="C854" s="327" t="s">
        <v>542</v>
      </c>
      <c r="D854" s="369"/>
      <c r="E854" s="311">
        <v>12442483002</v>
      </c>
      <c r="F854" s="354" t="s">
        <v>595</v>
      </c>
      <c r="G854" s="361"/>
      <c r="H854" s="369" t="s">
        <v>28</v>
      </c>
      <c r="I854" s="369">
        <v>10</v>
      </c>
      <c r="J854" s="279">
        <v>1.71</v>
      </c>
      <c r="K854" s="279">
        <f t="shared" si="843"/>
        <v>2.09</v>
      </c>
      <c r="L854" s="279">
        <f>K854*G854</f>
        <v>0</v>
      </c>
      <c r="M854" s="279">
        <f t="shared" si="844"/>
        <v>1.71</v>
      </c>
      <c r="N854" s="279">
        <f>M854*G854</f>
        <v>0</v>
      </c>
      <c r="O854" s="370">
        <f t="shared" si="845"/>
        <v>2.09</v>
      </c>
      <c r="P854" s="333">
        <f>O854*G854</f>
        <v>0</v>
      </c>
      <c r="Q854" s="132"/>
      <c r="R854" s="222">
        <f t="shared" ref="R854:R905" si="858">ROUND(AK854,0)</f>
        <v>167</v>
      </c>
      <c r="AK854" s="141">
        <f>K854*$AK$11*(1-$AK$10)</f>
        <v>167.20000000000002</v>
      </c>
    </row>
    <row r="855" spans="1:93" outlineLevel="1">
      <c r="A855" s="36"/>
      <c r="B855" s="352"/>
      <c r="C855" s="327"/>
      <c r="D855" s="369"/>
      <c r="E855" s="311"/>
      <c r="F855" s="354"/>
      <c r="G855" s="361"/>
      <c r="H855" s="369"/>
      <c r="I855" s="369"/>
      <c r="J855" s="279"/>
      <c r="K855" s="279"/>
      <c r="L855" s="279"/>
      <c r="M855" s="279"/>
      <c r="N855" s="279"/>
      <c r="O855" s="370"/>
      <c r="P855" s="333"/>
      <c r="Q855" s="132"/>
      <c r="R855" s="222"/>
      <c r="AK855" s="141"/>
    </row>
    <row r="856" spans="1:93" outlineLevel="1">
      <c r="A856" s="36"/>
      <c r="B856" s="352" t="s">
        <v>30</v>
      </c>
      <c r="C856" s="327" t="s">
        <v>542</v>
      </c>
      <c r="D856" s="311">
        <v>12662101001</v>
      </c>
      <c r="E856" s="311">
        <v>11098211001</v>
      </c>
      <c r="F856" s="354" t="s">
        <v>681</v>
      </c>
      <c r="G856" s="361"/>
      <c r="H856" s="369" t="s">
        <v>28</v>
      </c>
      <c r="I856" s="369">
        <v>25</v>
      </c>
      <c r="J856" s="279">
        <v>4</v>
      </c>
      <c r="K856" s="279">
        <f t="shared" ref="K856" si="859">ROUND((J856*$C$3),2)</f>
        <v>4.88</v>
      </c>
      <c r="L856" s="279">
        <f t="shared" ref="L856" si="860">K856*G856</f>
        <v>0</v>
      </c>
      <c r="M856" s="279">
        <f t="shared" ref="M856" si="861">J856*(1-$E$5-$E$7)*(1-$E$9)*(1+$E$11)</f>
        <v>4</v>
      </c>
      <c r="N856" s="279">
        <f t="shared" ref="N856" si="862">M856*G856</f>
        <v>0</v>
      </c>
      <c r="O856" s="370">
        <f t="shared" ref="O856" si="863">ROUND((M856*$C$3),2)</f>
        <v>4.88</v>
      </c>
      <c r="P856" s="333">
        <f t="shared" ref="P856" si="864">O856*G856</f>
        <v>0</v>
      </c>
      <c r="Q856" s="132"/>
      <c r="R856" s="222">
        <f t="shared" si="858"/>
        <v>390</v>
      </c>
      <c r="AK856" s="141">
        <f>K856*$AK$11*(1-$AK$10)</f>
        <v>390.40000000000003</v>
      </c>
    </row>
    <row r="857" spans="1:93" outlineLevel="1">
      <c r="A857" s="36"/>
      <c r="B857" s="296"/>
      <c r="C857" s="351"/>
      <c r="D857" s="248"/>
      <c r="E857" s="188"/>
      <c r="F857" s="376"/>
      <c r="G857" s="211"/>
      <c r="H857" s="248"/>
      <c r="I857" s="248"/>
      <c r="J857" s="212"/>
      <c r="K857" s="212"/>
      <c r="L857" s="212"/>
      <c r="M857" s="212"/>
      <c r="N857" s="212"/>
      <c r="O857" s="297"/>
      <c r="P857" s="213"/>
      <c r="Q857" s="132"/>
      <c r="R857" s="222"/>
      <c r="AK857" s="141"/>
    </row>
    <row r="858" spans="1:93" outlineLevel="1">
      <c r="A858" s="36"/>
      <c r="B858" s="343"/>
      <c r="C858" s="344" t="s">
        <v>542</v>
      </c>
      <c r="D858" s="350"/>
      <c r="E858" s="346"/>
      <c r="F858" s="347" t="s">
        <v>682</v>
      </c>
      <c r="G858" s="409"/>
      <c r="H858" s="348"/>
      <c r="I858" s="348"/>
      <c r="J858" s="410"/>
      <c r="K858" s="410"/>
      <c r="L858" s="410"/>
      <c r="M858" s="410"/>
      <c r="N858" s="410"/>
      <c r="O858" s="349"/>
      <c r="P858" s="411"/>
      <c r="Q858" s="132"/>
      <c r="R858" s="207"/>
      <c r="AK858" s="141"/>
    </row>
    <row r="859" spans="1:93" ht="26.45" outlineLevel="1">
      <c r="A859" s="36"/>
      <c r="B859" s="343"/>
      <c r="C859" s="344" t="s">
        <v>542</v>
      </c>
      <c r="D859" s="350"/>
      <c r="E859" s="346"/>
      <c r="F859" s="347" t="s">
        <v>683</v>
      </c>
      <c r="G859" s="409"/>
      <c r="H859" s="348"/>
      <c r="I859" s="348"/>
      <c r="J859" s="410"/>
      <c r="K859" s="410"/>
      <c r="L859" s="410"/>
      <c r="M859" s="410"/>
      <c r="N859" s="410"/>
      <c r="O859" s="349"/>
      <c r="P859" s="411"/>
      <c r="Q859" s="132"/>
      <c r="R859" s="207"/>
      <c r="AK859" s="141"/>
    </row>
    <row r="860" spans="1:93" ht="26.45" outlineLevel="1">
      <c r="A860" s="36"/>
      <c r="B860" s="343"/>
      <c r="C860" s="344" t="s">
        <v>542</v>
      </c>
      <c r="D860" s="350"/>
      <c r="E860" s="346"/>
      <c r="F860" s="347" t="s">
        <v>684</v>
      </c>
      <c r="G860" s="409"/>
      <c r="H860" s="348"/>
      <c r="I860" s="348"/>
      <c r="J860" s="410"/>
      <c r="K860" s="410"/>
      <c r="L860" s="410"/>
      <c r="M860" s="410"/>
      <c r="N860" s="410"/>
      <c r="O860" s="349"/>
      <c r="P860" s="411"/>
      <c r="Q860" s="132"/>
      <c r="R860" s="207"/>
      <c r="AK860" s="141"/>
    </row>
    <row r="861" spans="1:93" outlineLevel="1">
      <c r="A861" s="36"/>
      <c r="B861" s="343"/>
      <c r="C861" s="344" t="s">
        <v>542</v>
      </c>
      <c r="D861" s="350"/>
      <c r="E861" s="346"/>
      <c r="F861" s="347" t="s">
        <v>680</v>
      </c>
      <c r="G861" s="409"/>
      <c r="H861" s="348"/>
      <c r="I861" s="348"/>
      <c r="J861" s="410"/>
      <c r="K861" s="410"/>
      <c r="L861" s="410"/>
      <c r="M861" s="410"/>
      <c r="N861" s="410"/>
      <c r="O861" s="349"/>
      <c r="P861" s="411"/>
      <c r="Q861" s="132"/>
      <c r="R861" s="207"/>
      <c r="AK861" s="141"/>
    </row>
    <row r="862" spans="1:93" outlineLevel="1">
      <c r="A862" s="36"/>
      <c r="B862" s="311" t="s">
        <v>30</v>
      </c>
      <c r="C862" s="327" t="s">
        <v>542</v>
      </c>
      <c r="D862" s="277">
        <v>11361601500</v>
      </c>
      <c r="E862" s="328">
        <v>11361603500</v>
      </c>
      <c r="F862" s="329" t="s">
        <v>548</v>
      </c>
      <c r="G862" s="330"/>
      <c r="H862" s="331" t="s">
        <v>28</v>
      </c>
      <c r="I862" s="331">
        <v>500</v>
      </c>
      <c r="J862" s="279">
        <v>2.4500000000000002</v>
      </c>
      <c r="K862" s="279">
        <v>2.99</v>
      </c>
      <c r="L862" s="279">
        <v>0</v>
      </c>
      <c r="M862" s="279">
        <v>2.4500000000000002</v>
      </c>
      <c r="N862" s="279">
        <v>0</v>
      </c>
      <c r="O862" s="332">
        <v>2.99</v>
      </c>
      <c r="P862" s="333">
        <v>0</v>
      </c>
      <c r="Q862" s="132"/>
      <c r="R862" s="222">
        <v>239</v>
      </c>
      <c r="AK862" s="141">
        <v>239.20000000000002</v>
      </c>
    </row>
    <row r="863" spans="1:93" s="92" customFormat="1" outlineLevel="1">
      <c r="A863" s="155"/>
      <c r="B863" s="311" t="s">
        <v>30</v>
      </c>
      <c r="C863" s="327" t="s">
        <v>542</v>
      </c>
      <c r="D863" s="277">
        <v>11367701300</v>
      </c>
      <c r="E863" s="328">
        <v>11367703300</v>
      </c>
      <c r="F863" s="329" t="s">
        <v>550</v>
      </c>
      <c r="G863" s="330"/>
      <c r="H863" s="331" t="s">
        <v>28</v>
      </c>
      <c r="I863" s="331">
        <v>300</v>
      </c>
      <c r="J863" s="279">
        <v>4.04</v>
      </c>
      <c r="K863" s="279">
        <v>4.93</v>
      </c>
      <c r="L863" s="279">
        <v>0</v>
      </c>
      <c r="M863" s="279">
        <v>4.04</v>
      </c>
      <c r="N863" s="279">
        <v>0</v>
      </c>
      <c r="O863" s="332">
        <v>4.93</v>
      </c>
      <c r="P863" s="333">
        <v>0</v>
      </c>
      <c r="Q863" s="132"/>
      <c r="R863" s="222">
        <v>394</v>
      </c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 s="141">
        <v>394.40000000000003</v>
      </c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</row>
    <row r="864" spans="1:93">
      <c r="Q864" s="132"/>
    </row>
    <row r="865" spans="1:38" s="74" customFormat="1" outlineLevel="1">
      <c r="A865" s="156"/>
      <c r="B865" s="352" t="s">
        <v>30</v>
      </c>
      <c r="C865" s="327" t="s">
        <v>542</v>
      </c>
      <c r="D865" s="311">
        <v>12503071002</v>
      </c>
      <c r="E865" s="311">
        <v>12503073002</v>
      </c>
      <c r="F865" s="354" t="s">
        <v>555</v>
      </c>
      <c r="G865" s="228"/>
      <c r="H865" s="244" t="s">
        <v>65</v>
      </c>
      <c r="I865" s="244">
        <v>50</v>
      </c>
      <c r="J865" s="353">
        <v>1.19</v>
      </c>
      <c r="K865" s="229">
        <f t="shared" ref="K865:K866" si="865">ROUND((J865*$C$3),2)</f>
        <v>1.45</v>
      </c>
      <c r="L865" s="279">
        <f t="shared" ref="L865:L866" si="866">K865*G865</f>
        <v>0</v>
      </c>
      <c r="M865" s="279">
        <f t="shared" ref="M865:M866" si="867">J865*(1-$E$5-$E$7)*(1-$E$9)*(1+$E$11)</f>
        <v>1.19</v>
      </c>
      <c r="N865" s="279">
        <f t="shared" ref="N865:N866" si="868">M865*G865</f>
        <v>0</v>
      </c>
      <c r="O865" s="332">
        <f t="shared" ref="O865:O866" si="869">ROUND((M865*$C$3),2)</f>
        <v>1.45</v>
      </c>
      <c r="P865" s="333">
        <f t="shared" ref="P865:P866" si="870">O865*G865</f>
        <v>0</v>
      </c>
      <c r="Q865" s="132"/>
      <c r="R865" s="222">
        <f t="shared" ref="R865:R866" si="871">ROUND(AK865,0)</f>
        <v>116</v>
      </c>
      <c r="AK865" s="141">
        <f t="shared" ref="AK865:AK866" si="872">K865*$AK$11*(1-$AK$10)</f>
        <v>116</v>
      </c>
      <c r="AL865"/>
    </row>
    <row r="866" spans="1:38" s="74" customFormat="1" outlineLevel="1">
      <c r="A866" s="156"/>
      <c r="B866" s="352" t="s">
        <v>30</v>
      </c>
      <c r="C866" s="327" t="s">
        <v>542</v>
      </c>
      <c r="D866" s="311">
        <v>12591971002</v>
      </c>
      <c r="E866" s="311">
        <v>12591973002</v>
      </c>
      <c r="F866" s="329" t="s">
        <v>556</v>
      </c>
      <c r="G866" s="228"/>
      <c r="H866" s="244" t="s">
        <v>65</v>
      </c>
      <c r="I866" s="244">
        <v>50</v>
      </c>
      <c r="J866" s="353">
        <v>2.0299999999999998</v>
      </c>
      <c r="K866" s="229">
        <f t="shared" si="865"/>
        <v>2.48</v>
      </c>
      <c r="L866" s="279">
        <f t="shared" si="866"/>
        <v>0</v>
      </c>
      <c r="M866" s="279">
        <f t="shared" si="867"/>
        <v>2.0299999999999998</v>
      </c>
      <c r="N866" s="279">
        <f t="shared" si="868"/>
        <v>0</v>
      </c>
      <c r="O866" s="332">
        <f t="shared" si="869"/>
        <v>2.48</v>
      </c>
      <c r="P866" s="333">
        <f t="shared" si="870"/>
        <v>0</v>
      </c>
      <c r="Q866" s="132"/>
      <c r="R866" s="222">
        <f t="shared" si="871"/>
        <v>198</v>
      </c>
      <c r="AK866" s="141">
        <f t="shared" si="872"/>
        <v>198.4</v>
      </c>
      <c r="AL866"/>
    </row>
    <row r="867" spans="1:38" s="74" customFormat="1" outlineLevel="1">
      <c r="A867" s="156"/>
      <c r="B867" s="160"/>
      <c r="C867" s="161"/>
      <c r="D867" s="132"/>
      <c r="E867" s="132"/>
      <c r="F867" s="162"/>
      <c r="G867" s="163"/>
      <c r="H867" s="164"/>
      <c r="I867" s="164"/>
      <c r="J867" s="165"/>
      <c r="K867" s="166"/>
      <c r="L867" s="119"/>
      <c r="M867" s="119"/>
      <c r="N867" s="119"/>
      <c r="O867" s="167"/>
      <c r="P867" s="168"/>
      <c r="Q867" s="132"/>
      <c r="R867" s="169"/>
      <c r="AK867" s="141"/>
      <c r="AL867"/>
    </row>
    <row r="868" spans="1:38" s="74" customFormat="1" outlineLevel="1">
      <c r="A868" s="156"/>
      <c r="B868" s="352" t="s">
        <v>30</v>
      </c>
      <c r="C868" s="327" t="s">
        <v>542</v>
      </c>
      <c r="D868" s="311">
        <v>12503171002</v>
      </c>
      <c r="E868" s="311">
        <v>12503173002</v>
      </c>
      <c r="F868" s="329" t="s">
        <v>559</v>
      </c>
      <c r="G868" s="228"/>
      <c r="H868" s="244" t="s">
        <v>65</v>
      </c>
      <c r="I868" s="244">
        <v>10</v>
      </c>
      <c r="J868" s="279">
        <v>3.9432929487179491</v>
      </c>
      <c r="K868" s="279">
        <v>4.8099999999999996</v>
      </c>
      <c r="L868" s="279">
        <v>0</v>
      </c>
      <c r="M868" s="279">
        <v>3.9432929487179491</v>
      </c>
      <c r="N868" s="279">
        <v>0</v>
      </c>
      <c r="O868" s="332">
        <v>4.8099999999999996</v>
      </c>
      <c r="P868" s="333">
        <v>0</v>
      </c>
      <c r="Q868" s="132"/>
      <c r="R868" s="222">
        <v>385</v>
      </c>
      <c r="AK868" s="141">
        <v>384.79999999999995</v>
      </c>
      <c r="AL868"/>
    </row>
    <row r="869" spans="1:38" s="74" customFormat="1" outlineLevel="1">
      <c r="A869" s="156"/>
      <c r="B869" s="352" t="s">
        <v>30</v>
      </c>
      <c r="C869" s="327" t="s">
        <v>542</v>
      </c>
      <c r="D869" s="311">
        <v>12591871002</v>
      </c>
      <c r="E869" s="311">
        <v>12591873002</v>
      </c>
      <c r="F869" s="329" t="s">
        <v>560</v>
      </c>
      <c r="G869" s="228"/>
      <c r="H869" s="244" t="s">
        <v>65</v>
      </c>
      <c r="I869" s="244">
        <v>5</v>
      </c>
      <c r="J869" s="279">
        <v>5.1188952177777782</v>
      </c>
      <c r="K869" s="279">
        <v>6.25</v>
      </c>
      <c r="L869" s="279">
        <v>0</v>
      </c>
      <c r="M869" s="279">
        <v>5.1188952177777782</v>
      </c>
      <c r="N869" s="279">
        <v>0</v>
      </c>
      <c r="O869" s="332">
        <v>6.25</v>
      </c>
      <c r="P869" s="333">
        <v>0</v>
      </c>
      <c r="Q869" s="132"/>
      <c r="R869" s="222">
        <v>500</v>
      </c>
      <c r="AK869" s="141">
        <v>500</v>
      </c>
      <c r="AL869"/>
    </row>
    <row r="870" spans="1:38" s="74" customFormat="1" outlineLevel="1">
      <c r="A870" s="156"/>
      <c r="B870" s="352" t="s">
        <v>30</v>
      </c>
      <c r="C870" s="327" t="s">
        <v>542</v>
      </c>
      <c r="D870" s="311">
        <v>12685701001</v>
      </c>
      <c r="E870" s="311">
        <v>12685703001</v>
      </c>
      <c r="F870" s="329" t="s">
        <v>566</v>
      </c>
      <c r="G870" s="228"/>
      <c r="H870" s="244" t="s">
        <v>65</v>
      </c>
      <c r="I870" s="244">
        <v>10</v>
      </c>
      <c r="J870" s="279">
        <v>4.7142077540983607</v>
      </c>
      <c r="K870" s="279">
        <v>5.75</v>
      </c>
      <c r="L870" s="279">
        <v>0</v>
      </c>
      <c r="M870" s="279">
        <v>4.7142077540983607</v>
      </c>
      <c r="N870" s="279">
        <v>0</v>
      </c>
      <c r="O870" s="332">
        <v>5.75</v>
      </c>
      <c r="P870" s="333">
        <v>0</v>
      </c>
      <c r="Q870" s="132"/>
      <c r="R870" s="222">
        <v>460</v>
      </c>
      <c r="AK870" s="141">
        <v>460</v>
      </c>
      <c r="AL870"/>
    </row>
    <row r="871" spans="1:38" s="74" customFormat="1" outlineLevel="1">
      <c r="A871" s="156"/>
      <c r="B871" s="352" t="s">
        <v>30</v>
      </c>
      <c r="C871" s="327" t="s">
        <v>542</v>
      </c>
      <c r="D871" s="311">
        <v>12588271002</v>
      </c>
      <c r="E871" s="311">
        <v>12588273002</v>
      </c>
      <c r="F871" s="329" t="s">
        <v>567</v>
      </c>
      <c r="G871" s="228"/>
      <c r="H871" s="244" t="s">
        <v>65</v>
      </c>
      <c r="I871" s="244">
        <v>10</v>
      </c>
      <c r="J871" s="279">
        <v>5.2483500000000003</v>
      </c>
      <c r="K871" s="279">
        <v>6.4</v>
      </c>
      <c r="L871" s="279">
        <v>0</v>
      </c>
      <c r="M871" s="279">
        <v>5.2483500000000003</v>
      </c>
      <c r="N871" s="279">
        <v>0</v>
      </c>
      <c r="O871" s="332">
        <v>6.4</v>
      </c>
      <c r="P871" s="333">
        <v>0</v>
      </c>
      <c r="Q871" s="132"/>
      <c r="R871" s="222">
        <v>512</v>
      </c>
      <c r="AK871" s="141">
        <v>512</v>
      </c>
      <c r="AL871"/>
    </row>
    <row r="872" spans="1:38" s="74" customFormat="1" outlineLevel="1">
      <c r="A872" s="156"/>
      <c r="B872" s="352" t="s">
        <v>30</v>
      </c>
      <c r="C872" s="327" t="s">
        <v>542</v>
      </c>
      <c r="D872" s="311">
        <v>12685801001</v>
      </c>
      <c r="E872" s="311">
        <v>12685803001</v>
      </c>
      <c r="F872" s="329" t="s">
        <v>568</v>
      </c>
      <c r="G872" s="228"/>
      <c r="H872" s="244" t="s">
        <v>65</v>
      </c>
      <c r="I872" s="244">
        <v>5</v>
      </c>
      <c r="J872" s="279">
        <v>5.4127904191616771</v>
      </c>
      <c r="K872" s="279">
        <v>6.6</v>
      </c>
      <c r="L872" s="279">
        <v>0</v>
      </c>
      <c r="M872" s="279">
        <v>5.4127904191616771</v>
      </c>
      <c r="N872" s="279">
        <v>0</v>
      </c>
      <c r="O872" s="332">
        <v>6.6</v>
      </c>
      <c r="P872" s="333">
        <v>0</v>
      </c>
      <c r="Q872" s="132"/>
      <c r="R872" s="222">
        <v>528</v>
      </c>
      <c r="AK872" s="141">
        <v>528</v>
      </c>
      <c r="AL872"/>
    </row>
    <row r="873" spans="1:38" s="74" customFormat="1" outlineLevel="1">
      <c r="A873" s="156"/>
      <c r="B873" s="352" t="s">
        <v>30</v>
      </c>
      <c r="C873" s="327" t="s">
        <v>542</v>
      </c>
      <c r="D873" s="311">
        <v>12534391002</v>
      </c>
      <c r="E873" s="311">
        <v>12534393002</v>
      </c>
      <c r="F873" s="329" t="s">
        <v>569</v>
      </c>
      <c r="G873" s="228"/>
      <c r="H873" s="244" t="s">
        <v>65</v>
      </c>
      <c r="I873" s="244">
        <v>5</v>
      </c>
      <c r="J873" s="279">
        <v>6.8183686928104592</v>
      </c>
      <c r="K873" s="279">
        <v>8.32</v>
      </c>
      <c r="L873" s="279">
        <v>0</v>
      </c>
      <c r="M873" s="279">
        <v>6.8183686928104592</v>
      </c>
      <c r="N873" s="279">
        <v>0</v>
      </c>
      <c r="O873" s="332">
        <v>8.32</v>
      </c>
      <c r="P873" s="333">
        <v>0</v>
      </c>
      <c r="Q873" s="132"/>
      <c r="R873" s="222">
        <v>666</v>
      </c>
      <c r="AK873" s="141">
        <v>665.6</v>
      </c>
      <c r="AL873"/>
    </row>
    <row r="874" spans="1:38" s="74" customFormat="1" outlineLevel="1">
      <c r="A874" s="156"/>
      <c r="B874" s="352" t="s">
        <v>30</v>
      </c>
      <c r="C874" s="327" t="s">
        <v>542</v>
      </c>
      <c r="D874" s="311">
        <v>12589071002</v>
      </c>
      <c r="E874" s="311">
        <v>12589073002</v>
      </c>
      <c r="F874" s="362" t="s">
        <v>574</v>
      </c>
      <c r="G874" s="228"/>
      <c r="H874" s="244" t="s">
        <v>65</v>
      </c>
      <c r="I874" s="244">
        <v>5</v>
      </c>
      <c r="J874" s="279">
        <v>6.8425357070193291</v>
      </c>
      <c r="K874" s="279">
        <v>8.35</v>
      </c>
      <c r="L874" s="279">
        <v>0</v>
      </c>
      <c r="M874" s="279">
        <v>6.8425357070193291</v>
      </c>
      <c r="N874" s="279">
        <v>0</v>
      </c>
      <c r="O874" s="332">
        <v>8.35</v>
      </c>
      <c r="P874" s="333">
        <v>0</v>
      </c>
      <c r="Q874" s="132"/>
      <c r="R874" s="222">
        <v>668</v>
      </c>
      <c r="AK874" s="141">
        <v>668</v>
      </c>
      <c r="AL874"/>
    </row>
    <row r="875" spans="1:38" s="74" customFormat="1" outlineLevel="1">
      <c r="A875" s="156"/>
      <c r="B875" s="352" t="s">
        <v>30</v>
      </c>
      <c r="C875" s="327" t="s">
        <v>542</v>
      </c>
      <c r="D875" s="311">
        <v>12594491002</v>
      </c>
      <c r="E875" s="311">
        <v>12594493002</v>
      </c>
      <c r="F875" s="362" t="s">
        <v>575</v>
      </c>
      <c r="G875" s="228"/>
      <c r="H875" s="244" t="s">
        <v>65</v>
      </c>
      <c r="I875" s="244">
        <v>5</v>
      </c>
      <c r="J875" s="279">
        <v>11.072929227665705</v>
      </c>
      <c r="K875" s="279">
        <v>13.51</v>
      </c>
      <c r="L875" s="279">
        <v>0</v>
      </c>
      <c r="M875" s="279">
        <v>11.072929227665705</v>
      </c>
      <c r="N875" s="279">
        <v>0</v>
      </c>
      <c r="O875" s="332">
        <v>13.51</v>
      </c>
      <c r="P875" s="333">
        <v>0</v>
      </c>
      <c r="Q875" s="132"/>
      <c r="R875" s="222">
        <v>1081</v>
      </c>
      <c r="AK875" s="141">
        <v>1080.8</v>
      </c>
      <c r="AL875"/>
    </row>
    <row r="876" spans="1:38" s="74" customFormat="1" outlineLevel="1">
      <c r="A876" s="156"/>
      <c r="B876" s="352"/>
      <c r="C876" s="327"/>
      <c r="D876" s="311"/>
      <c r="E876" s="311"/>
      <c r="F876" s="362"/>
      <c r="G876" s="228"/>
      <c r="H876" s="244"/>
      <c r="I876" s="244"/>
      <c r="J876" s="279"/>
      <c r="K876" s="279"/>
      <c r="L876" s="279"/>
      <c r="M876" s="279"/>
      <c r="N876" s="279"/>
      <c r="O876" s="332"/>
      <c r="P876" s="333"/>
      <c r="Q876" s="132"/>
      <c r="R876" s="222"/>
      <c r="AK876" s="141"/>
      <c r="AL876"/>
    </row>
    <row r="877" spans="1:38" outlineLevel="1">
      <c r="A877" s="36"/>
      <c r="B877" s="352" t="s">
        <v>30</v>
      </c>
      <c r="C877" s="327" t="s">
        <v>542</v>
      </c>
      <c r="D877" s="369"/>
      <c r="E877" s="311">
        <v>12442483002</v>
      </c>
      <c r="F877" s="354" t="s">
        <v>595</v>
      </c>
      <c r="G877" s="361"/>
      <c r="H877" s="369" t="s">
        <v>28</v>
      </c>
      <c r="I877" s="369">
        <v>10</v>
      </c>
      <c r="J877" s="279">
        <v>1.71</v>
      </c>
      <c r="K877" s="279">
        <f>ROUND((J877*$C$3),2)</f>
        <v>2.09</v>
      </c>
      <c r="L877" s="279">
        <f>K877*G877</f>
        <v>0</v>
      </c>
      <c r="M877" s="279">
        <f>J877*(1-$E$5-$E$7)*(1-$E$9)*(1+$E$11)</f>
        <v>1.71</v>
      </c>
      <c r="N877" s="279">
        <f>M877*G877</f>
        <v>0</v>
      </c>
      <c r="O877" s="370">
        <f>ROUND((M877*$C$3),2)</f>
        <v>2.09</v>
      </c>
      <c r="P877" s="333">
        <f>O877*G877</f>
        <v>0</v>
      </c>
      <c r="Q877" s="132"/>
      <c r="R877" s="222">
        <f t="shared" ref="R877" si="873">ROUND(AK877,0)</f>
        <v>167</v>
      </c>
      <c r="AK877" s="141">
        <f t="shared" ref="AK877" si="874">K877*$AK$11*(1-$AK$10)</f>
        <v>167.20000000000002</v>
      </c>
    </row>
    <row r="878" spans="1:38" outlineLevel="1">
      <c r="A878" s="36"/>
      <c r="B878" s="352" t="s">
        <v>30</v>
      </c>
      <c r="C878" s="327" t="s">
        <v>542</v>
      </c>
      <c r="D878" s="311">
        <v>12662101001</v>
      </c>
      <c r="E878" s="311">
        <v>11098211001</v>
      </c>
      <c r="F878" s="354" t="s">
        <v>681</v>
      </c>
      <c r="G878" s="361"/>
      <c r="H878" s="369" t="s">
        <v>28</v>
      </c>
      <c r="I878" s="369">
        <v>25</v>
      </c>
      <c r="J878" s="279">
        <v>4</v>
      </c>
      <c r="K878" s="279">
        <f t="shared" ref="K878:K879" si="875">ROUND((J878*$C$3),2)</f>
        <v>4.88</v>
      </c>
      <c r="L878" s="279">
        <f t="shared" ref="L878" si="876">K878*G878</f>
        <v>0</v>
      </c>
      <c r="M878" s="279">
        <f t="shared" ref="M878:M879" si="877">J878*(1-$E$5-$E$7)*(1-$E$9)*(1+$E$11)</f>
        <v>4</v>
      </c>
      <c r="N878" s="279">
        <f t="shared" ref="N878" si="878">M878*G878</f>
        <v>0</v>
      </c>
      <c r="O878" s="370">
        <f t="shared" ref="O878:O879" si="879">ROUND((M878*$C$3),2)</f>
        <v>4.88</v>
      </c>
      <c r="P878" s="333">
        <f t="shared" ref="P878" si="880">O878*G878</f>
        <v>0</v>
      </c>
      <c r="Q878" s="132"/>
      <c r="R878" s="222">
        <f t="shared" si="858"/>
        <v>390</v>
      </c>
      <c r="AK878" s="141">
        <f>K878*$AK$11*(1-$AK$10)</f>
        <v>390.40000000000003</v>
      </c>
    </row>
    <row r="879" spans="1:38" s="74" customFormat="1" ht="30.6" outlineLevel="1">
      <c r="A879" s="148" t="s">
        <v>25</v>
      </c>
      <c r="B879" s="208" t="s">
        <v>26</v>
      </c>
      <c r="C879" s="351" t="s">
        <v>542</v>
      </c>
      <c r="D879" s="375"/>
      <c r="E879" s="188">
        <v>12592681001</v>
      </c>
      <c r="F879" s="376" t="s">
        <v>596</v>
      </c>
      <c r="G879" s="211"/>
      <c r="H879" s="375" t="s">
        <v>65</v>
      </c>
      <c r="I879" s="375">
        <v>500</v>
      </c>
      <c r="J879" s="212">
        <v>0.08</v>
      </c>
      <c r="K879" s="212">
        <f t="shared" si="875"/>
        <v>0.1</v>
      </c>
      <c r="L879" s="212">
        <f>K879*G879</f>
        <v>0</v>
      </c>
      <c r="M879" s="212">
        <f t="shared" si="877"/>
        <v>0.08</v>
      </c>
      <c r="N879" s="212">
        <f>M879*G879</f>
        <v>0</v>
      </c>
      <c r="O879" s="377">
        <f t="shared" si="879"/>
        <v>0.1</v>
      </c>
      <c r="P879" s="213">
        <f>O879*G879</f>
        <v>0</v>
      </c>
      <c r="Q879" s="132"/>
      <c r="R879" s="214">
        <f t="shared" si="858"/>
        <v>8</v>
      </c>
      <c r="AK879" s="141">
        <f>K879*$AK$11*(1-$AK$10)</f>
        <v>8</v>
      </c>
      <c r="AL879"/>
    </row>
    <row r="880" spans="1:38" outlineLevel="1">
      <c r="A880" s="36"/>
      <c r="B880" s="371"/>
      <c r="C880" s="367"/>
      <c r="D880" s="372"/>
      <c r="E880" s="217"/>
      <c r="F880" s="373"/>
      <c r="G880" s="219"/>
      <c r="H880" s="372"/>
      <c r="I880" s="372"/>
      <c r="J880" s="220"/>
      <c r="K880" s="220"/>
      <c r="L880" s="220"/>
      <c r="M880" s="220"/>
      <c r="N880" s="220"/>
      <c r="O880" s="374"/>
      <c r="P880" s="221"/>
      <c r="Q880" s="132"/>
      <c r="R880" s="222"/>
      <c r="AK880" s="141"/>
    </row>
    <row r="881" spans="1:93" outlineLevel="1">
      <c r="A881" s="36"/>
      <c r="B881" s="343"/>
      <c r="C881" s="344" t="s">
        <v>542</v>
      </c>
      <c r="D881" s="350"/>
      <c r="E881" s="346"/>
      <c r="F881" s="347" t="s">
        <v>685</v>
      </c>
      <c r="G881" s="409"/>
      <c r="H881" s="348"/>
      <c r="I881" s="348"/>
      <c r="J881" s="410"/>
      <c r="K881" s="410"/>
      <c r="L881" s="410"/>
      <c r="M881" s="410"/>
      <c r="N881" s="410"/>
      <c r="O881" s="349"/>
      <c r="P881" s="411"/>
      <c r="Q881" s="132"/>
      <c r="R881" s="207"/>
      <c r="AK881" s="141"/>
    </row>
    <row r="882" spans="1:93" outlineLevel="1">
      <c r="A882" s="36"/>
      <c r="B882" s="343"/>
      <c r="C882" s="344" t="s">
        <v>542</v>
      </c>
      <c r="D882" s="350"/>
      <c r="E882" s="346"/>
      <c r="F882" s="347" t="s">
        <v>686</v>
      </c>
      <c r="G882" s="409"/>
      <c r="H882" s="348"/>
      <c r="I882" s="348"/>
      <c r="J882" s="410"/>
      <c r="K882" s="410"/>
      <c r="L882" s="410"/>
      <c r="M882" s="410"/>
      <c r="N882" s="410"/>
      <c r="O882" s="349"/>
      <c r="P882" s="411"/>
      <c r="Q882" s="132"/>
      <c r="R882" s="207"/>
      <c r="AK882" s="141"/>
    </row>
    <row r="883" spans="1:93" outlineLevel="1">
      <c r="A883" s="36"/>
      <c r="B883" s="343"/>
      <c r="C883" s="344" t="s">
        <v>542</v>
      </c>
      <c r="D883" s="350"/>
      <c r="E883" s="346"/>
      <c r="F883" s="347" t="s">
        <v>687</v>
      </c>
      <c r="G883" s="409"/>
      <c r="H883" s="348"/>
      <c r="I883" s="348"/>
      <c r="J883" s="410"/>
      <c r="K883" s="410"/>
      <c r="L883" s="410"/>
      <c r="M883" s="410"/>
      <c r="N883" s="410"/>
      <c r="O883" s="349"/>
      <c r="P883" s="411"/>
      <c r="Q883" s="132"/>
      <c r="R883" s="207"/>
      <c r="AK883" s="141"/>
    </row>
    <row r="884" spans="1:93" ht="26.45" outlineLevel="1">
      <c r="A884" s="36"/>
      <c r="B884" s="343"/>
      <c r="C884" s="344" t="s">
        <v>542</v>
      </c>
      <c r="D884" s="350"/>
      <c r="E884" s="346"/>
      <c r="F884" s="347" t="s">
        <v>688</v>
      </c>
      <c r="G884" s="409"/>
      <c r="H884" s="348"/>
      <c r="I884" s="348"/>
      <c r="J884" s="410"/>
      <c r="K884" s="410"/>
      <c r="L884" s="410"/>
      <c r="M884" s="410"/>
      <c r="N884" s="410"/>
      <c r="O884" s="349"/>
      <c r="P884" s="411"/>
      <c r="Q884" s="132"/>
      <c r="R884" s="207"/>
      <c r="AK884" s="141"/>
    </row>
    <row r="885" spans="1:93" outlineLevel="1">
      <c r="A885" s="36"/>
      <c r="B885" s="343"/>
      <c r="C885" s="344" t="s">
        <v>542</v>
      </c>
      <c r="D885" s="350"/>
      <c r="E885" s="346"/>
      <c r="F885" s="347" t="s">
        <v>680</v>
      </c>
      <c r="G885" s="409"/>
      <c r="H885" s="348"/>
      <c r="I885" s="348"/>
      <c r="J885" s="410"/>
      <c r="K885" s="410"/>
      <c r="L885" s="410"/>
      <c r="M885" s="410"/>
      <c r="N885" s="410"/>
      <c r="O885" s="349"/>
      <c r="P885" s="411"/>
      <c r="Q885" s="132"/>
      <c r="R885" s="207"/>
      <c r="AK885" s="141"/>
    </row>
    <row r="886" spans="1:93" outlineLevel="1">
      <c r="A886" s="36"/>
      <c r="B886" s="311" t="s">
        <v>30</v>
      </c>
      <c r="C886" s="327" t="s">
        <v>542</v>
      </c>
      <c r="D886" s="277">
        <v>11361601500</v>
      </c>
      <c r="E886" s="328">
        <v>11361603500</v>
      </c>
      <c r="F886" s="329" t="s">
        <v>548</v>
      </c>
      <c r="G886" s="330"/>
      <c r="H886" s="331" t="s">
        <v>28</v>
      </c>
      <c r="I886" s="331">
        <v>500</v>
      </c>
      <c r="J886" s="279">
        <v>2.4500000000000002</v>
      </c>
      <c r="K886" s="279">
        <v>2.99</v>
      </c>
      <c r="L886" s="279">
        <v>0</v>
      </c>
      <c r="M886" s="279">
        <v>2.4500000000000002</v>
      </c>
      <c r="N886" s="279">
        <v>0</v>
      </c>
      <c r="O886" s="332">
        <v>2.99</v>
      </c>
      <c r="P886" s="333">
        <v>0</v>
      </c>
      <c r="Q886" s="132"/>
      <c r="R886" s="222">
        <v>239</v>
      </c>
      <c r="AK886" s="141">
        <v>239.20000000000002</v>
      </c>
    </row>
    <row r="887" spans="1:93" s="92" customFormat="1" outlineLevel="1">
      <c r="A887" s="155"/>
      <c r="B887" s="311" t="s">
        <v>30</v>
      </c>
      <c r="C887" s="327" t="s">
        <v>542</v>
      </c>
      <c r="D887" s="277">
        <v>11367701300</v>
      </c>
      <c r="E887" s="328">
        <v>11367703300</v>
      </c>
      <c r="F887" s="329" t="s">
        <v>550</v>
      </c>
      <c r="G887" s="330"/>
      <c r="H887" s="331" t="s">
        <v>28</v>
      </c>
      <c r="I887" s="331">
        <v>300</v>
      </c>
      <c r="J887" s="279">
        <v>4.04</v>
      </c>
      <c r="K887" s="279">
        <v>4.93</v>
      </c>
      <c r="L887" s="279">
        <v>0</v>
      </c>
      <c r="M887" s="279">
        <v>4.04</v>
      </c>
      <c r="N887" s="279">
        <v>0</v>
      </c>
      <c r="O887" s="332">
        <v>4.93</v>
      </c>
      <c r="P887" s="333">
        <v>0</v>
      </c>
      <c r="Q887" s="132"/>
      <c r="R887" s="222">
        <v>394</v>
      </c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 s="141">
        <v>394.40000000000003</v>
      </c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</row>
    <row r="888" spans="1:93">
      <c r="Q888" s="132"/>
    </row>
    <row r="889" spans="1:93" s="74" customFormat="1" outlineLevel="1">
      <c r="A889" s="156"/>
      <c r="B889" s="352" t="s">
        <v>30</v>
      </c>
      <c r="C889" s="327" t="s">
        <v>542</v>
      </c>
      <c r="D889" s="311">
        <v>12503071002</v>
      </c>
      <c r="E889" s="311">
        <v>12503073002</v>
      </c>
      <c r="F889" s="354" t="s">
        <v>555</v>
      </c>
      <c r="G889" s="228"/>
      <c r="H889" s="244" t="s">
        <v>65</v>
      </c>
      <c r="I889" s="244">
        <v>50</v>
      </c>
      <c r="J889" s="353">
        <v>1.19</v>
      </c>
      <c r="K889" s="229">
        <f t="shared" ref="K889:K890" si="881">ROUND((J889*$C$3),2)</f>
        <v>1.45</v>
      </c>
      <c r="L889" s="279">
        <f t="shared" ref="L889:L890" si="882">K889*G889</f>
        <v>0</v>
      </c>
      <c r="M889" s="279">
        <f t="shared" ref="M889:M890" si="883">J889*(1-$E$5-$E$7)*(1-$E$9)*(1+$E$11)</f>
        <v>1.19</v>
      </c>
      <c r="N889" s="279">
        <f t="shared" ref="N889:N890" si="884">M889*G889</f>
        <v>0</v>
      </c>
      <c r="O889" s="332">
        <f t="shared" ref="O889:O890" si="885">ROUND((M889*$C$3),2)</f>
        <v>1.45</v>
      </c>
      <c r="P889" s="333">
        <f t="shared" ref="P889:P890" si="886">O889*G889</f>
        <v>0</v>
      </c>
      <c r="Q889" s="132"/>
      <c r="R889" s="222">
        <f t="shared" ref="R889:R890" si="887">ROUND(AK889,0)</f>
        <v>116</v>
      </c>
      <c r="AK889" s="141">
        <f t="shared" ref="AK889:AK890" si="888">K889*$AK$11*(1-$AK$10)</f>
        <v>116</v>
      </c>
      <c r="AL889"/>
    </row>
    <row r="890" spans="1:93" s="74" customFormat="1" outlineLevel="1">
      <c r="A890" s="156"/>
      <c r="B890" s="352" t="s">
        <v>30</v>
      </c>
      <c r="C890" s="327" t="s">
        <v>542</v>
      </c>
      <c r="D890" s="311">
        <v>12591971002</v>
      </c>
      <c r="E890" s="311">
        <v>12591973002</v>
      </c>
      <c r="F890" s="329" t="s">
        <v>556</v>
      </c>
      <c r="G890" s="228"/>
      <c r="H890" s="244" t="s">
        <v>65</v>
      </c>
      <c r="I890" s="244">
        <v>50</v>
      </c>
      <c r="J890" s="353">
        <v>2.0299999999999998</v>
      </c>
      <c r="K890" s="229">
        <f t="shared" si="881"/>
        <v>2.48</v>
      </c>
      <c r="L890" s="279">
        <f t="shared" si="882"/>
        <v>0</v>
      </c>
      <c r="M890" s="279">
        <f t="shared" si="883"/>
        <v>2.0299999999999998</v>
      </c>
      <c r="N890" s="279">
        <f t="shared" si="884"/>
        <v>0</v>
      </c>
      <c r="O890" s="332">
        <f t="shared" si="885"/>
        <v>2.48</v>
      </c>
      <c r="P890" s="333">
        <f t="shared" si="886"/>
        <v>0</v>
      </c>
      <c r="Q890" s="132"/>
      <c r="R890" s="222">
        <f t="shared" si="887"/>
        <v>198</v>
      </c>
      <c r="AK890" s="141">
        <f t="shared" si="888"/>
        <v>198.4</v>
      </c>
      <c r="AL890"/>
    </row>
    <row r="891" spans="1:93" s="74" customFormat="1" outlineLevel="1">
      <c r="A891" s="156"/>
      <c r="B891" s="160"/>
      <c r="C891" s="161"/>
      <c r="D891" s="132"/>
      <c r="E891" s="132"/>
      <c r="F891" s="162"/>
      <c r="G891" s="163"/>
      <c r="H891" s="164"/>
      <c r="I891" s="164"/>
      <c r="J891" s="165"/>
      <c r="K891" s="166"/>
      <c r="L891" s="119"/>
      <c r="M891" s="119"/>
      <c r="N891" s="119"/>
      <c r="O891" s="167"/>
      <c r="P891" s="168"/>
      <c r="Q891" s="132"/>
      <c r="R891" s="169"/>
      <c r="AK891" s="141"/>
      <c r="AL891"/>
    </row>
    <row r="892" spans="1:93" s="74" customFormat="1" outlineLevel="1">
      <c r="A892" s="156"/>
      <c r="B892" s="352" t="s">
        <v>30</v>
      </c>
      <c r="C892" s="327" t="s">
        <v>542</v>
      </c>
      <c r="D892" s="311">
        <v>12503171002</v>
      </c>
      <c r="E892" s="311">
        <v>12503173002</v>
      </c>
      <c r="F892" s="329" t="s">
        <v>559</v>
      </c>
      <c r="G892" s="228"/>
      <c r="H892" s="244" t="s">
        <v>65</v>
      </c>
      <c r="I892" s="244">
        <v>10</v>
      </c>
      <c r="J892" s="279">
        <v>3.9432929487179491</v>
      </c>
      <c r="K892" s="279">
        <v>4.8099999999999996</v>
      </c>
      <c r="L892" s="279">
        <v>0</v>
      </c>
      <c r="M892" s="279">
        <v>3.9432929487179491</v>
      </c>
      <c r="N892" s="279">
        <v>0</v>
      </c>
      <c r="O892" s="332">
        <v>4.8099999999999996</v>
      </c>
      <c r="P892" s="333">
        <v>0</v>
      </c>
      <c r="Q892" s="132"/>
      <c r="R892" s="222">
        <v>385</v>
      </c>
      <c r="AK892" s="141">
        <v>384.79999999999995</v>
      </c>
      <c r="AL892"/>
    </row>
    <row r="893" spans="1:93" s="74" customFormat="1" outlineLevel="1">
      <c r="A893" s="156"/>
      <c r="B893" s="352" t="s">
        <v>30</v>
      </c>
      <c r="C893" s="327" t="s">
        <v>542</v>
      </c>
      <c r="D893" s="311">
        <v>12591871002</v>
      </c>
      <c r="E893" s="311">
        <v>12591873002</v>
      </c>
      <c r="F893" s="329" t="s">
        <v>560</v>
      </c>
      <c r="G893" s="228"/>
      <c r="H893" s="244" t="s">
        <v>65</v>
      </c>
      <c r="I893" s="244">
        <v>5</v>
      </c>
      <c r="J893" s="279">
        <v>5.1188952177777782</v>
      </c>
      <c r="K893" s="279">
        <v>6.25</v>
      </c>
      <c r="L893" s="279">
        <v>0</v>
      </c>
      <c r="M893" s="279">
        <v>5.1188952177777782</v>
      </c>
      <c r="N893" s="279">
        <v>0</v>
      </c>
      <c r="O893" s="332">
        <v>6.25</v>
      </c>
      <c r="P893" s="333">
        <v>0</v>
      </c>
      <c r="Q893" s="132"/>
      <c r="R893" s="222">
        <v>500</v>
      </c>
      <c r="AK893" s="141">
        <v>500</v>
      </c>
      <c r="AL893"/>
    </row>
    <row r="894" spans="1:93" s="74" customFormat="1" outlineLevel="1">
      <c r="A894" s="156"/>
      <c r="B894" s="352" t="s">
        <v>30</v>
      </c>
      <c r="C894" s="327" t="s">
        <v>542</v>
      </c>
      <c r="D894" s="311">
        <v>12685701001</v>
      </c>
      <c r="E894" s="311">
        <v>12685703001</v>
      </c>
      <c r="F894" s="329" t="s">
        <v>566</v>
      </c>
      <c r="G894" s="228"/>
      <c r="H894" s="244" t="s">
        <v>65</v>
      </c>
      <c r="I894" s="244">
        <v>10</v>
      </c>
      <c r="J894" s="279">
        <v>4.7142077540983607</v>
      </c>
      <c r="K894" s="279">
        <v>5.75</v>
      </c>
      <c r="L894" s="279">
        <v>0</v>
      </c>
      <c r="M894" s="279">
        <v>4.7142077540983607</v>
      </c>
      <c r="N894" s="279">
        <v>0</v>
      </c>
      <c r="O894" s="332">
        <v>5.75</v>
      </c>
      <c r="P894" s="333">
        <v>0</v>
      </c>
      <c r="Q894" s="132"/>
      <c r="R894" s="222">
        <v>460</v>
      </c>
      <c r="AK894" s="141">
        <v>460</v>
      </c>
      <c r="AL894"/>
    </row>
    <row r="895" spans="1:93" s="74" customFormat="1" outlineLevel="1">
      <c r="A895" s="156"/>
      <c r="B895" s="352" t="s">
        <v>30</v>
      </c>
      <c r="C895" s="327" t="s">
        <v>542</v>
      </c>
      <c r="D895" s="311">
        <v>12588271002</v>
      </c>
      <c r="E895" s="311">
        <v>12588273002</v>
      </c>
      <c r="F895" s="329" t="s">
        <v>567</v>
      </c>
      <c r="G895" s="228"/>
      <c r="H895" s="244" t="s">
        <v>65</v>
      </c>
      <c r="I895" s="244">
        <v>10</v>
      </c>
      <c r="J895" s="279">
        <v>5.2483500000000003</v>
      </c>
      <c r="K895" s="279">
        <v>6.4</v>
      </c>
      <c r="L895" s="279">
        <v>0</v>
      </c>
      <c r="M895" s="279">
        <v>5.2483500000000003</v>
      </c>
      <c r="N895" s="279">
        <v>0</v>
      </c>
      <c r="O895" s="332">
        <v>6.4</v>
      </c>
      <c r="P895" s="333">
        <v>0</v>
      </c>
      <c r="Q895" s="132"/>
      <c r="R895" s="222">
        <v>512</v>
      </c>
      <c r="AK895" s="141">
        <v>512</v>
      </c>
      <c r="AL895"/>
    </row>
    <row r="896" spans="1:93" s="74" customFormat="1" outlineLevel="1">
      <c r="A896" s="156"/>
      <c r="B896" s="352" t="s">
        <v>30</v>
      </c>
      <c r="C896" s="327" t="s">
        <v>542</v>
      </c>
      <c r="D896" s="311">
        <v>12685801001</v>
      </c>
      <c r="E896" s="311">
        <v>12685803001</v>
      </c>
      <c r="F896" s="329" t="s">
        <v>568</v>
      </c>
      <c r="G896" s="228"/>
      <c r="H896" s="244" t="s">
        <v>65</v>
      </c>
      <c r="I896" s="244">
        <v>5</v>
      </c>
      <c r="J896" s="279">
        <v>5.4127904191616771</v>
      </c>
      <c r="K896" s="279">
        <v>6.6</v>
      </c>
      <c r="L896" s="279">
        <v>0</v>
      </c>
      <c r="M896" s="279">
        <v>5.4127904191616771</v>
      </c>
      <c r="N896" s="279">
        <v>0</v>
      </c>
      <c r="O896" s="332">
        <v>6.6</v>
      </c>
      <c r="P896" s="333">
        <v>0</v>
      </c>
      <c r="Q896" s="132"/>
      <c r="R896" s="222">
        <v>528</v>
      </c>
      <c r="AK896" s="141">
        <v>528</v>
      </c>
      <c r="AL896"/>
    </row>
    <row r="897" spans="1:38" s="74" customFormat="1" outlineLevel="1">
      <c r="A897" s="156"/>
      <c r="B897" s="352" t="s">
        <v>30</v>
      </c>
      <c r="C897" s="327" t="s">
        <v>542</v>
      </c>
      <c r="D897" s="311">
        <v>12534391002</v>
      </c>
      <c r="E897" s="311">
        <v>12534393002</v>
      </c>
      <c r="F897" s="329" t="s">
        <v>569</v>
      </c>
      <c r="G897" s="228"/>
      <c r="H897" s="244" t="s">
        <v>65</v>
      </c>
      <c r="I897" s="244">
        <v>5</v>
      </c>
      <c r="J897" s="279">
        <v>6.8183686928104592</v>
      </c>
      <c r="K897" s="279">
        <v>8.32</v>
      </c>
      <c r="L897" s="279">
        <v>0</v>
      </c>
      <c r="M897" s="279">
        <v>6.8183686928104592</v>
      </c>
      <c r="N897" s="279">
        <v>0</v>
      </c>
      <c r="O897" s="332">
        <v>8.32</v>
      </c>
      <c r="P897" s="333">
        <v>0</v>
      </c>
      <c r="Q897" s="132"/>
      <c r="R897" s="222">
        <v>666</v>
      </c>
      <c r="AK897" s="141">
        <v>665.6</v>
      </c>
      <c r="AL897"/>
    </row>
    <row r="898" spans="1:38" s="74" customFormat="1" outlineLevel="1">
      <c r="A898" s="156"/>
      <c r="B898" s="352" t="s">
        <v>30</v>
      </c>
      <c r="C898" s="327" t="s">
        <v>542</v>
      </c>
      <c r="D898" s="311">
        <v>12589071002</v>
      </c>
      <c r="E898" s="311">
        <v>12589073002</v>
      </c>
      <c r="F898" s="362" t="s">
        <v>574</v>
      </c>
      <c r="G898" s="228"/>
      <c r="H898" s="244" t="s">
        <v>65</v>
      </c>
      <c r="I898" s="244">
        <v>5</v>
      </c>
      <c r="J898" s="279">
        <v>6.8425357070193291</v>
      </c>
      <c r="K898" s="279">
        <v>8.35</v>
      </c>
      <c r="L898" s="279">
        <v>0</v>
      </c>
      <c r="M898" s="279">
        <v>6.8425357070193291</v>
      </c>
      <c r="N898" s="279">
        <v>0</v>
      </c>
      <c r="O898" s="332">
        <v>8.35</v>
      </c>
      <c r="P898" s="333">
        <v>0</v>
      </c>
      <c r="Q898" s="132"/>
      <c r="R898" s="222">
        <v>668</v>
      </c>
      <c r="AK898" s="141">
        <v>668</v>
      </c>
      <c r="AL898"/>
    </row>
    <row r="899" spans="1:38" s="74" customFormat="1" outlineLevel="1">
      <c r="A899" s="156"/>
      <c r="B899" s="352" t="s">
        <v>30</v>
      </c>
      <c r="C899" s="327" t="s">
        <v>542</v>
      </c>
      <c r="D899" s="311">
        <v>12594491002</v>
      </c>
      <c r="E899" s="311">
        <v>12594493002</v>
      </c>
      <c r="F899" s="362" t="s">
        <v>575</v>
      </c>
      <c r="G899" s="228"/>
      <c r="H899" s="244" t="s">
        <v>65</v>
      </c>
      <c r="I899" s="244">
        <v>5</v>
      </c>
      <c r="J899" s="279">
        <v>11.072929227665705</v>
      </c>
      <c r="K899" s="279">
        <v>13.51</v>
      </c>
      <c r="L899" s="279">
        <v>0</v>
      </c>
      <c r="M899" s="279">
        <v>11.072929227665705</v>
      </c>
      <c r="N899" s="279">
        <v>0</v>
      </c>
      <c r="O899" s="332">
        <v>13.51</v>
      </c>
      <c r="P899" s="333">
        <v>0</v>
      </c>
      <c r="Q899" s="132"/>
      <c r="R899" s="222">
        <v>1081</v>
      </c>
      <c r="AK899" s="141">
        <v>1080.8</v>
      </c>
      <c r="AL899"/>
    </row>
    <row r="900" spans="1:38" outlineLevel="1">
      <c r="A900" s="36"/>
      <c r="B900" s="296"/>
      <c r="C900" s="327"/>
      <c r="D900" s="277"/>
      <c r="E900" s="311"/>
      <c r="F900" s="329"/>
      <c r="G900" s="361"/>
      <c r="H900" s="244"/>
      <c r="I900" s="244"/>
      <c r="J900" s="279"/>
      <c r="K900" s="279"/>
      <c r="L900" s="279"/>
      <c r="M900" s="279"/>
      <c r="N900" s="279"/>
      <c r="O900" s="332"/>
      <c r="P900" s="333"/>
      <c r="Q900" s="132"/>
      <c r="R900" s="222"/>
      <c r="AK900" s="141"/>
    </row>
    <row r="901" spans="1:38" outlineLevel="1">
      <c r="A901" s="36"/>
      <c r="B901" s="296" t="s">
        <v>30</v>
      </c>
      <c r="C901" s="327" t="s">
        <v>542</v>
      </c>
      <c r="D901" s="277">
        <v>12393431001</v>
      </c>
      <c r="E901" s="311">
        <v>12393433001</v>
      </c>
      <c r="F901" s="329" t="s">
        <v>689</v>
      </c>
      <c r="G901" s="361"/>
      <c r="H901" s="244" t="s">
        <v>65</v>
      </c>
      <c r="I901" s="244">
        <v>25</v>
      </c>
      <c r="J901" s="279">
        <v>2.23</v>
      </c>
      <c r="K901" s="279">
        <f>ROUND((J901*$C$3),2)</f>
        <v>2.72</v>
      </c>
      <c r="L901" s="279">
        <f>K901*G901</f>
        <v>0</v>
      </c>
      <c r="M901" s="279">
        <f>J901*(1-$E$5-$E$7)*(1-$E$9)*(1+$E$11)</f>
        <v>2.23</v>
      </c>
      <c r="N901" s="279">
        <f>M901*G901</f>
        <v>0</v>
      </c>
      <c r="O901" s="332">
        <f>ROUND((M901*$C$3),2)</f>
        <v>2.72</v>
      </c>
      <c r="P901" s="333">
        <f>O901*G901</f>
        <v>0</v>
      </c>
      <c r="Q901" s="132"/>
      <c r="R901" s="222">
        <f>ROUND(AK901,0)</f>
        <v>218</v>
      </c>
      <c r="AK901" s="141">
        <f>K901*$AK$11*(1-$AK$10)</f>
        <v>217.60000000000002</v>
      </c>
    </row>
    <row r="902" spans="1:38" outlineLevel="1">
      <c r="A902" s="36"/>
      <c r="B902" s="296" t="s">
        <v>30</v>
      </c>
      <c r="C902" s="327" t="s">
        <v>542</v>
      </c>
      <c r="D902" s="277">
        <v>12391931001</v>
      </c>
      <c r="E902" s="311">
        <v>12391933001</v>
      </c>
      <c r="F902" s="329" t="s">
        <v>690</v>
      </c>
      <c r="G902" s="361"/>
      <c r="H902" s="244" t="s">
        <v>65</v>
      </c>
      <c r="I902" s="244">
        <v>25</v>
      </c>
      <c r="J902" s="279">
        <v>3.77</v>
      </c>
      <c r="K902" s="279">
        <f t="shared" ref="K902" si="889">ROUND((J902*$C$3),2)</f>
        <v>4.5999999999999996</v>
      </c>
      <c r="L902" s="279">
        <f>K902*G902</f>
        <v>0</v>
      </c>
      <c r="M902" s="279">
        <f t="shared" ref="M902" si="890">J902*(1-$E$5-$E$7)*(1-$E$9)*(1+$E$11)</f>
        <v>3.77</v>
      </c>
      <c r="N902" s="279">
        <f>M902*G902</f>
        <v>0</v>
      </c>
      <c r="O902" s="332">
        <f t="shared" ref="O902" si="891">ROUND((M902*$C$3),2)</f>
        <v>4.5999999999999996</v>
      </c>
      <c r="P902" s="333">
        <f>O902*G902</f>
        <v>0</v>
      </c>
      <c r="Q902" s="132"/>
      <c r="R902" s="222">
        <f t="shared" ref="R902" si="892">ROUND(AK902,0)</f>
        <v>368</v>
      </c>
      <c r="AK902" s="141">
        <f>K902*$AK$11*(1-$AK$10)</f>
        <v>368</v>
      </c>
    </row>
    <row r="903" spans="1:38" s="74" customFormat="1" outlineLevel="1">
      <c r="A903" s="156"/>
      <c r="B903" s="225"/>
      <c r="C903" s="357"/>
      <c r="D903" s="358"/>
      <c r="E903" s="225"/>
      <c r="F903" s="378"/>
      <c r="G903" s="228"/>
      <c r="H903" s="358"/>
      <c r="I903" s="358"/>
      <c r="J903" s="229"/>
      <c r="K903" s="229"/>
      <c r="L903" s="229"/>
      <c r="M903" s="229"/>
      <c r="N903" s="229"/>
      <c r="O903" s="359"/>
      <c r="P903" s="230"/>
      <c r="Q903" s="132"/>
      <c r="R903" s="231"/>
      <c r="AK903" s="141"/>
      <c r="AL903"/>
    </row>
    <row r="904" spans="1:38" outlineLevel="1">
      <c r="A904" s="36"/>
      <c r="B904" s="352" t="s">
        <v>30</v>
      </c>
      <c r="C904" s="327" t="s">
        <v>542</v>
      </c>
      <c r="D904" s="369"/>
      <c r="E904" s="311">
        <v>12442483002</v>
      </c>
      <c r="F904" s="354" t="s">
        <v>595</v>
      </c>
      <c r="G904" s="361"/>
      <c r="H904" s="369" t="s">
        <v>28</v>
      </c>
      <c r="I904" s="369">
        <v>10</v>
      </c>
      <c r="J904" s="279">
        <v>1.71</v>
      </c>
      <c r="K904" s="279">
        <f t="shared" ref="K904" si="893">ROUND((J904*$C$3),2)</f>
        <v>2.09</v>
      </c>
      <c r="L904" s="279">
        <f t="shared" ref="L904:L905" si="894">K904*G904</f>
        <v>0</v>
      </c>
      <c r="M904" s="279">
        <f t="shared" ref="M904" si="895">J904*(1-$E$5-$E$7)*(1-$E$9)*(1+$E$11)</f>
        <v>1.71</v>
      </c>
      <c r="N904" s="279">
        <f t="shared" ref="N904:N905" si="896">M904*G904</f>
        <v>0</v>
      </c>
      <c r="O904" s="370">
        <f t="shared" ref="O904" si="897">ROUND((M904*$C$3),2)</f>
        <v>2.09</v>
      </c>
      <c r="P904" s="333">
        <f t="shared" ref="P904:P905" si="898">O904*G904</f>
        <v>0</v>
      </c>
      <c r="Q904" s="132"/>
      <c r="R904" s="222">
        <f t="shared" si="858"/>
        <v>167</v>
      </c>
      <c r="AK904" s="141">
        <f>K904*$AK$11*(1-$AK$10)</f>
        <v>167.20000000000002</v>
      </c>
    </row>
    <row r="905" spans="1:38" outlineLevel="1">
      <c r="A905" s="36"/>
      <c r="B905" s="352" t="s">
        <v>30</v>
      </c>
      <c r="C905" s="327" t="s">
        <v>542</v>
      </c>
      <c r="D905" s="311">
        <v>12662101001</v>
      </c>
      <c r="E905" s="311">
        <v>11098211001</v>
      </c>
      <c r="F905" s="354" t="s">
        <v>681</v>
      </c>
      <c r="G905" s="361"/>
      <c r="H905" s="369" t="s">
        <v>28</v>
      </c>
      <c r="I905" s="369">
        <v>25</v>
      </c>
      <c r="J905" s="279">
        <v>4</v>
      </c>
      <c r="K905" s="279">
        <f t="shared" ref="K905" si="899">ROUND((J905*$C$3),2)</f>
        <v>4.88</v>
      </c>
      <c r="L905" s="279">
        <f t="shared" si="894"/>
        <v>0</v>
      </c>
      <c r="M905" s="279">
        <f t="shared" ref="M905" si="900">J905*(1-$E$5-$E$7)*(1-$E$9)*(1+$E$11)</f>
        <v>4</v>
      </c>
      <c r="N905" s="279">
        <f t="shared" si="896"/>
        <v>0</v>
      </c>
      <c r="O905" s="370">
        <f t="shared" ref="O905" si="901">ROUND((M905*$C$3),2)</f>
        <v>4.88</v>
      </c>
      <c r="P905" s="333">
        <f t="shared" si="898"/>
        <v>0</v>
      </c>
      <c r="Q905" s="132"/>
      <c r="R905" s="222">
        <f t="shared" si="858"/>
        <v>390</v>
      </c>
      <c r="AK905" s="141">
        <f>K905*$AK$11*(1-$AK$10)</f>
        <v>390.40000000000003</v>
      </c>
    </row>
    <row r="906" spans="1:38" outlineLevel="1">
      <c r="A906" s="36"/>
      <c r="B906" s="296"/>
      <c r="C906" s="351"/>
      <c r="D906" s="248"/>
      <c r="E906" s="188"/>
      <c r="F906" s="258"/>
      <c r="G906" s="211"/>
      <c r="H906" s="248"/>
      <c r="I906" s="248"/>
      <c r="J906" s="212"/>
      <c r="K906" s="212"/>
      <c r="L906" s="212"/>
      <c r="M906" s="212"/>
      <c r="N906" s="212"/>
      <c r="O906" s="297"/>
      <c r="P906" s="213"/>
      <c r="Q906" s="132"/>
      <c r="R906" s="222"/>
      <c r="AK906" s="141"/>
    </row>
    <row r="907" spans="1:38">
      <c r="A907" s="36"/>
      <c r="B907" s="412"/>
      <c r="C907" s="322" t="s">
        <v>691</v>
      </c>
      <c r="D907" s="413"/>
      <c r="E907" s="414"/>
      <c r="F907" s="415" t="s">
        <v>692</v>
      </c>
      <c r="G907" s="416"/>
      <c r="H907" s="417"/>
      <c r="I907" s="417"/>
      <c r="J907" s="418"/>
      <c r="K907" s="418"/>
      <c r="L907" s="418"/>
      <c r="M907" s="418"/>
      <c r="N907" s="418"/>
      <c r="O907" s="419"/>
      <c r="P907" s="419"/>
      <c r="Q907" s="132"/>
      <c r="R907" s="207"/>
      <c r="AK907" s="141"/>
    </row>
    <row r="908" spans="1:38" outlineLevel="1">
      <c r="A908" s="36"/>
      <c r="B908" s="343" t="s">
        <v>397</v>
      </c>
      <c r="C908" s="327" t="s">
        <v>691</v>
      </c>
      <c r="D908" s="277">
        <v>12154711001</v>
      </c>
      <c r="E908" s="311">
        <v>13218991555</v>
      </c>
      <c r="F908" s="329" t="s">
        <v>693</v>
      </c>
      <c r="G908" s="420"/>
      <c r="H908" s="244" t="s">
        <v>65</v>
      </c>
      <c r="I908" s="244">
        <v>1</v>
      </c>
      <c r="J908" s="279">
        <v>127.83</v>
      </c>
      <c r="K908" s="279">
        <f t="shared" ref="K908:K919" si="902">ROUND((J908*$C$3),2)</f>
        <v>155.94999999999999</v>
      </c>
      <c r="L908" s="279">
        <f t="shared" ref="L908:L919" si="903">K908*G908</f>
        <v>0</v>
      </c>
      <c r="M908" s="279">
        <f t="shared" ref="M908:M919" si="904">J908*(1-$E$5-$E$7)*(1-$E$9)*(1+$E$11)</f>
        <v>127.83</v>
      </c>
      <c r="N908" s="279">
        <f t="shared" ref="N908:N919" si="905">M908*G908</f>
        <v>0</v>
      </c>
      <c r="O908" s="332">
        <f t="shared" ref="O908:O919" si="906">ROUND((M908*$C$3),2)</f>
        <v>155.94999999999999</v>
      </c>
      <c r="P908" s="333">
        <f t="shared" ref="P908:P919" si="907">O908*G908</f>
        <v>0</v>
      </c>
      <c r="Q908" s="132"/>
      <c r="R908" s="222">
        <f t="shared" ref="R908:R919" si="908">ROUND(AK908,0)</f>
        <v>12476</v>
      </c>
      <c r="AK908" s="141">
        <f t="shared" ref="AK908:AK919" si="909">K908*$AK$11*(1-$AK$10)</f>
        <v>12476</v>
      </c>
    </row>
    <row r="909" spans="1:38" outlineLevel="1">
      <c r="A909" s="36"/>
      <c r="B909" s="343" t="s">
        <v>397</v>
      </c>
      <c r="C909" s="327" t="s">
        <v>691</v>
      </c>
      <c r="D909" s="277">
        <v>12260481100</v>
      </c>
      <c r="E909" s="311">
        <v>13168111555</v>
      </c>
      <c r="F909" s="329" t="s">
        <v>694</v>
      </c>
      <c r="G909" s="420"/>
      <c r="H909" s="244" t="s">
        <v>65</v>
      </c>
      <c r="I909" s="244">
        <v>1</v>
      </c>
      <c r="J909" s="279">
        <v>159.19</v>
      </c>
      <c r="K909" s="279">
        <f t="shared" si="902"/>
        <v>194.21</v>
      </c>
      <c r="L909" s="279">
        <f t="shared" si="903"/>
        <v>0</v>
      </c>
      <c r="M909" s="279">
        <f t="shared" si="904"/>
        <v>159.19</v>
      </c>
      <c r="N909" s="279">
        <f t="shared" si="905"/>
        <v>0</v>
      </c>
      <c r="O909" s="332">
        <f t="shared" si="906"/>
        <v>194.21</v>
      </c>
      <c r="P909" s="333">
        <f t="shared" si="907"/>
        <v>0</v>
      </c>
      <c r="Q909" s="132"/>
      <c r="R909" s="222">
        <f t="shared" si="908"/>
        <v>15537</v>
      </c>
      <c r="AK909" s="141">
        <f t="shared" si="909"/>
        <v>15536.800000000001</v>
      </c>
    </row>
    <row r="910" spans="1:38" outlineLevel="1">
      <c r="A910" s="36"/>
      <c r="B910" s="343" t="s">
        <v>397</v>
      </c>
      <c r="C910" s="327" t="s">
        <v>691</v>
      </c>
      <c r="D910" s="277">
        <v>12154751001</v>
      </c>
      <c r="E910" s="311">
        <v>13219001555</v>
      </c>
      <c r="F910" s="329" t="s">
        <v>695</v>
      </c>
      <c r="G910" s="420"/>
      <c r="H910" s="244" t="s">
        <v>65</v>
      </c>
      <c r="I910" s="244">
        <v>1</v>
      </c>
      <c r="J910" s="279">
        <v>185.86</v>
      </c>
      <c r="K910" s="279">
        <f t="shared" si="902"/>
        <v>226.75</v>
      </c>
      <c r="L910" s="279">
        <f t="shared" si="903"/>
        <v>0</v>
      </c>
      <c r="M910" s="279">
        <f t="shared" si="904"/>
        <v>185.86</v>
      </c>
      <c r="N910" s="279">
        <f t="shared" si="905"/>
        <v>0</v>
      </c>
      <c r="O910" s="332">
        <f t="shared" si="906"/>
        <v>226.75</v>
      </c>
      <c r="P910" s="333">
        <f t="shared" si="907"/>
        <v>0</v>
      </c>
      <c r="Q910" s="132"/>
      <c r="R910" s="222">
        <f t="shared" si="908"/>
        <v>18140</v>
      </c>
      <c r="AK910" s="141">
        <f t="shared" si="909"/>
        <v>18140</v>
      </c>
    </row>
    <row r="911" spans="1:38" outlineLevel="1">
      <c r="A911" s="36"/>
      <c r="B911" s="343" t="s">
        <v>397</v>
      </c>
      <c r="C911" s="327" t="s">
        <v>691</v>
      </c>
      <c r="D911" s="277">
        <v>12260581100</v>
      </c>
      <c r="E911" s="311">
        <v>13168121555</v>
      </c>
      <c r="F911" s="329" t="s">
        <v>696</v>
      </c>
      <c r="G911" s="420"/>
      <c r="H911" s="244" t="s">
        <v>65</v>
      </c>
      <c r="I911" s="244">
        <v>1</v>
      </c>
      <c r="J911" s="279">
        <v>211.84</v>
      </c>
      <c r="K911" s="279">
        <f t="shared" si="902"/>
        <v>258.44</v>
      </c>
      <c r="L911" s="279">
        <f t="shared" si="903"/>
        <v>0</v>
      </c>
      <c r="M911" s="279">
        <f t="shared" si="904"/>
        <v>211.84</v>
      </c>
      <c r="N911" s="279">
        <f t="shared" si="905"/>
        <v>0</v>
      </c>
      <c r="O911" s="332">
        <f t="shared" si="906"/>
        <v>258.44</v>
      </c>
      <c r="P911" s="333">
        <f t="shared" si="907"/>
        <v>0</v>
      </c>
      <c r="Q911" s="132"/>
      <c r="R911" s="222">
        <f t="shared" si="908"/>
        <v>20675</v>
      </c>
      <c r="AK911" s="141">
        <f t="shared" si="909"/>
        <v>20675.2</v>
      </c>
    </row>
    <row r="912" spans="1:38" outlineLevel="1">
      <c r="A912" s="36"/>
      <c r="B912" s="343" t="s">
        <v>397</v>
      </c>
      <c r="C912" s="327" t="s">
        <v>691</v>
      </c>
      <c r="D912" s="277">
        <v>12154811001</v>
      </c>
      <c r="E912" s="311">
        <v>13219011555</v>
      </c>
      <c r="F912" s="329" t="s">
        <v>697</v>
      </c>
      <c r="G912" s="420"/>
      <c r="H912" s="244" t="s">
        <v>65</v>
      </c>
      <c r="I912" s="244">
        <v>1</v>
      </c>
      <c r="J912" s="279">
        <v>238.44</v>
      </c>
      <c r="K912" s="279">
        <f t="shared" si="902"/>
        <v>290.89999999999998</v>
      </c>
      <c r="L912" s="279">
        <f t="shared" si="903"/>
        <v>0</v>
      </c>
      <c r="M912" s="279">
        <f t="shared" si="904"/>
        <v>238.44</v>
      </c>
      <c r="N912" s="279">
        <f t="shared" si="905"/>
        <v>0</v>
      </c>
      <c r="O912" s="332">
        <f t="shared" si="906"/>
        <v>290.89999999999998</v>
      </c>
      <c r="P912" s="333">
        <f t="shared" si="907"/>
        <v>0</v>
      </c>
      <c r="Q912" s="132"/>
      <c r="R912" s="222">
        <f t="shared" si="908"/>
        <v>23272</v>
      </c>
      <c r="AK912" s="141">
        <f t="shared" si="909"/>
        <v>23272</v>
      </c>
    </row>
    <row r="913" spans="1:37" outlineLevel="1">
      <c r="A913" s="36"/>
      <c r="B913" s="343" t="s">
        <v>397</v>
      </c>
      <c r="C913" s="327" t="s">
        <v>691</v>
      </c>
      <c r="D913" s="277">
        <v>12260681100</v>
      </c>
      <c r="E913" s="311">
        <v>13168131555</v>
      </c>
      <c r="F913" s="329" t="s">
        <v>698</v>
      </c>
      <c r="G913" s="420"/>
      <c r="H913" s="244" t="s">
        <v>65</v>
      </c>
      <c r="I913" s="244">
        <v>1</v>
      </c>
      <c r="J913" s="279">
        <v>265.74</v>
      </c>
      <c r="K913" s="279">
        <f t="shared" si="902"/>
        <v>324.2</v>
      </c>
      <c r="L913" s="279">
        <f t="shared" si="903"/>
        <v>0</v>
      </c>
      <c r="M913" s="279">
        <f t="shared" si="904"/>
        <v>265.74</v>
      </c>
      <c r="N913" s="279">
        <f t="shared" si="905"/>
        <v>0</v>
      </c>
      <c r="O913" s="332">
        <f t="shared" si="906"/>
        <v>324.2</v>
      </c>
      <c r="P913" s="333">
        <f t="shared" si="907"/>
        <v>0</v>
      </c>
      <c r="Q913" s="132"/>
      <c r="R913" s="222">
        <f t="shared" si="908"/>
        <v>25936</v>
      </c>
      <c r="AK913" s="141">
        <f t="shared" si="909"/>
        <v>25936</v>
      </c>
    </row>
    <row r="914" spans="1:37" outlineLevel="1">
      <c r="A914" s="36"/>
      <c r="B914" s="343" t="s">
        <v>397</v>
      </c>
      <c r="C914" s="327" t="s">
        <v>691</v>
      </c>
      <c r="D914" s="277">
        <v>12154821001</v>
      </c>
      <c r="E914" s="311">
        <v>13219021555</v>
      </c>
      <c r="F914" s="329" t="s">
        <v>699</v>
      </c>
      <c r="G914" s="420"/>
      <c r="H914" s="244" t="s">
        <v>65</v>
      </c>
      <c r="I914" s="244">
        <v>1</v>
      </c>
      <c r="J914" s="279">
        <v>296.55</v>
      </c>
      <c r="K914" s="279">
        <f t="shared" si="902"/>
        <v>361.79</v>
      </c>
      <c r="L914" s="279">
        <f t="shared" si="903"/>
        <v>0</v>
      </c>
      <c r="M914" s="279">
        <f t="shared" si="904"/>
        <v>296.55</v>
      </c>
      <c r="N914" s="279">
        <f t="shared" si="905"/>
        <v>0</v>
      </c>
      <c r="O914" s="332">
        <f t="shared" si="906"/>
        <v>361.79</v>
      </c>
      <c r="P914" s="333">
        <f t="shared" si="907"/>
        <v>0</v>
      </c>
      <c r="Q914" s="132"/>
      <c r="R914" s="222">
        <f t="shared" si="908"/>
        <v>28943</v>
      </c>
      <c r="AK914" s="141">
        <f t="shared" si="909"/>
        <v>28943.200000000001</v>
      </c>
    </row>
    <row r="915" spans="1:37" outlineLevel="1">
      <c r="A915" s="36"/>
      <c r="B915" s="343" t="s">
        <v>397</v>
      </c>
      <c r="C915" s="327" t="s">
        <v>691</v>
      </c>
      <c r="D915" s="277">
        <v>12260781100</v>
      </c>
      <c r="E915" s="311">
        <v>13168141555</v>
      </c>
      <c r="F915" s="329" t="s">
        <v>700</v>
      </c>
      <c r="G915" s="420"/>
      <c r="H915" s="244" t="s">
        <v>65</v>
      </c>
      <c r="I915" s="244">
        <v>1</v>
      </c>
      <c r="J915" s="279">
        <v>325.92</v>
      </c>
      <c r="K915" s="279">
        <f t="shared" si="902"/>
        <v>397.62</v>
      </c>
      <c r="L915" s="279">
        <f t="shared" si="903"/>
        <v>0</v>
      </c>
      <c r="M915" s="279">
        <f t="shared" si="904"/>
        <v>325.92</v>
      </c>
      <c r="N915" s="279">
        <f t="shared" si="905"/>
        <v>0</v>
      </c>
      <c r="O915" s="332">
        <f t="shared" si="906"/>
        <v>397.62</v>
      </c>
      <c r="P915" s="333">
        <f t="shared" si="907"/>
        <v>0</v>
      </c>
      <c r="Q915" s="132"/>
      <c r="R915" s="222">
        <f t="shared" si="908"/>
        <v>31810</v>
      </c>
      <c r="AK915" s="141">
        <f t="shared" si="909"/>
        <v>31809.600000000002</v>
      </c>
    </row>
    <row r="916" spans="1:37" outlineLevel="1">
      <c r="A916" s="36"/>
      <c r="B916" s="343" t="s">
        <v>397</v>
      </c>
      <c r="C916" s="327" t="s">
        <v>691</v>
      </c>
      <c r="D916" s="277">
        <v>12260881100</v>
      </c>
      <c r="E916" s="311">
        <v>13168151555</v>
      </c>
      <c r="F916" s="329" t="s">
        <v>701</v>
      </c>
      <c r="G916" s="420"/>
      <c r="H916" s="244" t="s">
        <v>65</v>
      </c>
      <c r="I916" s="244">
        <v>1</v>
      </c>
      <c r="J916" s="279">
        <v>369.78</v>
      </c>
      <c r="K916" s="279">
        <f t="shared" si="902"/>
        <v>451.13</v>
      </c>
      <c r="L916" s="279">
        <f t="shared" si="903"/>
        <v>0</v>
      </c>
      <c r="M916" s="279">
        <f t="shared" si="904"/>
        <v>369.78</v>
      </c>
      <c r="N916" s="279">
        <f t="shared" si="905"/>
        <v>0</v>
      </c>
      <c r="O916" s="332">
        <f t="shared" si="906"/>
        <v>451.13</v>
      </c>
      <c r="P916" s="333">
        <f t="shared" si="907"/>
        <v>0</v>
      </c>
      <c r="Q916" s="132"/>
      <c r="R916" s="222">
        <f t="shared" si="908"/>
        <v>36090</v>
      </c>
      <c r="AK916" s="141">
        <f t="shared" si="909"/>
        <v>36090.400000000001</v>
      </c>
    </row>
    <row r="917" spans="1:37" outlineLevel="1">
      <c r="A917" s="36"/>
      <c r="B917" s="343" t="s">
        <v>397</v>
      </c>
      <c r="C917" s="327" t="s">
        <v>691</v>
      </c>
      <c r="D917" s="277">
        <v>12260981100</v>
      </c>
      <c r="E917" s="311">
        <v>13168161555</v>
      </c>
      <c r="F917" s="329" t="s">
        <v>702</v>
      </c>
      <c r="G917" s="420"/>
      <c r="H917" s="244" t="s">
        <v>65</v>
      </c>
      <c r="I917" s="244">
        <v>1</v>
      </c>
      <c r="J917" s="279">
        <v>416.17</v>
      </c>
      <c r="K917" s="279">
        <f t="shared" si="902"/>
        <v>507.73</v>
      </c>
      <c r="L917" s="279">
        <f t="shared" si="903"/>
        <v>0</v>
      </c>
      <c r="M917" s="279">
        <f t="shared" si="904"/>
        <v>416.17</v>
      </c>
      <c r="N917" s="279">
        <f t="shared" si="905"/>
        <v>0</v>
      </c>
      <c r="O917" s="332">
        <f t="shared" si="906"/>
        <v>507.73</v>
      </c>
      <c r="P917" s="333">
        <f t="shared" si="907"/>
        <v>0</v>
      </c>
      <c r="Q917" s="132"/>
      <c r="R917" s="222">
        <f t="shared" si="908"/>
        <v>40618</v>
      </c>
      <c r="AK917" s="141">
        <f t="shared" si="909"/>
        <v>40618.400000000001</v>
      </c>
    </row>
    <row r="918" spans="1:37" outlineLevel="1">
      <c r="A918" s="36"/>
      <c r="B918" s="343" t="s">
        <v>397</v>
      </c>
      <c r="C918" s="327" t="s">
        <v>691</v>
      </c>
      <c r="D918" s="277">
        <v>12261081100</v>
      </c>
      <c r="E918" s="311">
        <v>13168171555</v>
      </c>
      <c r="F918" s="329" t="s">
        <v>703</v>
      </c>
      <c r="G918" s="420"/>
      <c r="H918" s="244" t="s">
        <v>65</v>
      </c>
      <c r="I918" s="244">
        <v>1</v>
      </c>
      <c r="J918" s="279">
        <v>462.55</v>
      </c>
      <c r="K918" s="279">
        <f t="shared" si="902"/>
        <v>564.30999999999995</v>
      </c>
      <c r="L918" s="279">
        <f t="shared" si="903"/>
        <v>0</v>
      </c>
      <c r="M918" s="279">
        <f t="shared" si="904"/>
        <v>462.55</v>
      </c>
      <c r="N918" s="279">
        <f t="shared" si="905"/>
        <v>0</v>
      </c>
      <c r="O918" s="332">
        <f t="shared" si="906"/>
        <v>564.30999999999995</v>
      </c>
      <c r="P918" s="333">
        <f t="shared" si="907"/>
        <v>0</v>
      </c>
      <c r="Q918" s="132"/>
      <c r="R918" s="222">
        <f t="shared" si="908"/>
        <v>45145</v>
      </c>
      <c r="AK918" s="141">
        <f t="shared" si="909"/>
        <v>45144.799999999996</v>
      </c>
    </row>
    <row r="919" spans="1:37" outlineLevel="1">
      <c r="A919" s="36"/>
      <c r="B919" s="343" t="s">
        <v>397</v>
      </c>
      <c r="C919" s="327" t="s">
        <v>691</v>
      </c>
      <c r="D919" s="277">
        <v>12261181100</v>
      </c>
      <c r="E919" s="311">
        <v>13168191555</v>
      </c>
      <c r="F919" s="329" t="s">
        <v>704</v>
      </c>
      <c r="G919" s="420"/>
      <c r="H919" s="244" t="s">
        <v>65</v>
      </c>
      <c r="I919" s="244">
        <v>1</v>
      </c>
      <c r="J919" s="279">
        <v>508.92</v>
      </c>
      <c r="K919" s="279">
        <f t="shared" si="902"/>
        <v>620.88</v>
      </c>
      <c r="L919" s="279">
        <f t="shared" si="903"/>
        <v>0</v>
      </c>
      <c r="M919" s="279">
        <f t="shared" si="904"/>
        <v>508.92</v>
      </c>
      <c r="N919" s="279">
        <f t="shared" si="905"/>
        <v>0</v>
      </c>
      <c r="O919" s="332">
        <f t="shared" si="906"/>
        <v>620.88</v>
      </c>
      <c r="P919" s="333">
        <f t="shared" si="907"/>
        <v>0</v>
      </c>
      <c r="Q919" s="132"/>
      <c r="R919" s="222">
        <f t="shared" si="908"/>
        <v>49670</v>
      </c>
      <c r="AK919" s="141">
        <f t="shared" si="909"/>
        <v>49670.400000000001</v>
      </c>
    </row>
    <row r="920" spans="1:37" outlineLevel="1">
      <c r="A920" s="36"/>
      <c r="B920" s="398"/>
      <c r="C920" s="357"/>
      <c r="D920" s="217"/>
      <c r="E920" s="225"/>
      <c r="F920" s="378"/>
      <c r="G920" s="421"/>
      <c r="H920" s="358"/>
      <c r="I920" s="358"/>
      <c r="J920" s="220"/>
      <c r="K920" s="220"/>
      <c r="L920" s="220"/>
      <c r="M920" s="220"/>
      <c r="N920" s="220"/>
      <c r="O920" s="359"/>
      <c r="P920" s="221"/>
      <c r="Q920" s="132"/>
      <c r="R920" s="222"/>
      <c r="AK920" s="141"/>
    </row>
    <row r="921" spans="1:37" outlineLevel="1">
      <c r="A921" s="36"/>
      <c r="B921" s="422"/>
      <c r="C921" s="344" t="s">
        <v>691</v>
      </c>
      <c r="D921" s="423"/>
      <c r="E921" s="424"/>
      <c r="F921" s="425" t="s">
        <v>705</v>
      </c>
      <c r="G921" s="426"/>
      <c r="H921" s="427"/>
      <c r="I921" s="427"/>
      <c r="J921" s="410"/>
      <c r="K921" s="410"/>
      <c r="L921" s="410"/>
      <c r="M921" s="410"/>
      <c r="N921" s="410"/>
      <c r="O921" s="411"/>
      <c r="P921" s="411"/>
      <c r="Q921" s="132"/>
      <c r="R921" s="207"/>
      <c r="AK921" s="141"/>
    </row>
    <row r="922" spans="1:37" outlineLevel="1">
      <c r="A922" s="36"/>
      <c r="B922" s="343" t="s">
        <v>397</v>
      </c>
      <c r="C922" s="327" t="s">
        <v>691</v>
      </c>
      <c r="D922" s="277">
        <v>12270161100</v>
      </c>
      <c r="E922" s="311">
        <v>13168221555</v>
      </c>
      <c r="F922" s="329" t="s">
        <v>706</v>
      </c>
      <c r="G922" s="420"/>
      <c r="H922" s="244" t="s">
        <v>65</v>
      </c>
      <c r="I922" s="244">
        <v>1</v>
      </c>
      <c r="J922" s="279">
        <v>107.12</v>
      </c>
      <c r="K922" s="279">
        <f t="shared" ref="K922:K927" si="910">ROUND((J922*$C$3),2)</f>
        <v>130.69</v>
      </c>
      <c r="L922" s="279">
        <f t="shared" ref="L922:L927" si="911">K922*G922</f>
        <v>0</v>
      </c>
      <c r="M922" s="279">
        <f t="shared" ref="M922:M927" si="912">J922*(1-$E$5-$E$7)*(1-$E$9)*(1+$E$11)</f>
        <v>107.12</v>
      </c>
      <c r="N922" s="279">
        <f t="shared" ref="N922:N927" si="913">M922*G922</f>
        <v>0</v>
      </c>
      <c r="O922" s="332">
        <f t="shared" ref="O922:O927" si="914">ROUND((M922*$C$3),2)</f>
        <v>130.69</v>
      </c>
      <c r="P922" s="333">
        <f t="shared" ref="P922:P927" si="915">O922*G922</f>
        <v>0</v>
      </c>
      <c r="Q922" s="132"/>
      <c r="R922" s="222">
        <f t="shared" ref="R922:R927" si="916">ROUND(AK922,0)</f>
        <v>10455</v>
      </c>
      <c r="AK922" s="141">
        <f t="shared" ref="AK922:AK927" si="917">K922*$AK$11*(1-$AK$10)</f>
        <v>10455.200000000001</v>
      </c>
    </row>
    <row r="923" spans="1:37" outlineLevel="1">
      <c r="A923" s="36"/>
      <c r="B923" s="343" t="s">
        <v>397</v>
      </c>
      <c r="C923" s="327" t="s">
        <v>691</v>
      </c>
      <c r="D923" s="277">
        <v>12270171100</v>
      </c>
      <c r="E923" s="311">
        <v>13168231555</v>
      </c>
      <c r="F923" s="329" t="s">
        <v>707</v>
      </c>
      <c r="G923" s="420"/>
      <c r="H923" s="244" t="s">
        <v>65</v>
      </c>
      <c r="I923" s="244">
        <v>1</v>
      </c>
      <c r="J923" s="279">
        <v>145.22</v>
      </c>
      <c r="K923" s="279">
        <f t="shared" si="910"/>
        <v>177.17</v>
      </c>
      <c r="L923" s="279">
        <f t="shared" si="911"/>
        <v>0</v>
      </c>
      <c r="M923" s="279">
        <f t="shared" si="912"/>
        <v>145.22</v>
      </c>
      <c r="N923" s="279">
        <f t="shared" si="913"/>
        <v>0</v>
      </c>
      <c r="O923" s="332">
        <f t="shared" si="914"/>
        <v>177.17</v>
      </c>
      <c r="P923" s="333">
        <f t="shared" si="915"/>
        <v>0</v>
      </c>
      <c r="Q923" s="132"/>
      <c r="R923" s="222">
        <f t="shared" si="916"/>
        <v>14174</v>
      </c>
      <c r="AK923" s="141">
        <f t="shared" si="917"/>
        <v>14173.6</v>
      </c>
    </row>
    <row r="924" spans="1:37" outlineLevel="1">
      <c r="A924" s="36"/>
      <c r="B924" s="343" t="s">
        <v>397</v>
      </c>
      <c r="C924" s="327" t="s">
        <v>691</v>
      </c>
      <c r="D924" s="277">
        <v>12270181100</v>
      </c>
      <c r="E924" s="311">
        <v>13168241555</v>
      </c>
      <c r="F924" s="329" t="s">
        <v>708</v>
      </c>
      <c r="G924" s="420"/>
      <c r="H924" s="244" t="s">
        <v>65</v>
      </c>
      <c r="I924" s="244">
        <v>1</v>
      </c>
      <c r="J924" s="279">
        <v>178.89</v>
      </c>
      <c r="K924" s="279">
        <f t="shared" si="910"/>
        <v>218.25</v>
      </c>
      <c r="L924" s="279">
        <f t="shared" si="911"/>
        <v>0</v>
      </c>
      <c r="M924" s="279">
        <f t="shared" si="912"/>
        <v>178.89</v>
      </c>
      <c r="N924" s="279">
        <f t="shared" si="913"/>
        <v>0</v>
      </c>
      <c r="O924" s="332">
        <f t="shared" si="914"/>
        <v>218.25</v>
      </c>
      <c r="P924" s="333">
        <f t="shared" si="915"/>
        <v>0</v>
      </c>
      <c r="Q924" s="132"/>
      <c r="R924" s="222">
        <f t="shared" si="916"/>
        <v>17460</v>
      </c>
      <c r="AK924" s="141">
        <f t="shared" si="917"/>
        <v>17460</v>
      </c>
    </row>
    <row r="925" spans="1:37" outlineLevel="1">
      <c r="A925" s="36"/>
      <c r="B925" s="343" t="s">
        <v>397</v>
      </c>
      <c r="C925" s="327" t="s">
        <v>691</v>
      </c>
      <c r="D925" s="277">
        <v>12270191100</v>
      </c>
      <c r="E925" s="311">
        <v>13168251555</v>
      </c>
      <c r="F925" s="329" t="s">
        <v>709</v>
      </c>
      <c r="G925" s="420"/>
      <c r="H925" s="244" t="s">
        <v>65</v>
      </c>
      <c r="I925" s="244">
        <v>1</v>
      </c>
      <c r="J925" s="279">
        <v>203.69</v>
      </c>
      <c r="K925" s="279">
        <f t="shared" si="910"/>
        <v>248.5</v>
      </c>
      <c r="L925" s="279">
        <f t="shared" si="911"/>
        <v>0</v>
      </c>
      <c r="M925" s="279">
        <f t="shared" si="912"/>
        <v>203.69</v>
      </c>
      <c r="N925" s="279">
        <f t="shared" si="913"/>
        <v>0</v>
      </c>
      <c r="O925" s="332">
        <f t="shared" si="914"/>
        <v>248.5</v>
      </c>
      <c r="P925" s="333">
        <f t="shared" si="915"/>
        <v>0</v>
      </c>
      <c r="Q925" s="132"/>
      <c r="R925" s="222">
        <f t="shared" si="916"/>
        <v>19880</v>
      </c>
      <c r="AK925" s="141">
        <f t="shared" si="917"/>
        <v>19880</v>
      </c>
    </row>
    <row r="926" spans="1:37" outlineLevel="1">
      <c r="A926" s="36"/>
      <c r="B926" s="343" t="s">
        <v>397</v>
      </c>
      <c r="C926" s="327" t="s">
        <v>691</v>
      </c>
      <c r="D926" s="277">
        <v>12270231100</v>
      </c>
      <c r="E926" s="311">
        <v>13168261555</v>
      </c>
      <c r="F926" s="329" t="s">
        <v>710</v>
      </c>
      <c r="G926" s="420"/>
      <c r="H926" s="244" t="s">
        <v>65</v>
      </c>
      <c r="I926" s="244">
        <v>1</v>
      </c>
      <c r="J926" s="279">
        <v>237.11</v>
      </c>
      <c r="K926" s="279">
        <f t="shared" si="910"/>
        <v>289.27</v>
      </c>
      <c r="L926" s="279">
        <f t="shared" si="911"/>
        <v>0</v>
      </c>
      <c r="M926" s="279">
        <f t="shared" si="912"/>
        <v>237.11</v>
      </c>
      <c r="N926" s="279">
        <f t="shared" si="913"/>
        <v>0</v>
      </c>
      <c r="O926" s="332">
        <f t="shared" si="914"/>
        <v>289.27</v>
      </c>
      <c r="P926" s="333">
        <f t="shared" si="915"/>
        <v>0</v>
      </c>
      <c r="Q926" s="132"/>
      <c r="R926" s="222">
        <f t="shared" si="916"/>
        <v>23142</v>
      </c>
      <c r="AK926" s="141">
        <f t="shared" si="917"/>
        <v>23141.600000000002</v>
      </c>
    </row>
    <row r="927" spans="1:37" outlineLevel="1">
      <c r="A927" s="36"/>
      <c r="B927" s="343" t="s">
        <v>397</v>
      </c>
      <c r="C927" s="327" t="s">
        <v>691</v>
      </c>
      <c r="D927" s="277">
        <v>12270251100</v>
      </c>
      <c r="E927" s="311">
        <v>13168281555</v>
      </c>
      <c r="F927" s="329" t="s">
        <v>711</v>
      </c>
      <c r="G927" s="420"/>
      <c r="H927" s="244" t="s">
        <v>65</v>
      </c>
      <c r="I927" s="244">
        <v>1</v>
      </c>
      <c r="J927" s="279">
        <v>359.34</v>
      </c>
      <c r="K927" s="279">
        <f t="shared" si="910"/>
        <v>438.39</v>
      </c>
      <c r="L927" s="279">
        <f t="shared" si="911"/>
        <v>0</v>
      </c>
      <c r="M927" s="279">
        <f t="shared" si="912"/>
        <v>359.34</v>
      </c>
      <c r="N927" s="279">
        <f t="shared" si="913"/>
        <v>0</v>
      </c>
      <c r="O927" s="332">
        <f t="shared" si="914"/>
        <v>438.39</v>
      </c>
      <c r="P927" s="333">
        <f t="shared" si="915"/>
        <v>0</v>
      </c>
      <c r="Q927" s="132"/>
      <c r="R927" s="222">
        <f t="shared" si="916"/>
        <v>35071</v>
      </c>
      <c r="AK927" s="141">
        <f t="shared" si="917"/>
        <v>35071.200000000004</v>
      </c>
    </row>
    <row r="928" spans="1:37" outlineLevel="1">
      <c r="A928" s="36"/>
      <c r="B928" s="398"/>
      <c r="C928" s="357"/>
      <c r="D928" s="217"/>
      <c r="E928" s="225"/>
      <c r="F928" s="378"/>
      <c r="G928" s="421"/>
      <c r="H928" s="358"/>
      <c r="I928" s="358"/>
      <c r="J928" s="220"/>
      <c r="K928" s="220"/>
      <c r="L928" s="220"/>
      <c r="M928" s="220"/>
      <c r="N928" s="220"/>
      <c r="O928" s="359"/>
      <c r="P928" s="221"/>
      <c r="Q928" s="132"/>
      <c r="R928" s="222"/>
      <c r="AK928" s="141"/>
    </row>
    <row r="929" spans="1:38" outlineLevel="1">
      <c r="A929" s="36"/>
      <c r="B929" s="422"/>
      <c r="C929" s="344" t="s">
        <v>691</v>
      </c>
      <c r="D929" s="423"/>
      <c r="E929" s="424"/>
      <c r="F929" s="425" t="s">
        <v>712</v>
      </c>
      <c r="G929" s="426"/>
      <c r="H929" s="427"/>
      <c r="I929" s="427"/>
      <c r="J929" s="410"/>
      <c r="K929" s="410"/>
      <c r="L929" s="410"/>
      <c r="M929" s="410"/>
      <c r="N929" s="410"/>
      <c r="O929" s="411"/>
      <c r="P929" s="411"/>
      <c r="Q929" s="132"/>
      <c r="R929" s="207"/>
      <c r="AK929" s="141"/>
    </row>
    <row r="930" spans="1:38" outlineLevel="1">
      <c r="A930" s="36"/>
      <c r="B930" s="343" t="s">
        <v>397</v>
      </c>
      <c r="C930" s="327" t="s">
        <v>691</v>
      </c>
      <c r="D930" s="311"/>
      <c r="E930" s="311">
        <v>12029231100</v>
      </c>
      <c r="F930" s="329" t="s">
        <v>713</v>
      </c>
      <c r="G930" s="420"/>
      <c r="H930" s="244" t="s">
        <v>65</v>
      </c>
      <c r="I930" s="244">
        <v>1</v>
      </c>
      <c r="J930" s="279">
        <v>225.77</v>
      </c>
      <c r="K930" s="279">
        <f t="shared" ref="K930" si="918">ROUND((J930*$C$3),2)</f>
        <v>275.44</v>
      </c>
      <c r="L930" s="279">
        <f>K930*G930</f>
        <v>0</v>
      </c>
      <c r="M930" s="279">
        <f t="shared" ref="M930" si="919">J930*(1-$E$5-$E$7)*(1-$E$9)*(1+$E$11)</f>
        <v>225.77</v>
      </c>
      <c r="N930" s="279">
        <f>M930*G930</f>
        <v>0</v>
      </c>
      <c r="O930" s="332">
        <f t="shared" ref="O930" si="920">ROUND((M930*$C$3),2)</f>
        <v>275.44</v>
      </c>
      <c r="P930" s="333">
        <f>O930*G930</f>
        <v>0</v>
      </c>
      <c r="Q930" s="132"/>
      <c r="R930" s="222">
        <f t="shared" ref="R930" si="921">ROUND(AK930,0)</f>
        <v>22035</v>
      </c>
      <c r="AK930" s="141">
        <f>K930*$AK$11*(1-$AK$10)</f>
        <v>22035.200000000001</v>
      </c>
    </row>
    <row r="931" spans="1:38" outlineLevel="1">
      <c r="A931" s="36"/>
      <c r="B931" s="402"/>
      <c r="C931" s="367"/>
      <c r="D931" s="217"/>
      <c r="E931" s="217"/>
      <c r="F931" s="295"/>
      <c r="G931" s="421"/>
      <c r="H931" s="294"/>
      <c r="I931" s="294"/>
      <c r="J931" s="220"/>
      <c r="K931" s="220"/>
      <c r="L931" s="220"/>
      <c r="M931" s="220"/>
      <c r="N931" s="220"/>
      <c r="O931" s="342"/>
      <c r="P931" s="221"/>
      <c r="Q931" s="132"/>
      <c r="R931" s="222"/>
      <c r="AK931" s="141"/>
    </row>
    <row r="932" spans="1:38" ht="30.6" outlineLevel="1">
      <c r="A932" s="148" t="s">
        <v>25</v>
      </c>
      <c r="B932" s="208" t="s">
        <v>26</v>
      </c>
      <c r="C932" s="351" t="s">
        <v>691</v>
      </c>
      <c r="D932" s="190">
        <v>12270751100</v>
      </c>
      <c r="E932" s="188">
        <v>13168311100</v>
      </c>
      <c r="F932" s="258" t="s">
        <v>660</v>
      </c>
      <c r="G932" s="401"/>
      <c r="H932" s="248" t="s">
        <v>65</v>
      </c>
      <c r="I932" s="248">
        <v>1</v>
      </c>
      <c r="J932" s="212">
        <v>18.39</v>
      </c>
      <c r="K932" s="212">
        <f t="shared" ref="K932" si="922">ROUND((J932*$C$3),2)</f>
        <v>22.44</v>
      </c>
      <c r="L932" s="212">
        <f>K932*G932</f>
        <v>0</v>
      </c>
      <c r="M932" s="212">
        <f t="shared" ref="M932" si="923">J932*(1-$E$5-$E$7)*(1-$E$9)*(1+$E$11)</f>
        <v>18.39</v>
      </c>
      <c r="N932" s="212">
        <f>M932*G932</f>
        <v>0</v>
      </c>
      <c r="O932" s="297">
        <f t="shared" ref="O932" si="924">ROUND((M932*$C$3),2)</f>
        <v>22.44</v>
      </c>
      <c r="P932" s="213">
        <f>O932*G932</f>
        <v>0</v>
      </c>
      <c r="Q932" s="132"/>
      <c r="R932" s="214">
        <f t="shared" ref="R932" si="925">ROUND(AK932,0)</f>
        <v>1795</v>
      </c>
      <c r="AK932" s="141">
        <f t="shared" ref="AK932" si="926">K932*$AK$11*(1-$AK$10)</f>
        <v>1795.2</v>
      </c>
      <c r="AL932" s="74"/>
    </row>
    <row r="933" spans="1:38" outlineLevel="1">
      <c r="A933" s="36"/>
      <c r="B933" s="261"/>
      <c r="C933" s="248"/>
      <c r="D933" s="248"/>
      <c r="E933" s="188"/>
      <c r="F933" s="258"/>
      <c r="G933" s="428"/>
      <c r="H933" s="387"/>
      <c r="I933" s="248"/>
      <c r="J933" s="212"/>
      <c r="K933" s="212"/>
      <c r="L933" s="212"/>
      <c r="M933" s="212"/>
      <c r="N933" s="212"/>
      <c r="O933" s="297"/>
      <c r="P933" s="213"/>
      <c r="Q933" s="132"/>
      <c r="R933" s="222"/>
      <c r="AK933" s="141"/>
    </row>
    <row r="934" spans="1:38">
      <c r="A934" s="36"/>
      <c r="B934" s="429"/>
      <c r="C934" s="430" t="s">
        <v>714</v>
      </c>
      <c r="D934" s="301"/>
      <c r="E934" s="233"/>
      <c r="F934" s="303" t="s">
        <v>715</v>
      </c>
      <c r="G934" s="431"/>
      <c r="H934" s="432"/>
      <c r="I934" s="432"/>
      <c r="J934" s="418"/>
      <c r="K934" s="418"/>
      <c r="L934" s="418"/>
      <c r="M934" s="418"/>
      <c r="N934" s="418"/>
      <c r="O934" s="236"/>
      <c r="P934" s="419"/>
      <c r="Q934" s="132"/>
      <c r="R934" s="207"/>
      <c r="AK934" s="141"/>
    </row>
    <row r="935" spans="1:38" outlineLevel="1">
      <c r="A935" s="36"/>
      <c r="B935" s="429"/>
      <c r="C935" s="433"/>
      <c r="D935" s="301"/>
      <c r="E935" s="233"/>
      <c r="F935" s="303"/>
      <c r="G935" s="431"/>
      <c r="H935" s="432"/>
      <c r="I935" s="432"/>
      <c r="J935" s="418"/>
      <c r="K935" s="418"/>
      <c r="L935" s="418"/>
      <c r="M935" s="418"/>
      <c r="N935" s="418"/>
      <c r="O935" s="236"/>
      <c r="P935" s="419"/>
      <c r="Q935" s="132"/>
      <c r="R935" s="207"/>
      <c r="AK935" s="141"/>
    </row>
    <row r="936" spans="1:38" s="74" customFormat="1" ht="26.45" outlineLevel="1">
      <c r="A936" s="156"/>
      <c r="B936" s="434" t="s">
        <v>30</v>
      </c>
      <c r="C936" s="435" t="s">
        <v>714</v>
      </c>
      <c r="D936" s="436"/>
      <c r="E936" s="188">
        <v>12193321002</v>
      </c>
      <c r="F936" s="437" t="s">
        <v>716</v>
      </c>
      <c r="G936" s="228"/>
      <c r="H936" s="438" t="s">
        <v>65</v>
      </c>
      <c r="I936" s="438">
        <v>1</v>
      </c>
      <c r="J936" s="212">
        <v>247.72</v>
      </c>
      <c r="K936" s="212">
        <f t="shared" ref="K936:K957" si="927">ROUND((J936*$C$3),2)</f>
        <v>302.22000000000003</v>
      </c>
      <c r="L936" s="212">
        <f>K936*G936</f>
        <v>0</v>
      </c>
      <c r="M936" s="212">
        <f t="shared" ref="M936" si="928">J936*(1-$E$5-$E$7)*(1-$E$9)*(1+$E$11)</f>
        <v>247.72</v>
      </c>
      <c r="N936" s="212">
        <f>M936*G936</f>
        <v>0</v>
      </c>
      <c r="O936" s="439">
        <f t="shared" ref="O936" si="929">ROUND((M936*$C$3),2)</f>
        <v>302.22000000000003</v>
      </c>
      <c r="P936" s="213">
        <f>O936*G936</f>
        <v>0</v>
      </c>
      <c r="Q936" s="132"/>
      <c r="R936" s="222">
        <f t="shared" ref="R936" si="930">ROUND(AK936,0)</f>
        <v>24178</v>
      </c>
      <c r="S936"/>
      <c r="AK936" s="141">
        <f>K936*$AK$11*(1-$AK$10)</f>
        <v>24177.600000000006</v>
      </c>
      <c r="AL936"/>
    </row>
    <row r="937" spans="1:38" outlineLevel="1">
      <c r="A937" s="36"/>
      <c r="B937" s="434"/>
      <c r="C937" s="440"/>
      <c r="D937" s="438"/>
      <c r="E937" s="188"/>
      <c r="F937" s="437"/>
      <c r="G937" s="211"/>
      <c r="H937" s="438"/>
      <c r="I937" s="438"/>
      <c r="J937" s="212"/>
      <c r="K937" s="212"/>
      <c r="L937" s="212"/>
      <c r="M937" s="212"/>
      <c r="N937" s="212"/>
      <c r="O937" s="439"/>
      <c r="P937" s="213"/>
      <c r="Q937" s="132"/>
      <c r="R937" s="222"/>
      <c r="AK937" s="141"/>
    </row>
    <row r="938" spans="1:38" outlineLevel="1">
      <c r="A938" s="36"/>
      <c r="B938" s="434" t="s">
        <v>397</v>
      </c>
      <c r="C938" s="435" t="s">
        <v>714</v>
      </c>
      <c r="D938" s="438"/>
      <c r="E938" s="188">
        <v>11373641001</v>
      </c>
      <c r="F938" s="437" t="s">
        <v>717</v>
      </c>
      <c r="G938" s="211"/>
      <c r="H938" s="438" t="s">
        <v>65</v>
      </c>
      <c r="I938" s="438">
        <v>1</v>
      </c>
      <c r="J938" s="212">
        <v>131.36000000000001</v>
      </c>
      <c r="K938" s="212">
        <f t="shared" si="927"/>
        <v>160.26</v>
      </c>
      <c r="L938" s="212">
        <f>K938*G938</f>
        <v>0</v>
      </c>
      <c r="M938" s="212">
        <f t="shared" ref="M938:M948" si="931">J938*(1-$E$5-$E$7)*(1-$E$9)*(1+$E$11)</f>
        <v>131.36000000000001</v>
      </c>
      <c r="N938" s="212">
        <f>M938*G938</f>
        <v>0</v>
      </c>
      <c r="O938" s="439">
        <f t="shared" ref="O938:O948" si="932">ROUND((M938*$C$3),2)</f>
        <v>160.26</v>
      </c>
      <c r="P938" s="213">
        <f>O938*G938</f>
        <v>0</v>
      </c>
      <c r="Q938" s="132"/>
      <c r="R938" s="222">
        <f t="shared" ref="R938:R973" si="933">ROUND(AK938,0)</f>
        <v>12821</v>
      </c>
      <c r="AK938" s="141">
        <f>K938*$AK$11*(1-$AK$10)</f>
        <v>12820.800000000001</v>
      </c>
    </row>
    <row r="939" spans="1:38" outlineLevel="1">
      <c r="A939" s="36"/>
      <c r="B939" s="434" t="s">
        <v>397</v>
      </c>
      <c r="C939" s="435" t="s">
        <v>714</v>
      </c>
      <c r="D939" s="438"/>
      <c r="E939" s="188">
        <v>12017981001</v>
      </c>
      <c r="F939" s="437" t="s">
        <v>718</v>
      </c>
      <c r="G939" s="211"/>
      <c r="H939" s="438" t="s">
        <v>65</v>
      </c>
      <c r="I939" s="438">
        <v>1</v>
      </c>
      <c r="J939" s="212">
        <v>165.88</v>
      </c>
      <c r="K939" s="212">
        <f t="shared" si="927"/>
        <v>202.37</v>
      </c>
      <c r="L939" s="212">
        <f>K939*G939</f>
        <v>0</v>
      </c>
      <c r="M939" s="212">
        <f t="shared" si="931"/>
        <v>165.88</v>
      </c>
      <c r="N939" s="212">
        <f>M939*G939</f>
        <v>0</v>
      </c>
      <c r="O939" s="439">
        <f t="shared" si="932"/>
        <v>202.37</v>
      </c>
      <c r="P939" s="213">
        <f>O939*G939</f>
        <v>0</v>
      </c>
      <c r="Q939" s="132"/>
      <c r="R939" s="222">
        <f t="shared" si="933"/>
        <v>16190</v>
      </c>
      <c r="AK939" s="141">
        <f>K939*$AK$11*(1-$AK$10)</f>
        <v>16189.6</v>
      </c>
    </row>
    <row r="940" spans="1:38" outlineLevel="1">
      <c r="A940" s="36"/>
      <c r="B940" s="434"/>
      <c r="C940" s="440"/>
      <c r="D940" s="438"/>
      <c r="E940" s="188"/>
      <c r="F940" s="437"/>
      <c r="G940" s="211"/>
      <c r="H940" s="438"/>
      <c r="I940" s="438"/>
      <c r="J940" s="212"/>
      <c r="K940" s="212"/>
      <c r="L940" s="212"/>
      <c r="M940" s="212"/>
      <c r="N940" s="212"/>
      <c r="O940" s="439"/>
      <c r="P940" s="213"/>
      <c r="Q940" s="132"/>
      <c r="R940" s="222"/>
      <c r="AK940" s="141"/>
    </row>
    <row r="941" spans="1:38" outlineLevel="1">
      <c r="A941" s="36"/>
      <c r="B941" s="434" t="s">
        <v>397</v>
      </c>
      <c r="C941" s="435" t="s">
        <v>714</v>
      </c>
      <c r="D941" s="438"/>
      <c r="E941" s="188">
        <v>12141761001</v>
      </c>
      <c r="F941" s="437" t="s">
        <v>719</v>
      </c>
      <c r="G941" s="211"/>
      <c r="H941" s="438" t="s">
        <v>65</v>
      </c>
      <c r="I941" s="438">
        <v>1</v>
      </c>
      <c r="J941" s="212">
        <v>197.06</v>
      </c>
      <c r="K941" s="212">
        <f t="shared" si="927"/>
        <v>240.41</v>
      </c>
      <c r="L941" s="212">
        <f>K941*G941</f>
        <v>0</v>
      </c>
      <c r="M941" s="212">
        <f t="shared" si="931"/>
        <v>197.06</v>
      </c>
      <c r="N941" s="212">
        <f>M941*G941</f>
        <v>0</v>
      </c>
      <c r="O941" s="439">
        <f t="shared" si="932"/>
        <v>240.41</v>
      </c>
      <c r="P941" s="213">
        <f>O941*G941</f>
        <v>0</v>
      </c>
      <c r="Q941" s="132"/>
      <c r="R941" s="222">
        <f t="shared" si="933"/>
        <v>19233</v>
      </c>
      <c r="AK941" s="141">
        <f>K941*$AK$11*(1-$AK$10)</f>
        <v>19232.8</v>
      </c>
    </row>
    <row r="942" spans="1:38" outlineLevel="1">
      <c r="A942" s="36"/>
      <c r="B942" s="441"/>
      <c r="C942" s="442"/>
      <c r="D942" s="443"/>
      <c r="E942" s="217"/>
      <c r="F942" s="444"/>
      <c r="G942" s="219"/>
      <c r="H942" s="443"/>
      <c r="I942" s="443"/>
      <c r="J942" s="220"/>
      <c r="K942" s="220"/>
      <c r="L942" s="220"/>
      <c r="M942" s="220"/>
      <c r="N942" s="220"/>
      <c r="O942" s="445"/>
      <c r="P942" s="221"/>
      <c r="Q942" s="132"/>
      <c r="R942" s="222"/>
      <c r="AK942" s="141"/>
    </row>
    <row r="943" spans="1:38" outlineLevel="1">
      <c r="A943" s="36"/>
      <c r="B943" s="434" t="s">
        <v>397</v>
      </c>
      <c r="C943" s="435" t="s">
        <v>714</v>
      </c>
      <c r="D943" s="438"/>
      <c r="E943" s="188">
        <v>12141691001</v>
      </c>
      <c r="F943" s="437" t="s">
        <v>720</v>
      </c>
      <c r="G943" s="211"/>
      <c r="H943" s="438" t="s">
        <v>65</v>
      </c>
      <c r="I943" s="438">
        <v>1</v>
      </c>
      <c r="J943" s="212">
        <v>69.81</v>
      </c>
      <c r="K943" s="212">
        <f t="shared" si="927"/>
        <v>85.17</v>
      </c>
      <c r="L943" s="212">
        <f t="shared" ref="L943:L948" si="934">K943*G943</f>
        <v>0</v>
      </c>
      <c r="M943" s="212">
        <f t="shared" si="931"/>
        <v>69.81</v>
      </c>
      <c r="N943" s="212">
        <f t="shared" ref="N943:N948" si="935">M943*G943</f>
        <v>0</v>
      </c>
      <c r="O943" s="439">
        <f t="shared" si="932"/>
        <v>85.17</v>
      </c>
      <c r="P943" s="213">
        <f t="shared" ref="P943:P948" si="936">O943*G943</f>
        <v>0</v>
      </c>
      <c r="Q943" s="132"/>
      <c r="R943" s="222">
        <f t="shared" si="933"/>
        <v>6814</v>
      </c>
      <c r="AK943" s="141">
        <f t="shared" ref="AK943:AK948" si="937">K943*$AK$11*(1-$AK$10)</f>
        <v>6813.6</v>
      </c>
    </row>
    <row r="944" spans="1:38" outlineLevel="1">
      <c r="A944" s="36"/>
      <c r="B944" s="434" t="s">
        <v>397</v>
      </c>
      <c r="C944" s="435" t="s">
        <v>714</v>
      </c>
      <c r="D944" s="438"/>
      <c r="E944" s="188">
        <v>12141711001</v>
      </c>
      <c r="F944" s="437" t="s">
        <v>721</v>
      </c>
      <c r="G944" s="211"/>
      <c r="H944" s="438" t="s">
        <v>65</v>
      </c>
      <c r="I944" s="438">
        <v>1</v>
      </c>
      <c r="J944" s="212">
        <v>69.81</v>
      </c>
      <c r="K944" s="212">
        <f t="shared" si="927"/>
        <v>85.17</v>
      </c>
      <c r="L944" s="212">
        <f t="shared" si="934"/>
        <v>0</v>
      </c>
      <c r="M944" s="212">
        <f t="shared" si="931"/>
        <v>69.81</v>
      </c>
      <c r="N944" s="212">
        <f t="shared" si="935"/>
        <v>0</v>
      </c>
      <c r="O944" s="439">
        <f t="shared" si="932"/>
        <v>85.17</v>
      </c>
      <c r="P944" s="213">
        <f t="shared" si="936"/>
        <v>0</v>
      </c>
      <c r="Q944" s="132"/>
      <c r="R944" s="222">
        <f t="shared" si="933"/>
        <v>6814</v>
      </c>
      <c r="AK944" s="141">
        <f t="shared" si="937"/>
        <v>6813.6</v>
      </c>
    </row>
    <row r="945" spans="1:37" outlineLevel="1">
      <c r="A945" s="36"/>
      <c r="B945" s="434" t="s">
        <v>397</v>
      </c>
      <c r="C945" s="435" t="s">
        <v>714</v>
      </c>
      <c r="D945" s="438"/>
      <c r="E945" s="188">
        <v>12141721001</v>
      </c>
      <c r="F945" s="437" t="s">
        <v>722</v>
      </c>
      <c r="G945" s="211"/>
      <c r="H945" s="438" t="s">
        <v>65</v>
      </c>
      <c r="I945" s="438">
        <v>1</v>
      </c>
      <c r="J945" s="212">
        <v>69.81</v>
      </c>
      <c r="K945" s="212">
        <f t="shared" si="927"/>
        <v>85.17</v>
      </c>
      <c r="L945" s="212">
        <f t="shared" si="934"/>
        <v>0</v>
      </c>
      <c r="M945" s="212">
        <f t="shared" si="931"/>
        <v>69.81</v>
      </c>
      <c r="N945" s="212">
        <f t="shared" si="935"/>
        <v>0</v>
      </c>
      <c r="O945" s="439">
        <f t="shared" si="932"/>
        <v>85.17</v>
      </c>
      <c r="P945" s="213">
        <f t="shared" si="936"/>
        <v>0</v>
      </c>
      <c r="Q945" s="132"/>
      <c r="R945" s="222">
        <f t="shared" si="933"/>
        <v>6814</v>
      </c>
      <c r="AK945" s="141">
        <f t="shared" si="937"/>
        <v>6813.6</v>
      </c>
    </row>
    <row r="946" spans="1:37" outlineLevel="1">
      <c r="A946" s="36"/>
      <c r="B946" s="434" t="s">
        <v>397</v>
      </c>
      <c r="C946" s="446" t="s">
        <v>714</v>
      </c>
      <c r="D946" s="438"/>
      <c r="E946" s="188">
        <v>11315681001</v>
      </c>
      <c r="F946" s="437" t="s">
        <v>723</v>
      </c>
      <c r="G946" s="211"/>
      <c r="H946" s="438" t="s">
        <v>65</v>
      </c>
      <c r="I946" s="438">
        <v>1</v>
      </c>
      <c r="J946" s="212">
        <v>69.81</v>
      </c>
      <c r="K946" s="212">
        <f t="shared" si="927"/>
        <v>85.17</v>
      </c>
      <c r="L946" s="212">
        <f t="shared" si="934"/>
        <v>0</v>
      </c>
      <c r="M946" s="212">
        <f t="shared" si="931"/>
        <v>69.81</v>
      </c>
      <c r="N946" s="212">
        <f t="shared" si="935"/>
        <v>0</v>
      </c>
      <c r="O946" s="439">
        <f t="shared" si="932"/>
        <v>85.17</v>
      </c>
      <c r="P946" s="213">
        <f t="shared" si="936"/>
        <v>0</v>
      </c>
      <c r="Q946" s="132"/>
      <c r="R946" s="222">
        <f t="shared" si="933"/>
        <v>6814</v>
      </c>
      <c r="AK946" s="141">
        <f t="shared" si="937"/>
        <v>6813.6</v>
      </c>
    </row>
    <row r="947" spans="1:37" outlineLevel="1">
      <c r="A947" s="36"/>
      <c r="B947" s="434" t="s">
        <v>397</v>
      </c>
      <c r="C947" s="446" t="s">
        <v>714</v>
      </c>
      <c r="D947" s="438"/>
      <c r="E947" s="188">
        <v>12092271001</v>
      </c>
      <c r="F947" s="437" t="s">
        <v>724</v>
      </c>
      <c r="G947" s="211"/>
      <c r="H947" s="438" t="s">
        <v>65</v>
      </c>
      <c r="I947" s="438">
        <v>1</v>
      </c>
      <c r="J947" s="212">
        <v>78.88</v>
      </c>
      <c r="K947" s="212">
        <f t="shared" si="927"/>
        <v>96.23</v>
      </c>
      <c r="L947" s="212">
        <f t="shared" si="934"/>
        <v>0</v>
      </c>
      <c r="M947" s="212">
        <f t="shared" si="931"/>
        <v>78.88</v>
      </c>
      <c r="N947" s="212">
        <f t="shared" si="935"/>
        <v>0</v>
      </c>
      <c r="O947" s="439">
        <f t="shared" si="932"/>
        <v>96.23</v>
      </c>
      <c r="P947" s="213">
        <f t="shared" si="936"/>
        <v>0</v>
      </c>
      <c r="Q947" s="132"/>
      <c r="R947" s="222">
        <f t="shared" si="933"/>
        <v>7698</v>
      </c>
      <c r="AK947" s="141">
        <f t="shared" si="937"/>
        <v>7698.4000000000005</v>
      </c>
    </row>
    <row r="948" spans="1:37" outlineLevel="1">
      <c r="A948" s="36"/>
      <c r="B948" s="434" t="s">
        <v>397</v>
      </c>
      <c r="C948" s="446" t="s">
        <v>714</v>
      </c>
      <c r="D948" s="438"/>
      <c r="E948" s="188">
        <v>12166941001</v>
      </c>
      <c r="F948" s="437" t="s">
        <v>725</v>
      </c>
      <c r="G948" s="211"/>
      <c r="H948" s="438" t="s">
        <v>65</v>
      </c>
      <c r="I948" s="438">
        <v>1</v>
      </c>
      <c r="J948" s="212">
        <v>55.11</v>
      </c>
      <c r="K948" s="212">
        <f t="shared" si="927"/>
        <v>67.23</v>
      </c>
      <c r="L948" s="212">
        <f t="shared" si="934"/>
        <v>0</v>
      </c>
      <c r="M948" s="212">
        <f t="shared" si="931"/>
        <v>55.11</v>
      </c>
      <c r="N948" s="212">
        <f t="shared" si="935"/>
        <v>0</v>
      </c>
      <c r="O948" s="439">
        <f t="shared" si="932"/>
        <v>67.23</v>
      </c>
      <c r="P948" s="213">
        <f t="shared" si="936"/>
        <v>0</v>
      </c>
      <c r="Q948" s="132"/>
      <c r="R948" s="222">
        <f t="shared" si="933"/>
        <v>5378</v>
      </c>
      <c r="AK948" s="141">
        <f t="shared" si="937"/>
        <v>5378.4000000000005</v>
      </c>
    </row>
    <row r="949" spans="1:37" outlineLevel="1">
      <c r="A949" s="36"/>
      <c r="B949" s="434"/>
      <c r="C949" s="446"/>
      <c r="D949" s="438"/>
      <c r="E949" s="188"/>
      <c r="F949" s="437"/>
      <c r="G949" s="211"/>
      <c r="H949" s="438"/>
      <c r="I949" s="438"/>
      <c r="J949" s="212"/>
      <c r="K949" s="212"/>
      <c r="L949" s="212"/>
      <c r="M949" s="212"/>
      <c r="N949" s="212"/>
      <c r="O949" s="439"/>
      <c r="P949" s="213"/>
      <c r="Q949" s="132"/>
      <c r="R949" s="222"/>
      <c r="AK949" s="141"/>
    </row>
    <row r="950" spans="1:37" outlineLevel="1">
      <c r="A950" s="36"/>
      <c r="B950" s="434" t="s">
        <v>30</v>
      </c>
      <c r="C950" s="446" t="s">
        <v>714</v>
      </c>
      <c r="D950" s="188">
        <v>12141691001</v>
      </c>
      <c r="E950" s="188">
        <v>12141693001</v>
      </c>
      <c r="F950" s="447" t="s">
        <v>726</v>
      </c>
      <c r="G950" s="211"/>
      <c r="H950" s="438" t="s">
        <v>65</v>
      </c>
      <c r="I950" s="438">
        <v>1</v>
      </c>
      <c r="J950" s="212">
        <v>35.47</v>
      </c>
      <c r="K950" s="212">
        <f t="shared" si="927"/>
        <v>43.27</v>
      </c>
      <c r="L950" s="212">
        <f t="shared" ref="L950:L957" si="938">K950*G950</f>
        <v>0</v>
      </c>
      <c r="M950" s="212">
        <f t="shared" ref="M950:M957" si="939">J950*(1-$E$5-$E$7)*(1-$E$9)*(1+$E$11)</f>
        <v>35.47</v>
      </c>
      <c r="N950" s="212">
        <f t="shared" ref="N950:N957" si="940">M950*G950</f>
        <v>0</v>
      </c>
      <c r="O950" s="439">
        <f t="shared" ref="O950:O957" si="941">ROUND((M950*$C$3),2)</f>
        <v>43.27</v>
      </c>
      <c r="P950" s="213">
        <f t="shared" ref="P950:P957" si="942">O950*G950</f>
        <v>0</v>
      </c>
      <c r="Q950" s="132"/>
      <c r="R950" s="222">
        <f t="shared" ref="R950:R957" si="943">ROUND(AK950,0)</f>
        <v>3462</v>
      </c>
      <c r="AK950" s="141">
        <f t="shared" ref="AK950:AK957" si="944">K950*$AK$11*(1-$AK$10)</f>
        <v>3461.6000000000004</v>
      </c>
    </row>
    <row r="951" spans="1:37" outlineLevel="1">
      <c r="A951" s="36"/>
      <c r="B951" s="434" t="s">
        <v>30</v>
      </c>
      <c r="C951" s="446" t="s">
        <v>714</v>
      </c>
      <c r="D951" s="188">
        <v>12141711001</v>
      </c>
      <c r="E951" s="188">
        <v>12141713001</v>
      </c>
      <c r="F951" s="447" t="s">
        <v>727</v>
      </c>
      <c r="G951" s="211"/>
      <c r="H951" s="438" t="s">
        <v>65</v>
      </c>
      <c r="I951" s="438">
        <v>1</v>
      </c>
      <c r="J951" s="212">
        <v>35.47</v>
      </c>
      <c r="K951" s="212">
        <f t="shared" si="927"/>
        <v>43.27</v>
      </c>
      <c r="L951" s="212">
        <f t="shared" si="938"/>
        <v>0</v>
      </c>
      <c r="M951" s="212">
        <f t="shared" si="939"/>
        <v>35.47</v>
      </c>
      <c r="N951" s="212">
        <f t="shared" si="940"/>
        <v>0</v>
      </c>
      <c r="O951" s="439">
        <f t="shared" si="941"/>
        <v>43.27</v>
      </c>
      <c r="P951" s="213">
        <f t="shared" si="942"/>
        <v>0</v>
      </c>
      <c r="Q951" s="132"/>
      <c r="R951" s="222">
        <f t="shared" si="943"/>
        <v>3462</v>
      </c>
      <c r="AK951" s="141">
        <f t="shared" si="944"/>
        <v>3461.6000000000004</v>
      </c>
    </row>
    <row r="952" spans="1:37" outlineLevel="1">
      <c r="A952" s="36"/>
      <c r="B952" s="434" t="s">
        <v>30</v>
      </c>
      <c r="C952" s="446" t="s">
        <v>714</v>
      </c>
      <c r="D952" s="188">
        <v>12141721001</v>
      </c>
      <c r="E952" s="188">
        <v>12141723001</v>
      </c>
      <c r="F952" s="447" t="s">
        <v>728</v>
      </c>
      <c r="G952" s="211"/>
      <c r="H952" s="438" t="s">
        <v>65</v>
      </c>
      <c r="I952" s="438">
        <v>1</v>
      </c>
      <c r="J952" s="212">
        <v>39.019999999999996</v>
      </c>
      <c r="K952" s="212">
        <f t="shared" si="927"/>
        <v>47.6</v>
      </c>
      <c r="L952" s="212">
        <f t="shared" si="938"/>
        <v>0</v>
      </c>
      <c r="M952" s="212">
        <f t="shared" si="939"/>
        <v>39.019999999999996</v>
      </c>
      <c r="N952" s="212">
        <f t="shared" si="940"/>
        <v>0</v>
      </c>
      <c r="O952" s="439">
        <f t="shared" si="941"/>
        <v>47.6</v>
      </c>
      <c r="P952" s="213">
        <f t="shared" si="942"/>
        <v>0</v>
      </c>
      <c r="Q952" s="132"/>
      <c r="R952" s="222">
        <f t="shared" si="943"/>
        <v>3808</v>
      </c>
      <c r="AK952" s="141">
        <f t="shared" si="944"/>
        <v>3808</v>
      </c>
    </row>
    <row r="953" spans="1:37" outlineLevel="1">
      <c r="A953" s="36"/>
      <c r="B953" s="434" t="s">
        <v>30</v>
      </c>
      <c r="C953" s="446" t="s">
        <v>714</v>
      </c>
      <c r="D953" s="188">
        <v>12141751001</v>
      </c>
      <c r="E953" s="188">
        <v>12141753001</v>
      </c>
      <c r="F953" s="447" t="s">
        <v>729</v>
      </c>
      <c r="G953" s="211"/>
      <c r="H953" s="438" t="s">
        <v>65</v>
      </c>
      <c r="I953" s="438">
        <v>1</v>
      </c>
      <c r="J953" s="212">
        <v>40.54</v>
      </c>
      <c r="K953" s="212">
        <f t="shared" si="927"/>
        <v>49.46</v>
      </c>
      <c r="L953" s="212">
        <f t="shared" si="938"/>
        <v>0</v>
      </c>
      <c r="M953" s="212">
        <f t="shared" si="939"/>
        <v>40.54</v>
      </c>
      <c r="N953" s="212">
        <f t="shared" si="940"/>
        <v>0</v>
      </c>
      <c r="O953" s="439">
        <f t="shared" si="941"/>
        <v>49.46</v>
      </c>
      <c r="P953" s="213">
        <f t="shared" si="942"/>
        <v>0</v>
      </c>
      <c r="Q953" s="132"/>
      <c r="R953" s="222">
        <f t="shared" si="943"/>
        <v>3957</v>
      </c>
      <c r="AK953" s="141">
        <f t="shared" si="944"/>
        <v>3956.8</v>
      </c>
    </row>
    <row r="954" spans="1:37" outlineLevel="1">
      <c r="A954" s="36"/>
      <c r="B954" s="434" t="s">
        <v>30</v>
      </c>
      <c r="C954" s="446" t="s">
        <v>714</v>
      </c>
      <c r="D954" s="188">
        <v>12092241001</v>
      </c>
      <c r="E954" s="188">
        <v>12092243001</v>
      </c>
      <c r="F954" s="447" t="s">
        <v>730</v>
      </c>
      <c r="G954" s="211"/>
      <c r="H954" s="438" t="s">
        <v>65</v>
      </c>
      <c r="I954" s="438">
        <v>1</v>
      </c>
      <c r="J954" s="212">
        <v>42.559999999999995</v>
      </c>
      <c r="K954" s="212">
        <f t="shared" si="927"/>
        <v>51.92</v>
      </c>
      <c r="L954" s="212">
        <f t="shared" si="938"/>
        <v>0</v>
      </c>
      <c r="M954" s="212">
        <f t="shared" si="939"/>
        <v>42.559999999999995</v>
      </c>
      <c r="N954" s="212">
        <f t="shared" si="940"/>
        <v>0</v>
      </c>
      <c r="O954" s="439">
        <f t="shared" si="941"/>
        <v>51.92</v>
      </c>
      <c r="P954" s="213">
        <f t="shared" si="942"/>
        <v>0</v>
      </c>
      <c r="Q954" s="132"/>
      <c r="R954" s="222">
        <f t="shared" si="943"/>
        <v>4154</v>
      </c>
      <c r="AK954" s="141">
        <f t="shared" si="944"/>
        <v>4153.6000000000004</v>
      </c>
    </row>
    <row r="955" spans="1:37" outlineLevel="1">
      <c r="A955" s="36"/>
      <c r="B955" s="434" t="s">
        <v>30</v>
      </c>
      <c r="C955" s="446" t="s">
        <v>714</v>
      </c>
      <c r="D955" s="188">
        <v>12092251001</v>
      </c>
      <c r="E955" s="188">
        <v>12092253001</v>
      </c>
      <c r="F955" s="447" t="s">
        <v>731</v>
      </c>
      <c r="G955" s="211"/>
      <c r="H955" s="438" t="s">
        <v>65</v>
      </c>
      <c r="I955" s="438">
        <v>1</v>
      </c>
      <c r="J955" s="212">
        <v>42.559999999999995</v>
      </c>
      <c r="K955" s="212">
        <f t="shared" si="927"/>
        <v>51.92</v>
      </c>
      <c r="L955" s="212">
        <f t="shared" si="938"/>
        <v>0</v>
      </c>
      <c r="M955" s="212">
        <f t="shared" si="939"/>
        <v>42.559999999999995</v>
      </c>
      <c r="N955" s="212">
        <f t="shared" si="940"/>
        <v>0</v>
      </c>
      <c r="O955" s="439">
        <f t="shared" si="941"/>
        <v>51.92</v>
      </c>
      <c r="P955" s="213">
        <f t="shared" si="942"/>
        <v>0</v>
      </c>
      <c r="Q955" s="132"/>
      <c r="R955" s="222">
        <f t="shared" si="943"/>
        <v>4154</v>
      </c>
      <c r="AK955" s="141">
        <f t="shared" si="944"/>
        <v>4153.6000000000004</v>
      </c>
    </row>
    <row r="956" spans="1:37" outlineLevel="1">
      <c r="A956" s="36"/>
      <c r="B956" s="434" t="s">
        <v>30</v>
      </c>
      <c r="C956" s="446" t="s">
        <v>714</v>
      </c>
      <c r="D956" s="188">
        <v>12092261001</v>
      </c>
      <c r="E956" s="188">
        <v>12092263001</v>
      </c>
      <c r="F956" s="447" t="s">
        <v>732</v>
      </c>
      <c r="G956" s="211"/>
      <c r="H956" s="438" t="s">
        <v>65</v>
      </c>
      <c r="I956" s="438">
        <v>1</v>
      </c>
      <c r="J956" s="212">
        <v>46.82</v>
      </c>
      <c r="K956" s="212">
        <f t="shared" si="927"/>
        <v>57.12</v>
      </c>
      <c r="L956" s="212">
        <f t="shared" si="938"/>
        <v>0</v>
      </c>
      <c r="M956" s="212">
        <f t="shared" si="939"/>
        <v>46.82</v>
      </c>
      <c r="N956" s="212">
        <f t="shared" si="940"/>
        <v>0</v>
      </c>
      <c r="O956" s="439">
        <f t="shared" si="941"/>
        <v>57.12</v>
      </c>
      <c r="P956" s="213">
        <f t="shared" si="942"/>
        <v>0</v>
      </c>
      <c r="Q956" s="132"/>
      <c r="R956" s="222">
        <f t="shared" si="943"/>
        <v>4570</v>
      </c>
      <c r="AK956" s="141">
        <f t="shared" si="944"/>
        <v>4569.6000000000004</v>
      </c>
    </row>
    <row r="957" spans="1:37" outlineLevel="1">
      <c r="A957" s="36"/>
      <c r="B957" s="434" t="s">
        <v>30</v>
      </c>
      <c r="C957" s="446" t="s">
        <v>714</v>
      </c>
      <c r="D957" s="188">
        <v>12092271001</v>
      </c>
      <c r="E957" s="188">
        <v>12092273001</v>
      </c>
      <c r="F957" s="447" t="s">
        <v>724</v>
      </c>
      <c r="G957" s="211"/>
      <c r="H957" s="438" t="s">
        <v>65</v>
      </c>
      <c r="I957" s="438">
        <v>1</v>
      </c>
      <c r="J957" s="212">
        <v>48.64</v>
      </c>
      <c r="K957" s="212">
        <f t="shared" si="927"/>
        <v>59.34</v>
      </c>
      <c r="L957" s="212">
        <f t="shared" si="938"/>
        <v>0</v>
      </c>
      <c r="M957" s="212">
        <f t="shared" si="939"/>
        <v>48.64</v>
      </c>
      <c r="N957" s="212">
        <f t="shared" si="940"/>
        <v>0</v>
      </c>
      <c r="O957" s="439">
        <f t="shared" si="941"/>
        <v>59.34</v>
      </c>
      <c r="P957" s="213">
        <f t="shared" si="942"/>
        <v>0</v>
      </c>
      <c r="Q957" s="132"/>
      <c r="R957" s="222">
        <f t="shared" si="943"/>
        <v>4747</v>
      </c>
      <c r="AK957" s="141">
        <f t="shared" si="944"/>
        <v>4747.2</v>
      </c>
    </row>
    <row r="958" spans="1:37" outlineLevel="1">
      <c r="A958" s="36"/>
      <c r="B958" s="434"/>
      <c r="C958" s="446"/>
      <c r="D958" s="188"/>
      <c r="E958" s="188"/>
      <c r="F958" s="447"/>
      <c r="G958" s="211"/>
      <c r="H958" s="438"/>
      <c r="I958" s="438"/>
      <c r="J958" s="212"/>
      <c r="K958" s="212"/>
      <c r="L958" s="212"/>
      <c r="M958" s="212"/>
      <c r="N958" s="212"/>
      <c r="O958" s="439"/>
      <c r="P958" s="213"/>
      <c r="Q958" s="132"/>
      <c r="R958" s="222"/>
      <c r="AK958" s="141"/>
    </row>
    <row r="959" spans="1:37" outlineLevel="1">
      <c r="A959" s="36"/>
      <c r="B959" s="434" t="s">
        <v>397</v>
      </c>
      <c r="C959" s="446" t="s">
        <v>714</v>
      </c>
      <c r="D959" s="438"/>
      <c r="E959" s="188">
        <v>11064811001</v>
      </c>
      <c r="F959" s="437" t="s">
        <v>733</v>
      </c>
      <c r="G959" s="211"/>
      <c r="H959" s="438" t="s">
        <v>65</v>
      </c>
      <c r="I959" s="438">
        <v>1</v>
      </c>
      <c r="J959" s="212">
        <v>178.95</v>
      </c>
      <c r="K959" s="212">
        <f t="shared" ref="K959:K985" si="945">ROUND((J959*$C$3),2)</f>
        <v>218.32</v>
      </c>
      <c r="L959" s="212">
        <f t="shared" ref="L959" si="946">K959*G959</f>
        <v>0</v>
      </c>
      <c r="M959" s="212">
        <f t="shared" ref="M959:M985" si="947">J959*(1-$E$5-$E$7)*(1-$E$9)*(1+$E$11)</f>
        <v>178.95</v>
      </c>
      <c r="N959" s="212">
        <f t="shared" ref="N959" si="948">M959*G959</f>
        <v>0</v>
      </c>
      <c r="O959" s="439">
        <f t="shared" ref="O959:O985" si="949">ROUND((M959*$C$3),2)</f>
        <v>218.32</v>
      </c>
      <c r="P959" s="213">
        <f t="shared" ref="P959" si="950">O959*G959</f>
        <v>0</v>
      </c>
      <c r="Q959" s="132"/>
      <c r="R959" s="222">
        <f t="shared" si="933"/>
        <v>17466</v>
      </c>
      <c r="AK959" s="141">
        <f>K959*$AK$11*(1-$AK$10)</f>
        <v>17465.600000000002</v>
      </c>
    </row>
    <row r="960" spans="1:37" outlineLevel="1">
      <c r="A960" s="36"/>
      <c r="B960" s="434"/>
      <c r="C960" s="448"/>
      <c r="D960" s="443"/>
      <c r="E960" s="217"/>
      <c r="F960" s="444"/>
      <c r="G960" s="219"/>
      <c r="H960" s="443"/>
      <c r="I960" s="443"/>
      <c r="J960" s="220"/>
      <c r="K960" s="220"/>
      <c r="L960" s="220"/>
      <c r="M960" s="220"/>
      <c r="N960" s="220"/>
      <c r="O960" s="445"/>
      <c r="P960" s="221"/>
      <c r="Q960" s="132"/>
      <c r="R960" s="222"/>
      <c r="AK960" s="141"/>
    </row>
    <row r="961" spans="1:37" outlineLevel="1">
      <c r="A961" s="36"/>
      <c r="B961" s="449" t="s">
        <v>52</v>
      </c>
      <c r="C961" s="450" t="s">
        <v>714</v>
      </c>
      <c r="D961" s="436"/>
      <c r="E961" s="225">
        <v>11374951002</v>
      </c>
      <c r="F961" s="451" t="s">
        <v>734</v>
      </c>
      <c r="G961" s="228"/>
      <c r="H961" s="436" t="s">
        <v>65</v>
      </c>
      <c r="I961" s="436">
        <v>1</v>
      </c>
      <c r="J961" s="229">
        <v>28.55</v>
      </c>
      <c r="K961" s="229">
        <f t="shared" si="945"/>
        <v>34.83</v>
      </c>
      <c r="L961" s="229">
        <f t="shared" ref="L961:L963" si="951">K961*G961</f>
        <v>0</v>
      </c>
      <c r="M961" s="229">
        <f t="shared" si="947"/>
        <v>28.55</v>
      </c>
      <c r="N961" s="229">
        <f t="shared" ref="N961:N963" si="952">M961*G961</f>
        <v>0</v>
      </c>
      <c r="O961" s="452">
        <f t="shared" si="949"/>
        <v>34.83</v>
      </c>
      <c r="P961" s="230">
        <f t="shared" ref="P961:P963" si="953">O961*G961</f>
        <v>0</v>
      </c>
      <c r="Q961" s="132"/>
      <c r="R961" s="231">
        <f t="shared" si="933"/>
        <v>2786</v>
      </c>
      <c r="AK961" s="141">
        <f>K961*$AK$11*(1-$AK$10)</f>
        <v>2786.4</v>
      </c>
    </row>
    <row r="962" spans="1:37" outlineLevel="1">
      <c r="A962" s="36"/>
      <c r="B962" s="434" t="s">
        <v>397</v>
      </c>
      <c r="C962" s="446" t="s">
        <v>714</v>
      </c>
      <c r="D962" s="438"/>
      <c r="E962" s="188">
        <v>13152421001</v>
      </c>
      <c r="F962" s="437" t="s">
        <v>735</v>
      </c>
      <c r="G962" s="211"/>
      <c r="H962" s="438" t="s">
        <v>65</v>
      </c>
      <c r="I962" s="438">
        <v>1</v>
      </c>
      <c r="J962" s="212">
        <v>53.65</v>
      </c>
      <c r="K962" s="212">
        <f t="shared" si="945"/>
        <v>65.45</v>
      </c>
      <c r="L962" s="212">
        <f t="shared" si="951"/>
        <v>0</v>
      </c>
      <c r="M962" s="212">
        <f t="shared" si="947"/>
        <v>53.65</v>
      </c>
      <c r="N962" s="212">
        <f t="shared" si="952"/>
        <v>0</v>
      </c>
      <c r="O962" s="439">
        <f t="shared" si="949"/>
        <v>65.45</v>
      </c>
      <c r="P962" s="213">
        <f t="shared" si="953"/>
        <v>0</v>
      </c>
      <c r="Q962" s="132"/>
      <c r="R962" s="222">
        <f t="shared" si="933"/>
        <v>5236</v>
      </c>
      <c r="AK962" s="141">
        <f>K962*$AK$11*(1-$AK$10)</f>
        <v>5236</v>
      </c>
    </row>
    <row r="963" spans="1:37" outlineLevel="1">
      <c r="A963" s="36"/>
      <c r="B963" s="434" t="s">
        <v>397</v>
      </c>
      <c r="C963" s="446" t="s">
        <v>714</v>
      </c>
      <c r="D963" s="438"/>
      <c r="E963" s="188">
        <v>12474741001</v>
      </c>
      <c r="F963" s="437" t="s">
        <v>736</v>
      </c>
      <c r="G963" s="211"/>
      <c r="H963" s="438" t="s">
        <v>65</v>
      </c>
      <c r="I963" s="438">
        <v>1</v>
      </c>
      <c r="J963" s="212">
        <v>99.46</v>
      </c>
      <c r="K963" s="212">
        <f t="shared" si="945"/>
        <v>121.34</v>
      </c>
      <c r="L963" s="212">
        <f t="shared" si="951"/>
        <v>0</v>
      </c>
      <c r="M963" s="212">
        <f t="shared" si="947"/>
        <v>99.46</v>
      </c>
      <c r="N963" s="212">
        <f t="shared" si="952"/>
        <v>0</v>
      </c>
      <c r="O963" s="439">
        <f t="shared" si="949"/>
        <v>121.34</v>
      </c>
      <c r="P963" s="213">
        <f t="shared" si="953"/>
        <v>0</v>
      </c>
      <c r="Q963" s="132"/>
      <c r="R963" s="222">
        <f t="shared" si="933"/>
        <v>9707</v>
      </c>
      <c r="AK963" s="141">
        <f>K963*$AK$11*(1-$AK$10)</f>
        <v>9707.2000000000007</v>
      </c>
    </row>
    <row r="964" spans="1:37" outlineLevel="1">
      <c r="A964" s="36"/>
      <c r="B964" s="434"/>
      <c r="C964" s="446"/>
      <c r="D964" s="438"/>
      <c r="E964" s="188"/>
      <c r="F964" s="437"/>
      <c r="G964" s="211"/>
      <c r="H964" s="438"/>
      <c r="I964" s="438"/>
      <c r="J964" s="212"/>
      <c r="K964" s="212"/>
      <c r="L964" s="212"/>
      <c r="M964" s="212"/>
      <c r="N964" s="212"/>
      <c r="O964" s="439"/>
      <c r="P964" s="213"/>
      <c r="Q964" s="132"/>
      <c r="R964" s="222"/>
      <c r="AK964" s="141"/>
    </row>
    <row r="965" spans="1:37" outlineLevel="1">
      <c r="A965" s="36"/>
      <c r="B965" s="434" t="s">
        <v>397</v>
      </c>
      <c r="C965" s="446" t="s">
        <v>714</v>
      </c>
      <c r="D965" s="438"/>
      <c r="E965" s="188">
        <v>12035971001</v>
      </c>
      <c r="F965" s="437" t="s">
        <v>737</v>
      </c>
      <c r="G965" s="211"/>
      <c r="H965" s="438" t="s">
        <v>65</v>
      </c>
      <c r="I965" s="438">
        <v>1</v>
      </c>
      <c r="J965" s="212">
        <v>4757.32</v>
      </c>
      <c r="K965" s="212">
        <f t="shared" si="945"/>
        <v>5803.93</v>
      </c>
      <c r="L965" s="212">
        <f>K965*G965</f>
        <v>0</v>
      </c>
      <c r="M965" s="212">
        <f t="shared" si="947"/>
        <v>4757.32</v>
      </c>
      <c r="N965" s="212">
        <f>M965*G965</f>
        <v>0</v>
      </c>
      <c r="O965" s="439">
        <f t="shared" si="949"/>
        <v>5803.93</v>
      </c>
      <c r="P965" s="213">
        <f>O965*G965</f>
        <v>0</v>
      </c>
      <c r="Q965" s="132"/>
      <c r="R965" s="222">
        <f t="shared" si="933"/>
        <v>464314</v>
      </c>
      <c r="AK965" s="141">
        <f>K965*$AK$11*(1-$AK$10)</f>
        <v>464314.4</v>
      </c>
    </row>
    <row r="966" spans="1:37" outlineLevel="1">
      <c r="A966" s="36"/>
      <c r="B966" s="434"/>
      <c r="C966" s="453"/>
      <c r="D966" s="438"/>
      <c r="E966" s="188"/>
      <c r="F966" s="437"/>
      <c r="G966" s="211"/>
      <c r="H966" s="438"/>
      <c r="I966" s="438"/>
      <c r="J966" s="212"/>
      <c r="K966" s="212"/>
      <c r="L966" s="212"/>
      <c r="M966" s="212"/>
      <c r="N966" s="212"/>
      <c r="O966" s="439"/>
      <c r="P966" s="213"/>
      <c r="Q966" s="132"/>
      <c r="R966" s="222"/>
      <c r="AK966" s="141"/>
    </row>
    <row r="967" spans="1:37" outlineLevel="1">
      <c r="A967" s="36"/>
      <c r="B967" s="434" t="s">
        <v>397</v>
      </c>
      <c r="C967" s="446" t="s">
        <v>714</v>
      </c>
      <c r="D967" s="438"/>
      <c r="E967" s="188">
        <v>11051801001</v>
      </c>
      <c r="F967" s="437" t="s">
        <v>738</v>
      </c>
      <c r="G967" s="211"/>
      <c r="H967" s="438" t="s">
        <v>65</v>
      </c>
      <c r="I967" s="438">
        <v>1</v>
      </c>
      <c r="J967" s="212">
        <v>959.91</v>
      </c>
      <c r="K967" s="212">
        <f t="shared" si="945"/>
        <v>1171.0899999999999</v>
      </c>
      <c r="L967" s="212">
        <f>K967*G967</f>
        <v>0</v>
      </c>
      <c r="M967" s="212">
        <f t="shared" si="947"/>
        <v>959.91</v>
      </c>
      <c r="N967" s="212">
        <f>M967*G967</f>
        <v>0</v>
      </c>
      <c r="O967" s="439">
        <f t="shared" si="949"/>
        <v>1171.0899999999999</v>
      </c>
      <c r="P967" s="213">
        <f>O967*G967</f>
        <v>0</v>
      </c>
      <c r="Q967" s="132"/>
      <c r="R967" s="222">
        <f t="shared" si="933"/>
        <v>93687</v>
      </c>
      <c r="AK967" s="141">
        <f>K967*$AK$11*(1-$AK$10)</f>
        <v>93687.2</v>
      </c>
    </row>
    <row r="968" spans="1:37" outlineLevel="1">
      <c r="A968" s="36"/>
      <c r="B968" s="449"/>
      <c r="C968" s="453"/>
      <c r="D968" s="438"/>
      <c r="E968" s="188"/>
      <c r="F968" s="437"/>
      <c r="G968" s="211"/>
      <c r="H968" s="438"/>
      <c r="I968" s="438"/>
      <c r="J968" s="212"/>
      <c r="K968" s="212"/>
      <c r="L968" s="212"/>
      <c r="M968" s="212"/>
      <c r="N968" s="212"/>
      <c r="O968" s="439"/>
      <c r="P968" s="213"/>
      <c r="Q968" s="132"/>
      <c r="R968" s="222"/>
      <c r="AK968" s="141"/>
    </row>
    <row r="969" spans="1:37" outlineLevel="1">
      <c r="A969" s="36"/>
      <c r="B969" s="434" t="s">
        <v>397</v>
      </c>
      <c r="C969" s="238" t="s">
        <v>714</v>
      </c>
      <c r="D969" s="438"/>
      <c r="E969" s="188">
        <v>11051631001</v>
      </c>
      <c r="F969" s="437" t="s">
        <v>739</v>
      </c>
      <c r="G969" s="211"/>
      <c r="H969" s="438" t="s">
        <v>65</v>
      </c>
      <c r="I969" s="438">
        <v>1</v>
      </c>
      <c r="J969" s="212">
        <v>85.38</v>
      </c>
      <c r="K969" s="212">
        <f t="shared" si="945"/>
        <v>104.16</v>
      </c>
      <c r="L969" s="212">
        <f>K969*G969</f>
        <v>0</v>
      </c>
      <c r="M969" s="212">
        <f t="shared" si="947"/>
        <v>85.38</v>
      </c>
      <c r="N969" s="212">
        <f>M969*G969</f>
        <v>0</v>
      </c>
      <c r="O969" s="439">
        <f t="shared" si="949"/>
        <v>104.16</v>
      </c>
      <c r="P969" s="213">
        <f>O969*G969</f>
        <v>0</v>
      </c>
      <c r="Q969" s="132"/>
      <c r="R969" s="222">
        <f t="shared" si="933"/>
        <v>8333</v>
      </c>
      <c r="AK969" s="141">
        <f>K969*$AK$11*(1-$AK$10)</f>
        <v>8332.8000000000011</v>
      </c>
    </row>
    <row r="970" spans="1:37" outlineLevel="1">
      <c r="A970" s="36"/>
      <c r="B970" s="449"/>
      <c r="C970" s="453"/>
      <c r="D970" s="438"/>
      <c r="E970" s="188"/>
      <c r="F970" s="437"/>
      <c r="G970" s="211"/>
      <c r="H970" s="438"/>
      <c r="I970" s="438"/>
      <c r="J970" s="212"/>
      <c r="K970" s="212"/>
      <c r="L970" s="212"/>
      <c r="M970" s="212"/>
      <c r="N970" s="212"/>
      <c r="O970" s="439"/>
      <c r="P970" s="213"/>
      <c r="Q970" s="132"/>
      <c r="R970" s="222"/>
      <c r="AK970" s="141"/>
    </row>
    <row r="971" spans="1:37" outlineLevel="1">
      <c r="A971" s="36"/>
      <c r="B971" s="434" t="s">
        <v>397</v>
      </c>
      <c r="C971" s="446" t="s">
        <v>714</v>
      </c>
      <c r="D971" s="438"/>
      <c r="E971" s="188">
        <v>11051031001</v>
      </c>
      <c r="F971" s="437" t="s">
        <v>740</v>
      </c>
      <c r="G971" s="211"/>
      <c r="H971" s="438" t="s">
        <v>65</v>
      </c>
      <c r="I971" s="438">
        <v>1</v>
      </c>
      <c r="J971" s="212">
        <v>75.16</v>
      </c>
      <c r="K971" s="212">
        <f t="shared" si="945"/>
        <v>91.7</v>
      </c>
      <c r="L971" s="212">
        <f>K971*G971</f>
        <v>0</v>
      </c>
      <c r="M971" s="212">
        <f t="shared" si="947"/>
        <v>75.16</v>
      </c>
      <c r="N971" s="212">
        <f>M971*G971</f>
        <v>0</v>
      </c>
      <c r="O971" s="439">
        <f t="shared" si="949"/>
        <v>91.7</v>
      </c>
      <c r="P971" s="213">
        <f>O971*G971</f>
        <v>0</v>
      </c>
      <c r="Q971" s="132"/>
      <c r="R971" s="222">
        <f t="shared" si="933"/>
        <v>7336</v>
      </c>
      <c r="AK971" s="141">
        <f>K971*$AK$11*(1-$AK$10)</f>
        <v>7336</v>
      </c>
    </row>
    <row r="972" spans="1:37" outlineLevel="1">
      <c r="A972" s="36"/>
      <c r="B972" s="434" t="s">
        <v>397</v>
      </c>
      <c r="C972" s="446" t="s">
        <v>714</v>
      </c>
      <c r="D972" s="438"/>
      <c r="E972" s="188">
        <v>11051621001</v>
      </c>
      <c r="F972" s="437" t="s">
        <v>741</v>
      </c>
      <c r="G972" s="211"/>
      <c r="H972" s="438" t="s">
        <v>65</v>
      </c>
      <c r="I972" s="438">
        <v>1</v>
      </c>
      <c r="J972" s="212">
        <v>79.67</v>
      </c>
      <c r="K972" s="212">
        <f t="shared" si="945"/>
        <v>97.2</v>
      </c>
      <c r="L972" s="212">
        <f>K972*G972</f>
        <v>0</v>
      </c>
      <c r="M972" s="212">
        <f t="shared" si="947"/>
        <v>79.67</v>
      </c>
      <c r="N972" s="212">
        <f>M972*G972</f>
        <v>0</v>
      </c>
      <c r="O972" s="439">
        <f t="shared" si="949"/>
        <v>97.2</v>
      </c>
      <c r="P972" s="213">
        <f>O972*G972</f>
        <v>0</v>
      </c>
      <c r="Q972" s="132"/>
      <c r="R972" s="222">
        <f t="shared" si="933"/>
        <v>7776</v>
      </c>
      <c r="AK972" s="141">
        <f>K972*$AK$11*(1-$AK$10)</f>
        <v>7776</v>
      </c>
    </row>
    <row r="973" spans="1:37" ht="26.45" outlineLevel="1">
      <c r="A973" s="36"/>
      <c r="B973" s="434" t="s">
        <v>397</v>
      </c>
      <c r="C973" s="446" t="s">
        <v>714</v>
      </c>
      <c r="D973" s="438"/>
      <c r="E973" s="188">
        <v>12174781001</v>
      </c>
      <c r="F973" s="437" t="s">
        <v>742</v>
      </c>
      <c r="G973" s="211"/>
      <c r="H973" s="438" t="s">
        <v>65</v>
      </c>
      <c r="I973" s="438">
        <v>1</v>
      </c>
      <c r="J973" s="212">
        <v>6343.09</v>
      </c>
      <c r="K973" s="212">
        <f t="shared" si="945"/>
        <v>7738.57</v>
      </c>
      <c r="L973" s="212">
        <f>K973*G973</f>
        <v>0</v>
      </c>
      <c r="M973" s="212">
        <f t="shared" si="947"/>
        <v>6343.09</v>
      </c>
      <c r="N973" s="212">
        <f>M973*G973</f>
        <v>0</v>
      </c>
      <c r="O973" s="439">
        <f t="shared" si="949"/>
        <v>7738.57</v>
      </c>
      <c r="P973" s="213">
        <f>O973*G973</f>
        <v>0</v>
      </c>
      <c r="Q973" s="132"/>
      <c r="R973" s="222">
        <f t="shared" si="933"/>
        <v>619086</v>
      </c>
      <c r="AK973" s="141">
        <f>K973*$AK$11*(1-$AK$10)</f>
        <v>619085.6</v>
      </c>
    </row>
    <row r="974" spans="1:37" outlineLevel="1">
      <c r="A974" s="36"/>
      <c r="B974" s="449"/>
      <c r="C974" s="453"/>
      <c r="D974" s="438"/>
      <c r="E974" s="188"/>
      <c r="F974" s="437"/>
      <c r="G974" s="211"/>
      <c r="H974" s="438"/>
      <c r="I974" s="438"/>
      <c r="J974" s="212"/>
      <c r="K974" s="212"/>
      <c r="L974" s="212"/>
      <c r="M974" s="212"/>
      <c r="N974" s="212"/>
      <c r="O974" s="439"/>
      <c r="P974" s="213"/>
      <c r="Q974" s="132"/>
      <c r="R974" s="222"/>
      <c r="AK974" s="141"/>
    </row>
    <row r="975" spans="1:37" outlineLevel="1">
      <c r="A975" s="36"/>
      <c r="B975" s="434" t="s">
        <v>30</v>
      </c>
      <c r="C975" s="446" t="s">
        <v>714</v>
      </c>
      <c r="D975" s="190">
        <v>12024841001</v>
      </c>
      <c r="E975" s="188">
        <v>11096611001</v>
      </c>
      <c r="F975" s="437" t="s">
        <v>743</v>
      </c>
      <c r="G975" s="211"/>
      <c r="H975" s="438" t="s">
        <v>65</v>
      </c>
      <c r="I975" s="438">
        <v>1</v>
      </c>
      <c r="J975" s="454">
        <v>3961.75</v>
      </c>
      <c r="K975" s="454">
        <f>ROUND((J975*$C$3),2)</f>
        <v>4833.34</v>
      </c>
      <c r="L975" s="212">
        <f>K975*G975</f>
        <v>0</v>
      </c>
      <c r="M975" s="212">
        <f t="shared" ref="M975:M979" si="954">J975*(1-$E$5-$E$7)*(1-$E$9)*(1+$E$11)</f>
        <v>3961.75</v>
      </c>
      <c r="N975" s="212">
        <f>M975*G975</f>
        <v>0</v>
      </c>
      <c r="O975" s="439">
        <f t="shared" ref="O975:O979" si="955">ROUND((M975*$C$3),2)</f>
        <v>4833.34</v>
      </c>
      <c r="P975" s="213">
        <f>O975*G975</f>
        <v>0</v>
      </c>
      <c r="Q975" s="132"/>
      <c r="R975" s="222">
        <f t="shared" ref="R975:R1004" si="956">ROUND(AK975,0)</f>
        <v>386667</v>
      </c>
      <c r="AK975" s="141">
        <f>K975*$AK$11*(1-$AK$10)</f>
        <v>386667.2</v>
      </c>
    </row>
    <row r="976" spans="1:37" outlineLevel="1">
      <c r="A976" s="36"/>
      <c r="B976" s="434" t="s">
        <v>30</v>
      </c>
      <c r="C976" s="446" t="s">
        <v>714</v>
      </c>
      <c r="D976" s="190">
        <v>11393611002</v>
      </c>
      <c r="E976" s="188">
        <v>11096461001</v>
      </c>
      <c r="F976" s="437" t="s">
        <v>744</v>
      </c>
      <c r="G976" s="211"/>
      <c r="H976" s="438" t="s">
        <v>65</v>
      </c>
      <c r="I976" s="438">
        <v>1</v>
      </c>
      <c r="J976" s="454">
        <v>335.68521255060733</v>
      </c>
      <c r="K976" s="212">
        <f t="shared" ref="K976:K979" si="957">ROUND((J976*$C$3),2)</f>
        <v>409.54</v>
      </c>
      <c r="L976" s="212">
        <f>K976*G976</f>
        <v>0</v>
      </c>
      <c r="M976" s="212">
        <f t="shared" si="954"/>
        <v>335.68521255060733</v>
      </c>
      <c r="N976" s="212">
        <f>M976*G976</f>
        <v>0</v>
      </c>
      <c r="O976" s="439">
        <f t="shared" si="955"/>
        <v>409.54</v>
      </c>
      <c r="P976" s="213">
        <f>O976*G976</f>
        <v>0</v>
      </c>
      <c r="Q976" s="132"/>
      <c r="R976" s="222">
        <f t="shared" si="956"/>
        <v>32763</v>
      </c>
      <c r="AK976" s="141">
        <f>K976*$AK$11*(1-$AK$10)</f>
        <v>32763.200000000001</v>
      </c>
    </row>
    <row r="977" spans="1:38" outlineLevel="1">
      <c r="A977" s="36"/>
      <c r="B977" s="434" t="s">
        <v>30</v>
      </c>
      <c r="C977" s="446" t="s">
        <v>714</v>
      </c>
      <c r="D977" s="190">
        <v>12590491002</v>
      </c>
      <c r="E977" s="188">
        <v>11096471001</v>
      </c>
      <c r="F977" s="437" t="s">
        <v>745</v>
      </c>
      <c r="G977" s="211"/>
      <c r="H977" s="438" t="s">
        <v>65</v>
      </c>
      <c r="I977" s="438">
        <v>1</v>
      </c>
      <c r="J977" s="454">
        <v>334.97364625506071</v>
      </c>
      <c r="K977" s="212">
        <f t="shared" si="957"/>
        <v>408.67</v>
      </c>
      <c r="L977" s="212">
        <f>K977*G977</f>
        <v>0</v>
      </c>
      <c r="M977" s="212">
        <f t="shared" si="954"/>
        <v>334.97364625506071</v>
      </c>
      <c r="N977" s="212">
        <f>M977*G977</f>
        <v>0</v>
      </c>
      <c r="O977" s="439">
        <f t="shared" si="955"/>
        <v>408.67</v>
      </c>
      <c r="P977" s="213">
        <f>O977*G977</f>
        <v>0</v>
      </c>
      <c r="Q977" s="132"/>
      <c r="R977" s="222">
        <f t="shared" si="956"/>
        <v>32694</v>
      </c>
      <c r="AK977" s="141">
        <f>K977*$AK$11*(1-$AK$10)</f>
        <v>32693.600000000002</v>
      </c>
    </row>
    <row r="978" spans="1:38" outlineLevel="1">
      <c r="A978" s="36"/>
      <c r="B978" s="434" t="s">
        <v>30</v>
      </c>
      <c r="C978" s="446" t="s">
        <v>714</v>
      </c>
      <c r="D978" s="190">
        <v>12572591002</v>
      </c>
      <c r="E978" s="188">
        <v>11096551001</v>
      </c>
      <c r="F978" s="437" t="s">
        <v>746</v>
      </c>
      <c r="G978" s="211"/>
      <c r="H978" s="438" t="s">
        <v>65</v>
      </c>
      <c r="I978" s="438">
        <v>1</v>
      </c>
      <c r="J978" s="454">
        <v>371.52576163967615</v>
      </c>
      <c r="K978" s="212">
        <f t="shared" si="957"/>
        <v>453.26</v>
      </c>
      <c r="L978" s="212">
        <f>K978*G978</f>
        <v>0</v>
      </c>
      <c r="M978" s="212">
        <f t="shared" si="954"/>
        <v>371.52576163967615</v>
      </c>
      <c r="N978" s="212">
        <f>M978*G978</f>
        <v>0</v>
      </c>
      <c r="O978" s="439">
        <f t="shared" si="955"/>
        <v>453.26</v>
      </c>
      <c r="P978" s="213">
        <f>O978*G978</f>
        <v>0</v>
      </c>
      <c r="Q978" s="132"/>
      <c r="R978" s="222">
        <f t="shared" si="956"/>
        <v>36261</v>
      </c>
      <c r="AK978" s="141">
        <f>K978*$AK$11*(1-$AK$10)</f>
        <v>36260.800000000003</v>
      </c>
    </row>
    <row r="979" spans="1:38" outlineLevel="1">
      <c r="A979" s="36"/>
      <c r="B979" s="434" t="s">
        <v>30</v>
      </c>
      <c r="C979" s="446" t="s">
        <v>714</v>
      </c>
      <c r="D979" s="190">
        <v>12018011001</v>
      </c>
      <c r="E979" s="188">
        <v>11096561001</v>
      </c>
      <c r="F979" s="437" t="s">
        <v>747</v>
      </c>
      <c r="G979" s="211"/>
      <c r="H979" s="438" t="s">
        <v>65</v>
      </c>
      <c r="I979" s="438">
        <v>1</v>
      </c>
      <c r="J979" s="454">
        <v>403.94350202429155</v>
      </c>
      <c r="K979" s="212">
        <f t="shared" si="957"/>
        <v>492.81</v>
      </c>
      <c r="L979" s="212">
        <f>K979*G979</f>
        <v>0</v>
      </c>
      <c r="M979" s="212">
        <f t="shared" si="954"/>
        <v>403.94350202429155</v>
      </c>
      <c r="N979" s="212">
        <f>M979*G979</f>
        <v>0</v>
      </c>
      <c r="O979" s="439">
        <f t="shared" si="955"/>
        <v>492.81</v>
      </c>
      <c r="P979" s="213">
        <f>O979*G979</f>
        <v>0</v>
      </c>
      <c r="Q979" s="132"/>
      <c r="R979" s="222">
        <f t="shared" si="956"/>
        <v>39425</v>
      </c>
      <c r="AK979" s="141">
        <f>K979*$AK$11*(1-$AK$10)</f>
        <v>39424.800000000003</v>
      </c>
      <c r="AL979" s="73"/>
    </row>
    <row r="980" spans="1:38" outlineLevel="1">
      <c r="A980" s="36"/>
      <c r="B980" s="434"/>
      <c r="C980" s="446"/>
      <c r="D980" s="190"/>
      <c r="E980" s="188"/>
      <c r="F980" s="437"/>
      <c r="G980" s="211"/>
      <c r="H980" s="438"/>
      <c r="I980" s="438"/>
      <c r="J980" s="454"/>
      <c r="K980" s="212"/>
      <c r="L980" s="212"/>
      <c r="M980" s="212"/>
      <c r="N980" s="212"/>
      <c r="O980" s="439"/>
      <c r="P980" s="213"/>
      <c r="Q980" s="132"/>
      <c r="R980" s="222"/>
      <c r="AK980" s="141"/>
      <c r="AL980" s="73"/>
    </row>
    <row r="981" spans="1:38" s="73" customFormat="1" outlineLevel="1">
      <c r="A981" s="152"/>
      <c r="B981" s="434" t="s">
        <v>397</v>
      </c>
      <c r="C981" s="446" t="s">
        <v>714</v>
      </c>
      <c r="D981" s="438"/>
      <c r="E981" s="188">
        <v>12051331001</v>
      </c>
      <c r="F981" s="437" t="s">
        <v>748</v>
      </c>
      <c r="G981" s="211"/>
      <c r="H981" s="438" t="s">
        <v>65</v>
      </c>
      <c r="I981" s="438">
        <v>1</v>
      </c>
      <c r="J981" s="212">
        <v>215.8</v>
      </c>
      <c r="K981" s="212">
        <f t="shared" si="945"/>
        <v>263.27999999999997</v>
      </c>
      <c r="L981" s="212">
        <f>K981*G981</f>
        <v>0</v>
      </c>
      <c r="M981" s="212">
        <f t="shared" si="947"/>
        <v>215.8</v>
      </c>
      <c r="N981" s="212">
        <f>M981*G981</f>
        <v>0</v>
      </c>
      <c r="O981" s="439">
        <f t="shared" si="949"/>
        <v>263.27999999999997</v>
      </c>
      <c r="P981" s="213">
        <f>O981*G981</f>
        <v>0</v>
      </c>
      <c r="Q981" s="132"/>
      <c r="R981" s="222">
        <f t="shared" si="956"/>
        <v>21062</v>
      </c>
      <c r="AK981" s="141">
        <f>K981*$AK$11*(1-$AK$10)</f>
        <v>21062.399999999998</v>
      </c>
      <c r="AL981"/>
    </row>
    <row r="982" spans="1:38" outlineLevel="1">
      <c r="A982" s="36"/>
      <c r="B982" s="434"/>
      <c r="C982" s="453"/>
      <c r="D982" s="438"/>
      <c r="E982" s="188"/>
      <c r="F982" s="437"/>
      <c r="G982" s="211"/>
      <c r="H982" s="438"/>
      <c r="I982" s="438"/>
      <c r="J982" s="212"/>
      <c r="K982" s="212"/>
      <c r="L982" s="212"/>
      <c r="M982" s="212"/>
      <c r="N982" s="212"/>
      <c r="O982" s="439"/>
      <c r="P982" s="213"/>
      <c r="Q982" s="132"/>
      <c r="R982" s="222"/>
      <c r="AK982" s="141"/>
    </row>
    <row r="983" spans="1:38" outlineLevel="1">
      <c r="A983" s="36"/>
      <c r="B983" s="434" t="s">
        <v>397</v>
      </c>
      <c r="C983" s="446" t="s">
        <v>714</v>
      </c>
      <c r="D983" s="438"/>
      <c r="E983" s="188">
        <v>11383231001</v>
      </c>
      <c r="F983" s="437" t="s">
        <v>749</v>
      </c>
      <c r="G983" s="211"/>
      <c r="H983" s="438" t="s">
        <v>65</v>
      </c>
      <c r="I983" s="438">
        <v>1</v>
      </c>
      <c r="J983" s="212">
        <v>340.15</v>
      </c>
      <c r="K983" s="212">
        <f t="shared" si="945"/>
        <v>414.98</v>
      </c>
      <c r="L983" s="212">
        <f t="shared" ref="L983:L985" si="958">K983*G983</f>
        <v>0</v>
      </c>
      <c r="M983" s="212">
        <f t="shared" si="947"/>
        <v>340.15</v>
      </c>
      <c r="N983" s="212">
        <f t="shared" ref="N983:N985" si="959">M983*G983</f>
        <v>0</v>
      </c>
      <c r="O983" s="439">
        <f t="shared" si="949"/>
        <v>414.98</v>
      </c>
      <c r="P983" s="213">
        <f t="shared" ref="P983:P985" si="960">O983*G983</f>
        <v>0</v>
      </c>
      <c r="Q983" s="132"/>
      <c r="R983" s="222">
        <f t="shared" si="956"/>
        <v>33198</v>
      </c>
      <c r="AK983" s="141">
        <f>K983*$AK$11*(1-$AK$10)</f>
        <v>33198.400000000001</v>
      </c>
    </row>
    <row r="984" spans="1:38" outlineLevel="1">
      <c r="A984" s="36"/>
      <c r="B984" s="434" t="s">
        <v>397</v>
      </c>
      <c r="C984" s="446" t="s">
        <v>714</v>
      </c>
      <c r="D984" s="438"/>
      <c r="E984" s="188">
        <v>12446111001</v>
      </c>
      <c r="F984" s="437" t="s">
        <v>750</v>
      </c>
      <c r="G984" s="211"/>
      <c r="H984" s="438" t="s">
        <v>65</v>
      </c>
      <c r="I984" s="438">
        <v>1</v>
      </c>
      <c r="J984" s="212">
        <v>681.50792004048583</v>
      </c>
      <c r="K984" s="212">
        <f t="shared" si="945"/>
        <v>831.44</v>
      </c>
      <c r="L984" s="212">
        <f t="shared" si="958"/>
        <v>0</v>
      </c>
      <c r="M984" s="212">
        <f t="shared" si="947"/>
        <v>681.50792004048583</v>
      </c>
      <c r="N984" s="212">
        <f t="shared" si="959"/>
        <v>0</v>
      </c>
      <c r="O984" s="439">
        <f t="shared" si="949"/>
        <v>831.44</v>
      </c>
      <c r="P984" s="213">
        <f t="shared" si="960"/>
        <v>0</v>
      </c>
      <c r="Q984" s="132"/>
      <c r="R984" s="222">
        <f t="shared" si="956"/>
        <v>66515</v>
      </c>
      <c r="AK984" s="141">
        <f>K984*$AK$11*(1-$AK$10)</f>
        <v>66515.199999999997</v>
      </c>
    </row>
    <row r="985" spans="1:38" outlineLevel="1">
      <c r="A985" s="36"/>
      <c r="B985" s="434" t="s">
        <v>397</v>
      </c>
      <c r="C985" s="446" t="s">
        <v>714</v>
      </c>
      <c r="D985" s="438"/>
      <c r="E985" s="188">
        <v>12476441001</v>
      </c>
      <c r="F985" s="437" t="s">
        <v>751</v>
      </c>
      <c r="G985" s="211"/>
      <c r="H985" s="438" t="s">
        <v>65</v>
      </c>
      <c r="I985" s="438">
        <v>1</v>
      </c>
      <c r="J985" s="212">
        <v>651.7300050607289</v>
      </c>
      <c r="K985" s="212">
        <f t="shared" si="945"/>
        <v>795.11</v>
      </c>
      <c r="L985" s="212">
        <f t="shared" si="958"/>
        <v>0</v>
      </c>
      <c r="M985" s="212">
        <f t="shared" si="947"/>
        <v>651.7300050607289</v>
      </c>
      <c r="N985" s="212">
        <f t="shared" si="959"/>
        <v>0</v>
      </c>
      <c r="O985" s="439">
        <f t="shared" si="949"/>
        <v>795.11</v>
      </c>
      <c r="P985" s="213">
        <f t="shared" si="960"/>
        <v>0</v>
      </c>
      <c r="Q985" s="132"/>
      <c r="R985" s="222">
        <f t="shared" si="956"/>
        <v>63609</v>
      </c>
      <c r="AK985" s="141">
        <f>K985*$AK$11*(1-$AK$10)</f>
        <v>63608.800000000003</v>
      </c>
    </row>
    <row r="986" spans="1:38" outlineLevel="1">
      <c r="A986" s="36"/>
      <c r="B986" s="434"/>
      <c r="C986" s="453"/>
      <c r="D986" s="438"/>
      <c r="E986" s="188"/>
      <c r="F986" s="437"/>
      <c r="G986" s="211"/>
      <c r="H986" s="438"/>
      <c r="I986" s="438"/>
      <c r="J986" s="212"/>
      <c r="K986" s="212"/>
      <c r="L986" s="212"/>
      <c r="M986" s="212"/>
      <c r="N986" s="212"/>
      <c r="O986" s="439"/>
      <c r="P986" s="213"/>
      <c r="Q986" s="132"/>
      <c r="R986" s="222"/>
      <c r="AK986" s="141"/>
    </row>
    <row r="987" spans="1:38" outlineLevel="1">
      <c r="A987" s="36"/>
      <c r="B987" s="434" t="s">
        <v>397</v>
      </c>
      <c r="C987" s="446" t="s">
        <v>714</v>
      </c>
      <c r="D987" s="438"/>
      <c r="E987" s="188">
        <v>13149851001</v>
      </c>
      <c r="F987" s="437" t="s">
        <v>752</v>
      </c>
      <c r="G987" s="211"/>
      <c r="H987" s="438" t="s">
        <v>65</v>
      </c>
      <c r="I987" s="438">
        <v>1</v>
      </c>
      <c r="J987" s="212">
        <v>8411.08</v>
      </c>
      <c r="K987" s="212">
        <f t="shared" ref="K987:K1006" si="961">ROUND((J987*$C$3),2)</f>
        <v>10261.52</v>
      </c>
      <c r="L987" s="212">
        <f>K987*G987</f>
        <v>0</v>
      </c>
      <c r="M987" s="212">
        <f t="shared" ref="M987:M1006" si="962">J987*(1-$E$5-$E$7)*(1-$E$9)*(1+$E$11)</f>
        <v>8411.08</v>
      </c>
      <c r="N987" s="212">
        <f>M987*G987</f>
        <v>0</v>
      </c>
      <c r="O987" s="439">
        <f t="shared" ref="O987:O1006" si="963">ROUND((M987*$C$3),2)</f>
        <v>10261.52</v>
      </c>
      <c r="P987" s="213">
        <f>O987*G987</f>
        <v>0</v>
      </c>
      <c r="Q987" s="132"/>
      <c r="R987" s="222">
        <f t="shared" si="956"/>
        <v>820922</v>
      </c>
      <c r="AK987" s="141">
        <f>K987*$AK$11*(1-$AK$10)</f>
        <v>820921.60000000009</v>
      </c>
    </row>
    <row r="988" spans="1:38" outlineLevel="1">
      <c r="A988" s="36"/>
      <c r="B988" s="434"/>
      <c r="C988" s="453"/>
      <c r="D988" s="438"/>
      <c r="E988" s="188"/>
      <c r="F988" s="437"/>
      <c r="G988" s="211"/>
      <c r="H988" s="438"/>
      <c r="I988" s="438"/>
      <c r="J988" s="212"/>
      <c r="K988" s="212"/>
      <c r="L988" s="212"/>
      <c r="M988" s="212"/>
      <c r="N988" s="212"/>
      <c r="O988" s="439"/>
      <c r="P988" s="213"/>
      <c r="Q988" s="132"/>
      <c r="R988" s="222"/>
      <c r="AK988" s="141"/>
    </row>
    <row r="989" spans="1:38" outlineLevel="1">
      <c r="A989" s="36"/>
      <c r="B989" s="434" t="s">
        <v>397</v>
      </c>
      <c r="C989" s="446" t="s">
        <v>714</v>
      </c>
      <c r="D989" s="438"/>
      <c r="E989" s="188">
        <v>12018021001</v>
      </c>
      <c r="F989" s="437" t="s">
        <v>753</v>
      </c>
      <c r="G989" s="211"/>
      <c r="H989" s="438" t="s">
        <v>65</v>
      </c>
      <c r="I989" s="438">
        <v>1</v>
      </c>
      <c r="J989" s="212">
        <v>370.62</v>
      </c>
      <c r="K989" s="212">
        <f t="shared" si="961"/>
        <v>452.16</v>
      </c>
      <c r="L989" s="212">
        <f t="shared" ref="L989:L994" si="964">K989*G989</f>
        <v>0</v>
      </c>
      <c r="M989" s="212">
        <f t="shared" si="962"/>
        <v>370.62</v>
      </c>
      <c r="N989" s="212">
        <f t="shared" ref="N989:N994" si="965">M989*G989</f>
        <v>0</v>
      </c>
      <c r="O989" s="439">
        <f t="shared" si="963"/>
        <v>452.16</v>
      </c>
      <c r="P989" s="213">
        <f t="shared" ref="P989:P994" si="966">O989*G989</f>
        <v>0</v>
      </c>
      <c r="Q989" s="132"/>
      <c r="R989" s="222">
        <f t="shared" si="956"/>
        <v>36173</v>
      </c>
      <c r="AK989" s="141">
        <f t="shared" ref="AK989:AK994" si="967">K989*$AK$11*(1-$AK$10)</f>
        <v>36172.800000000003</v>
      </c>
    </row>
    <row r="990" spans="1:38" outlineLevel="1">
      <c r="A990" s="36"/>
      <c r="B990" s="434" t="s">
        <v>397</v>
      </c>
      <c r="C990" s="446" t="s">
        <v>714</v>
      </c>
      <c r="D990" s="438"/>
      <c r="E990" s="188">
        <v>11376241001</v>
      </c>
      <c r="F990" s="437" t="s">
        <v>754</v>
      </c>
      <c r="G990" s="211"/>
      <c r="H990" s="438" t="s">
        <v>65</v>
      </c>
      <c r="I990" s="438">
        <v>1</v>
      </c>
      <c r="J990" s="212">
        <v>340.15</v>
      </c>
      <c r="K990" s="212">
        <f t="shared" si="961"/>
        <v>414.98</v>
      </c>
      <c r="L990" s="212">
        <f t="shared" si="964"/>
        <v>0</v>
      </c>
      <c r="M990" s="212">
        <f t="shared" si="962"/>
        <v>340.15</v>
      </c>
      <c r="N990" s="212">
        <f t="shared" si="965"/>
        <v>0</v>
      </c>
      <c r="O990" s="439">
        <f t="shared" si="963"/>
        <v>414.98</v>
      </c>
      <c r="P990" s="213">
        <f t="shared" si="966"/>
        <v>0</v>
      </c>
      <c r="Q990" s="132"/>
      <c r="R990" s="222">
        <f t="shared" si="956"/>
        <v>33198</v>
      </c>
      <c r="AK990" s="141">
        <f t="shared" si="967"/>
        <v>33198.400000000001</v>
      </c>
    </row>
    <row r="991" spans="1:38" outlineLevel="1">
      <c r="A991" s="36"/>
      <c r="B991" s="434" t="s">
        <v>397</v>
      </c>
      <c r="C991" s="446" t="s">
        <v>714</v>
      </c>
      <c r="D991" s="438"/>
      <c r="E991" s="188">
        <v>11376341001</v>
      </c>
      <c r="F991" s="437" t="s">
        <v>755</v>
      </c>
      <c r="G991" s="211"/>
      <c r="H991" s="438" t="s">
        <v>65</v>
      </c>
      <c r="I991" s="438">
        <v>1</v>
      </c>
      <c r="J991" s="212">
        <v>358.63</v>
      </c>
      <c r="K991" s="212">
        <f t="shared" si="961"/>
        <v>437.53</v>
      </c>
      <c r="L991" s="212">
        <f t="shared" si="964"/>
        <v>0</v>
      </c>
      <c r="M991" s="212">
        <f t="shared" si="962"/>
        <v>358.63</v>
      </c>
      <c r="N991" s="212">
        <f t="shared" si="965"/>
        <v>0</v>
      </c>
      <c r="O991" s="439">
        <f t="shared" si="963"/>
        <v>437.53</v>
      </c>
      <c r="P991" s="213">
        <f t="shared" si="966"/>
        <v>0</v>
      </c>
      <c r="Q991" s="132"/>
      <c r="R991" s="222">
        <f t="shared" si="956"/>
        <v>35002</v>
      </c>
      <c r="AK991" s="141">
        <f t="shared" si="967"/>
        <v>35002.400000000001</v>
      </c>
    </row>
    <row r="992" spans="1:38" outlineLevel="1">
      <c r="A992" s="36"/>
      <c r="B992" s="434" t="s">
        <v>397</v>
      </c>
      <c r="C992" s="446" t="s">
        <v>714</v>
      </c>
      <c r="D992" s="438"/>
      <c r="E992" s="188">
        <v>11376441001</v>
      </c>
      <c r="F992" s="437" t="s">
        <v>756</v>
      </c>
      <c r="G992" s="211"/>
      <c r="H992" s="438" t="s">
        <v>65</v>
      </c>
      <c r="I992" s="438">
        <v>1</v>
      </c>
      <c r="J992" s="212">
        <v>753.87</v>
      </c>
      <c r="K992" s="212">
        <f t="shared" si="961"/>
        <v>919.72</v>
      </c>
      <c r="L992" s="212">
        <f t="shared" si="964"/>
        <v>0</v>
      </c>
      <c r="M992" s="212">
        <f t="shared" si="962"/>
        <v>753.87</v>
      </c>
      <c r="N992" s="212">
        <f t="shared" si="965"/>
        <v>0</v>
      </c>
      <c r="O992" s="439">
        <f t="shared" si="963"/>
        <v>919.72</v>
      </c>
      <c r="P992" s="213">
        <f t="shared" si="966"/>
        <v>0</v>
      </c>
      <c r="Q992" s="132"/>
      <c r="R992" s="222">
        <f t="shared" si="956"/>
        <v>73578</v>
      </c>
      <c r="AK992" s="141">
        <f t="shared" si="967"/>
        <v>73577.600000000006</v>
      </c>
    </row>
    <row r="993" spans="1:38" outlineLevel="1">
      <c r="A993" s="36"/>
      <c r="B993" s="434" t="s">
        <v>397</v>
      </c>
      <c r="C993" s="446" t="s">
        <v>714</v>
      </c>
      <c r="D993" s="438"/>
      <c r="E993" s="188">
        <v>11376541001</v>
      </c>
      <c r="F993" s="437" t="s">
        <v>757</v>
      </c>
      <c r="G993" s="211"/>
      <c r="H993" s="438" t="s">
        <v>65</v>
      </c>
      <c r="I993" s="438">
        <v>1</v>
      </c>
      <c r="J993" s="212">
        <v>827.33</v>
      </c>
      <c r="K993" s="212">
        <f t="shared" si="961"/>
        <v>1009.34</v>
      </c>
      <c r="L993" s="212">
        <f t="shared" si="964"/>
        <v>0</v>
      </c>
      <c r="M993" s="212">
        <f t="shared" si="962"/>
        <v>827.33</v>
      </c>
      <c r="N993" s="212">
        <f t="shared" si="965"/>
        <v>0</v>
      </c>
      <c r="O993" s="439">
        <f t="shared" si="963"/>
        <v>1009.34</v>
      </c>
      <c r="P993" s="213">
        <f t="shared" si="966"/>
        <v>0</v>
      </c>
      <c r="Q993" s="132"/>
      <c r="R993" s="222">
        <f t="shared" si="956"/>
        <v>80747</v>
      </c>
      <c r="AK993" s="141">
        <f t="shared" si="967"/>
        <v>80747.200000000012</v>
      </c>
    </row>
    <row r="994" spans="1:38" outlineLevel="1">
      <c r="A994" s="36"/>
      <c r="B994" s="434" t="s">
        <v>397</v>
      </c>
      <c r="C994" s="446" t="s">
        <v>714</v>
      </c>
      <c r="D994" s="438"/>
      <c r="E994" s="188">
        <v>11376641001</v>
      </c>
      <c r="F994" s="437" t="s">
        <v>758</v>
      </c>
      <c r="G994" s="211"/>
      <c r="H994" s="438" t="s">
        <v>65</v>
      </c>
      <c r="I994" s="438">
        <v>1</v>
      </c>
      <c r="J994" s="212">
        <v>873.37</v>
      </c>
      <c r="K994" s="212">
        <f t="shared" si="961"/>
        <v>1065.51</v>
      </c>
      <c r="L994" s="212">
        <f t="shared" si="964"/>
        <v>0</v>
      </c>
      <c r="M994" s="212">
        <f t="shared" si="962"/>
        <v>873.37</v>
      </c>
      <c r="N994" s="212">
        <f t="shared" si="965"/>
        <v>0</v>
      </c>
      <c r="O994" s="439">
        <f t="shared" si="963"/>
        <v>1065.51</v>
      </c>
      <c r="P994" s="213">
        <f t="shared" si="966"/>
        <v>0</v>
      </c>
      <c r="Q994" s="132"/>
      <c r="R994" s="222">
        <f t="shared" si="956"/>
        <v>85241</v>
      </c>
      <c r="AK994" s="141">
        <f t="shared" si="967"/>
        <v>85240.8</v>
      </c>
    </row>
    <row r="995" spans="1:38" outlineLevel="1">
      <c r="A995" s="36"/>
      <c r="B995" s="434"/>
      <c r="C995" s="453"/>
      <c r="D995" s="438"/>
      <c r="E995" s="188"/>
      <c r="F995" s="437"/>
      <c r="G995" s="211"/>
      <c r="H995" s="438"/>
      <c r="I995" s="438"/>
      <c r="J995" s="212"/>
      <c r="K995" s="212"/>
      <c r="L995" s="212"/>
      <c r="M995" s="212"/>
      <c r="N995" s="212"/>
      <c r="O995" s="439"/>
      <c r="P995" s="213"/>
      <c r="Q995" s="132"/>
      <c r="R995" s="222"/>
      <c r="AK995" s="141"/>
    </row>
    <row r="996" spans="1:38" outlineLevel="1">
      <c r="A996" s="36"/>
      <c r="B996" s="434" t="s">
        <v>397</v>
      </c>
      <c r="C996" s="446" t="s">
        <v>714</v>
      </c>
      <c r="D996" s="438"/>
      <c r="E996" s="188">
        <v>11398811001</v>
      </c>
      <c r="F996" s="437" t="s">
        <v>759</v>
      </c>
      <c r="G996" s="211"/>
      <c r="H996" s="438" t="s">
        <v>65</v>
      </c>
      <c r="I996" s="438">
        <v>1</v>
      </c>
      <c r="J996" s="212">
        <v>257.31</v>
      </c>
      <c r="K996" s="212">
        <f t="shared" si="961"/>
        <v>313.92</v>
      </c>
      <c r="L996" s="212">
        <f t="shared" ref="L996:L1004" si="968">K996*G996</f>
        <v>0</v>
      </c>
      <c r="M996" s="212">
        <f t="shared" si="962"/>
        <v>257.31</v>
      </c>
      <c r="N996" s="212">
        <f t="shared" ref="N996:N1004" si="969">M996*G996</f>
        <v>0</v>
      </c>
      <c r="O996" s="439">
        <f t="shared" si="963"/>
        <v>313.92</v>
      </c>
      <c r="P996" s="213">
        <f t="shared" ref="P996:P1004" si="970">O996*G996</f>
        <v>0</v>
      </c>
      <c r="Q996" s="132"/>
      <c r="R996" s="222">
        <f t="shared" si="956"/>
        <v>25114</v>
      </c>
      <c r="AK996" s="141">
        <f t="shared" ref="AK996:AK1004" si="971">K996*$AK$11*(1-$AK$10)</f>
        <v>25113.600000000002</v>
      </c>
    </row>
    <row r="997" spans="1:38" outlineLevel="1">
      <c r="A997" s="36"/>
      <c r="B997" s="434" t="s">
        <v>397</v>
      </c>
      <c r="C997" s="446" t="s">
        <v>714</v>
      </c>
      <c r="D997" s="438"/>
      <c r="E997" s="188">
        <v>11398911001</v>
      </c>
      <c r="F997" s="437" t="s">
        <v>760</v>
      </c>
      <c r="G997" s="211"/>
      <c r="H997" s="438" t="s">
        <v>65</v>
      </c>
      <c r="I997" s="438">
        <v>1</v>
      </c>
      <c r="J997" s="212">
        <v>266.70999999999998</v>
      </c>
      <c r="K997" s="212">
        <f t="shared" si="961"/>
        <v>325.39</v>
      </c>
      <c r="L997" s="212">
        <f t="shared" si="968"/>
        <v>0</v>
      </c>
      <c r="M997" s="212">
        <f t="shared" si="962"/>
        <v>266.70999999999998</v>
      </c>
      <c r="N997" s="212">
        <f t="shared" si="969"/>
        <v>0</v>
      </c>
      <c r="O997" s="439">
        <f t="shared" si="963"/>
        <v>325.39</v>
      </c>
      <c r="P997" s="213">
        <f t="shared" si="970"/>
        <v>0</v>
      </c>
      <c r="Q997" s="132"/>
      <c r="R997" s="222">
        <f t="shared" si="956"/>
        <v>26031</v>
      </c>
      <c r="AK997" s="141">
        <f t="shared" si="971"/>
        <v>26031.200000000001</v>
      </c>
    </row>
    <row r="998" spans="1:38" outlineLevel="1">
      <c r="A998" s="36"/>
      <c r="B998" s="434" t="s">
        <v>397</v>
      </c>
      <c r="C998" s="446" t="s">
        <v>714</v>
      </c>
      <c r="D998" s="438"/>
      <c r="E998" s="188">
        <v>11399011001</v>
      </c>
      <c r="F998" s="437" t="s">
        <v>761</v>
      </c>
      <c r="G998" s="211"/>
      <c r="H998" s="438" t="s">
        <v>65</v>
      </c>
      <c r="I998" s="438">
        <v>1</v>
      </c>
      <c r="J998" s="212">
        <v>285.02999999999997</v>
      </c>
      <c r="K998" s="212">
        <f t="shared" si="961"/>
        <v>347.74</v>
      </c>
      <c r="L998" s="212">
        <f t="shared" si="968"/>
        <v>0</v>
      </c>
      <c r="M998" s="212">
        <f t="shared" si="962"/>
        <v>285.02999999999997</v>
      </c>
      <c r="N998" s="212">
        <f t="shared" si="969"/>
        <v>0</v>
      </c>
      <c r="O998" s="439">
        <f t="shared" si="963"/>
        <v>347.74</v>
      </c>
      <c r="P998" s="213">
        <f t="shared" si="970"/>
        <v>0</v>
      </c>
      <c r="Q998" s="132"/>
      <c r="R998" s="222">
        <f t="shared" si="956"/>
        <v>27819</v>
      </c>
      <c r="AK998" s="141">
        <f t="shared" si="971"/>
        <v>27819.200000000001</v>
      </c>
    </row>
    <row r="999" spans="1:38" outlineLevel="1">
      <c r="A999" s="36"/>
      <c r="B999" s="434" t="s">
        <v>397</v>
      </c>
      <c r="C999" s="446" t="s">
        <v>714</v>
      </c>
      <c r="D999" s="438"/>
      <c r="E999" s="188">
        <v>11384631001</v>
      </c>
      <c r="F999" s="437" t="s">
        <v>762</v>
      </c>
      <c r="G999" s="211"/>
      <c r="H999" s="438" t="s">
        <v>65</v>
      </c>
      <c r="I999" s="438">
        <v>1</v>
      </c>
      <c r="J999" s="212">
        <v>257.31</v>
      </c>
      <c r="K999" s="212">
        <f t="shared" si="961"/>
        <v>313.92</v>
      </c>
      <c r="L999" s="212">
        <f t="shared" si="968"/>
        <v>0</v>
      </c>
      <c r="M999" s="212">
        <f t="shared" si="962"/>
        <v>257.31</v>
      </c>
      <c r="N999" s="212">
        <f t="shared" si="969"/>
        <v>0</v>
      </c>
      <c r="O999" s="439">
        <f t="shared" si="963"/>
        <v>313.92</v>
      </c>
      <c r="P999" s="213">
        <f t="shared" si="970"/>
        <v>0</v>
      </c>
      <c r="Q999" s="132"/>
      <c r="R999" s="222">
        <f t="shared" si="956"/>
        <v>25114</v>
      </c>
      <c r="AK999" s="141">
        <f t="shared" si="971"/>
        <v>25113.600000000002</v>
      </c>
    </row>
    <row r="1000" spans="1:38" outlineLevel="1">
      <c r="A1000" s="36"/>
      <c r="B1000" s="434" t="s">
        <v>397</v>
      </c>
      <c r="C1000" s="446" t="s">
        <v>714</v>
      </c>
      <c r="D1000" s="438"/>
      <c r="E1000" s="188">
        <v>11374241001</v>
      </c>
      <c r="F1000" s="437" t="s">
        <v>763</v>
      </c>
      <c r="G1000" s="211"/>
      <c r="H1000" s="438" t="s">
        <v>65</v>
      </c>
      <c r="I1000" s="438">
        <v>1</v>
      </c>
      <c r="J1000" s="212">
        <v>266.70999999999998</v>
      </c>
      <c r="K1000" s="212">
        <f t="shared" si="961"/>
        <v>325.39</v>
      </c>
      <c r="L1000" s="212">
        <f t="shared" si="968"/>
        <v>0</v>
      </c>
      <c r="M1000" s="212">
        <f t="shared" si="962"/>
        <v>266.70999999999998</v>
      </c>
      <c r="N1000" s="212">
        <f t="shared" si="969"/>
        <v>0</v>
      </c>
      <c r="O1000" s="439">
        <f t="shared" si="963"/>
        <v>325.39</v>
      </c>
      <c r="P1000" s="213">
        <f t="shared" si="970"/>
        <v>0</v>
      </c>
      <c r="Q1000" s="132"/>
      <c r="R1000" s="222">
        <f t="shared" si="956"/>
        <v>26031</v>
      </c>
      <c r="AK1000" s="141">
        <f t="shared" si="971"/>
        <v>26031.200000000001</v>
      </c>
    </row>
    <row r="1001" spans="1:38" outlineLevel="1">
      <c r="A1001" s="36"/>
      <c r="B1001" s="434" t="s">
        <v>397</v>
      </c>
      <c r="C1001" s="446" t="s">
        <v>714</v>
      </c>
      <c r="D1001" s="438"/>
      <c r="E1001" s="188">
        <v>11374341001</v>
      </c>
      <c r="F1001" s="437" t="s">
        <v>764</v>
      </c>
      <c r="G1001" s="211"/>
      <c r="H1001" s="438" t="s">
        <v>65</v>
      </c>
      <c r="I1001" s="438">
        <v>1</v>
      </c>
      <c r="J1001" s="212">
        <v>285.02999999999997</v>
      </c>
      <c r="K1001" s="212">
        <f t="shared" si="961"/>
        <v>347.74</v>
      </c>
      <c r="L1001" s="212">
        <f t="shared" si="968"/>
        <v>0</v>
      </c>
      <c r="M1001" s="212">
        <f t="shared" si="962"/>
        <v>285.02999999999997</v>
      </c>
      <c r="N1001" s="212">
        <f t="shared" si="969"/>
        <v>0</v>
      </c>
      <c r="O1001" s="439">
        <f t="shared" si="963"/>
        <v>347.74</v>
      </c>
      <c r="P1001" s="213">
        <f t="shared" si="970"/>
        <v>0</v>
      </c>
      <c r="Q1001" s="132"/>
      <c r="R1001" s="222">
        <f t="shared" si="956"/>
        <v>27819</v>
      </c>
      <c r="AK1001" s="141">
        <f t="shared" si="971"/>
        <v>27819.200000000001</v>
      </c>
    </row>
    <row r="1002" spans="1:38" outlineLevel="1">
      <c r="A1002" s="36"/>
      <c r="B1002" s="434" t="s">
        <v>397</v>
      </c>
      <c r="C1002" s="446" t="s">
        <v>714</v>
      </c>
      <c r="D1002" s="438"/>
      <c r="E1002" s="188">
        <v>11375841001</v>
      </c>
      <c r="F1002" s="437" t="s">
        <v>765</v>
      </c>
      <c r="G1002" s="211"/>
      <c r="H1002" s="438" t="s">
        <v>65</v>
      </c>
      <c r="I1002" s="438">
        <v>1</v>
      </c>
      <c r="J1002" s="212">
        <v>349.38</v>
      </c>
      <c r="K1002" s="212">
        <f t="shared" si="961"/>
        <v>426.24</v>
      </c>
      <c r="L1002" s="212">
        <f t="shared" si="968"/>
        <v>0</v>
      </c>
      <c r="M1002" s="212">
        <f t="shared" si="962"/>
        <v>349.38</v>
      </c>
      <c r="N1002" s="212">
        <f t="shared" si="969"/>
        <v>0</v>
      </c>
      <c r="O1002" s="439">
        <f t="shared" si="963"/>
        <v>426.24</v>
      </c>
      <c r="P1002" s="213">
        <f t="shared" si="970"/>
        <v>0</v>
      </c>
      <c r="Q1002" s="132"/>
      <c r="R1002" s="222">
        <f t="shared" si="956"/>
        <v>34099</v>
      </c>
      <c r="AK1002" s="141">
        <f t="shared" si="971"/>
        <v>34099.200000000004</v>
      </c>
    </row>
    <row r="1003" spans="1:38" outlineLevel="1">
      <c r="A1003" s="36"/>
      <c r="B1003" s="434" t="s">
        <v>397</v>
      </c>
      <c r="C1003" s="446" t="s">
        <v>714</v>
      </c>
      <c r="D1003" s="438"/>
      <c r="E1003" s="188">
        <v>11376041001</v>
      </c>
      <c r="F1003" s="437" t="s">
        <v>766</v>
      </c>
      <c r="G1003" s="211"/>
      <c r="H1003" s="438" t="s">
        <v>65</v>
      </c>
      <c r="I1003" s="438">
        <v>1</v>
      </c>
      <c r="J1003" s="212">
        <v>450.54</v>
      </c>
      <c r="K1003" s="212">
        <f t="shared" si="961"/>
        <v>549.66</v>
      </c>
      <c r="L1003" s="212">
        <f t="shared" si="968"/>
        <v>0</v>
      </c>
      <c r="M1003" s="212">
        <f t="shared" si="962"/>
        <v>450.54</v>
      </c>
      <c r="N1003" s="212">
        <f t="shared" si="969"/>
        <v>0</v>
      </c>
      <c r="O1003" s="439">
        <f t="shared" si="963"/>
        <v>549.66</v>
      </c>
      <c r="P1003" s="213">
        <f t="shared" si="970"/>
        <v>0</v>
      </c>
      <c r="Q1003" s="132"/>
      <c r="R1003" s="222">
        <f t="shared" si="956"/>
        <v>43973</v>
      </c>
      <c r="AK1003" s="141">
        <f t="shared" si="971"/>
        <v>43972.800000000003</v>
      </c>
    </row>
    <row r="1004" spans="1:38" outlineLevel="1">
      <c r="A1004" s="36"/>
      <c r="B1004" s="434" t="s">
        <v>397</v>
      </c>
      <c r="C1004" s="446" t="s">
        <v>714</v>
      </c>
      <c r="D1004" s="438"/>
      <c r="E1004" s="188">
        <v>11376141001</v>
      </c>
      <c r="F1004" s="437" t="s">
        <v>767</v>
      </c>
      <c r="G1004" s="211"/>
      <c r="H1004" s="438" t="s">
        <v>65</v>
      </c>
      <c r="I1004" s="438">
        <v>1</v>
      </c>
      <c r="J1004" s="212">
        <v>643.63</v>
      </c>
      <c r="K1004" s="212">
        <f t="shared" si="961"/>
        <v>785.23</v>
      </c>
      <c r="L1004" s="212">
        <f t="shared" si="968"/>
        <v>0</v>
      </c>
      <c r="M1004" s="212">
        <f t="shared" si="962"/>
        <v>643.63</v>
      </c>
      <c r="N1004" s="212">
        <f t="shared" si="969"/>
        <v>0</v>
      </c>
      <c r="O1004" s="439">
        <f t="shared" si="963"/>
        <v>785.23</v>
      </c>
      <c r="P1004" s="213">
        <f t="shared" si="970"/>
        <v>0</v>
      </c>
      <c r="Q1004" s="132"/>
      <c r="R1004" s="222">
        <f t="shared" si="956"/>
        <v>62818</v>
      </c>
      <c r="AK1004" s="141">
        <f t="shared" si="971"/>
        <v>62818.400000000001</v>
      </c>
    </row>
    <row r="1005" spans="1:38" outlineLevel="1">
      <c r="A1005" s="36"/>
      <c r="B1005" s="434"/>
      <c r="C1005" s="453"/>
      <c r="D1005" s="438"/>
      <c r="E1005" s="188"/>
      <c r="F1005" s="437"/>
      <c r="G1005" s="211"/>
      <c r="H1005" s="438"/>
      <c r="I1005" s="438"/>
      <c r="J1005" s="212"/>
      <c r="K1005" s="212"/>
      <c r="L1005" s="212"/>
      <c r="M1005" s="212"/>
      <c r="N1005" s="212"/>
      <c r="O1005" s="439"/>
      <c r="P1005" s="213"/>
      <c r="Q1005" s="132"/>
      <c r="R1005" s="222"/>
      <c r="AK1005" s="141"/>
    </row>
    <row r="1006" spans="1:38" ht="30.6" outlineLevel="1">
      <c r="A1006" s="148" t="s">
        <v>25</v>
      </c>
      <c r="B1006" s="208" t="s">
        <v>26</v>
      </c>
      <c r="C1006" s="435" t="s">
        <v>714</v>
      </c>
      <c r="D1006" s="387"/>
      <c r="E1006" s="188">
        <v>12254451001</v>
      </c>
      <c r="F1006" s="388" t="s">
        <v>768</v>
      </c>
      <c r="G1006" s="455"/>
      <c r="H1006" s="387" t="s">
        <v>65</v>
      </c>
      <c r="I1006" s="387">
        <v>1</v>
      </c>
      <c r="J1006" s="212">
        <v>1446.18</v>
      </c>
      <c r="K1006" s="212">
        <f t="shared" si="961"/>
        <v>1764.34</v>
      </c>
      <c r="L1006" s="212">
        <f>K1006*G1006</f>
        <v>0</v>
      </c>
      <c r="M1006" s="212">
        <f t="shared" si="962"/>
        <v>1446.18</v>
      </c>
      <c r="N1006" s="212">
        <f>M1006*G1006</f>
        <v>0</v>
      </c>
      <c r="O1006" s="389">
        <f t="shared" si="963"/>
        <v>1764.34</v>
      </c>
      <c r="P1006" s="213">
        <f>O1006*G1006</f>
        <v>0</v>
      </c>
      <c r="Q1006" s="132"/>
      <c r="R1006" s="214">
        <f t="shared" ref="R1006:R1015" si="972">ROUND(AK1006,0)</f>
        <v>141147</v>
      </c>
      <c r="AK1006" s="141">
        <f>K1006*$AK$11*(1-$AK$10)</f>
        <v>141147.20000000001</v>
      </c>
    </row>
    <row r="1007" spans="1:38" outlineLevel="1">
      <c r="A1007" s="36"/>
      <c r="B1007" s="456"/>
      <c r="C1007" s="440"/>
      <c r="D1007" s="387"/>
      <c r="E1007" s="188"/>
      <c r="F1007" s="388"/>
      <c r="G1007" s="455"/>
      <c r="H1007" s="387"/>
      <c r="I1007" s="387"/>
      <c r="J1007" s="212"/>
      <c r="K1007" s="212"/>
      <c r="L1007" s="212"/>
      <c r="M1007" s="212"/>
      <c r="N1007" s="212"/>
      <c r="O1007" s="389"/>
      <c r="P1007" s="213"/>
      <c r="Q1007" s="132"/>
      <c r="R1007" s="222"/>
      <c r="AK1007" s="141"/>
    </row>
    <row r="1008" spans="1:38" ht="39.6">
      <c r="A1008" s="36"/>
      <c r="B1008" s="457"/>
      <c r="C1008" s="458" t="s">
        <v>769</v>
      </c>
      <c r="D1008" s="459"/>
      <c r="E1008" s="460"/>
      <c r="F1008" s="461" t="s">
        <v>770</v>
      </c>
      <c r="G1008" s="462"/>
      <c r="H1008" s="463"/>
      <c r="I1008" s="463"/>
      <c r="J1008" s="418"/>
      <c r="K1008" s="418"/>
      <c r="L1008" s="418"/>
      <c r="M1008" s="418"/>
      <c r="N1008" s="418"/>
      <c r="O1008" s="464"/>
      <c r="P1008" s="419"/>
      <c r="Q1008" s="132"/>
      <c r="R1008" s="207"/>
      <c r="AK1008" s="141"/>
      <c r="AL1008" s="74"/>
    </row>
    <row r="1009" spans="1:38" ht="26.45" outlineLevel="1">
      <c r="A1009" s="36"/>
      <c r="B1009" s="457"/>
      <c r="C1009" s="458" t="s">
        <v>769</v>
      </c>
      <c r="D1009" s="459"/>
      <c r="E1009" s="460"/>
      <c r="F1009" s="461" t="s">
        <v>771</v>
      </c>
      <c r="G1009" s="462"/>
      <c r="H1009" s="463"/>
      <c r="I1009" s="463"/>
      <c r="J1009" s="418"/>
      <c r="K1009" s="418"/>
      <c r="L1009" s="418"/>
      <c r="M1009" s="418"/>
      <c r="N1009" s="418"/>
      <c r="O1009" s="464"/>
      <c r="P1009" s="419"/>
      <c r="Q1009" s="132"/>
      <c r="R1009" s="207"/>
      <c r="AK1009" s="141"/>
      <c r="AL1009" s="74"/>
    </row>
    <row r="1010" spans="1:38" s="74" customFormat="1" ht="30.6" outlineLevel="1">
      <c r="A1010" s="148" t="s">
        <v>25</v>
      </c>
      <c r="B1010" s="208" t="s">
        <v>26</v>
      </c>
      <c r="C1010" s="465" t="s">
        <v>769</v>
      </c>
      <c r="D1010" s="190">
        <v>11230041004</v>
      </c>
      <c r="E1010" s="188">
        <v>11230041005</v>
      </c>
      <c r="F1010" s="466" t="s">
        <v>772</v>
      </c>
      <c r="G1010" s="401"/>
      <c r="H1010" s="387" t="s">
        <v>65</v>
      </c>
      <c r="I1010" s="465" t="s">
        <v>773</v>
      </c>
      <c r="J1010" s="212">
        <v>2.4499999999999997</v>
      </c>
      <c r="K1010" s="212">
        <f t="shared" ref="K1010:K1021" si="973">ROUND((J1010*$C$3),2)</f>
        <v>2.99</v>
      </c>
      <c r="L1010" s="212">
        <f>K1010*G1010</f>
        <v>0</v>
      </c>
      <c r="M1010" s="212">
        <f t="shared" ref="M1010:M1021" si="974">J1010*(1-$E$5-$E$7)*(1-$E$9)*(1+$E$11)</f>
        <v>2.4499999999999997</v>
      </c>
      <c r="N1010" s="212">
        <f>M1010*G1010</f>
        <v>0</v>
      </c>
      <c r="O1010" s="467">
        <f t="shared" ref="O1010:O1021" si="975">ROUND((M1010*$C$3),2)</f>
        <v>2.99</v>
      </c>
      <c r="P1010" s="213">
        <f>O1010*G1010</f>
        <v>0</v>
      </c>
      <c r="Q1010" s="132"/>
      <c r="R1010" s="214">
        <f t="shared" si="972"/>
        <v>239</v>
      </c>
      <c r="AK1010" s="141">
        <f>K1010*$AK$11*(1-$AK$10)</f>
        <v>239.20000000000002</v>
      </c>
    </row>
    <row r="1011" spans="1:38" s="74" customFormat="1" ht="30.6" outlineLevel="1">
      <c r="A1011" s="148" t="s">
        <v>25</v>
      </c>
      <c r="B1011" s="208" t="s">
        <v>26</v>
      </c>
      <c r="C1011" s="465" t="s">
        <v>769</v>
      </c>
      <c r="D1011" s="190">
        <v>11230141004</v>
      </c>
      <c r="E1011" s="188">
        <v>11230141006</v>
      </c>
      <c r="F1011" s="466" t="s">
        <v>774</v>
      </c>
      <c r="G1011" s="401"/>
      <c r="H1011" s="387" t="s">
        <v>65</v>
      </c>
      <c r="I1011" s="465" t="s">
        <v>773</v>
      </c>
      <c r="J1011" s="212">
        <v>3.4099999999999997</v>
      </c>
      <c r="K1011" s="212">
        <f t="shared" si="973"/>
        <v>4.16</v>
      </c>
      <c r="L1011" s="212">
        <f>K1011*G1011</f>
        <v>0</v>
      </c>
      <c r="M1011" s="212">
        <f t="shared" si="974"/>
        <v>3.4099999999999997</v>
      </c>
      <c r="N1011" s="212">
        <f>M1011*G1011</f>
        <v>0</v>
      </c>
      <c r="O1011" s="467">
        <f t="shared" si="975"/>
        <v>4.16</v>
      </c>
      <c r="P1011" s="213">
        <f>O1011*G1011</f>
        <v>0</v>
      </c>
      <c r="Q1011" s="132"/>
      <c r="R1011" s="214">
        <f t="shared" si="972"/>
        <v>333</v>
      </c>
      <c r="AK1011" s="141">
        <f>K1011*$AK$11*(1-$AK$10)</f>
        <v>332.8</v>
      </c>
    </row>
    <row r="1012" spans="1:38" outlineLevel="1">
      <c r="A1012" s="36"/>
      <c r="B1012" s="468"/>
      <c r="C1012" s="465"/>
      <c r="D1012" s="469"/>
      <c r="E1012" s="188"/>
      <c r="F1012" s="466"/>
      <c r="G1012" s="401"/>
      <c r="H1012" s="387"/>
      <c r="I1012" s="465"/>
      <c r="J1012" s="212"/>
      <c r="K1012" s="212"/>
      <c r="L1012" s="212"/>
      <c r="M1012" s="212"/>
      <c r="N1012" s="212"/>
      <c r="O1012" s="467"/>
      <c r="P1012" s="213"/>
      <c r="Q1012" s="132"/>
      <c r="R1012" s="222"/>
      <c r="AK1012" s="141"/>
      <c r="AL1012" s="74"/>
    </row>
    <row r="1013" spans="1:38" s="74" customFormat="1" ht="30.6" outlineLevel="1">
      <c r="A1013" s="148" t="s">
        <v>25</v>
      </c>
      <c r="B1013" s="208" t="s">
        <v>26</v>
      </c>
      <c r="C1013" s="465" t="s">
        <v>769</v>
      </c>
      <c r="D1013" s="190">
        <v>11230441200</v>
      </c>
      <c r="E1013" s="188">
        <v>11230441222</v>
      </c>
      <c r="F1013" s="466" t="s">
        <v>775</v>
      </c>
      <c r="G1013" s="401"/>
      <c r="H1013" s="387" t="s">
        <v>65</v>
      </c>
      <c r="I1013" s="469">
        <v>4</v>
      </c>
      <c r="J1013" s="212">
        <v>13.799999999999999</v>
      </c>
      <c r="K1013" s="212">
        <f t="shared" si="973"/>
        <v>16.84</v>
      </c>
      <c r="L1013" s="212">
        <f>K1013*G1013</f>
        <v>0</v>
      </c>
      <c r="M1013" s="212">
        <f t="shared" si="974"/>
        <v>13.799999999999999</v>
      </c>
      <c r="N1013" s="212">
        <f>M1013*G1013</f>
        <v>0</v>
      </c>
      <c r="O1013" s="467">
        <f t="shared" si="975"/>
        <v>16.84</v>
      </c>
      <c r="P1013" s="213">
        <f>O1013*G1013</f>
        <v>0</v>
      </c>
      <c r="Q1013" s="132"/>
      <c r="R1013" s="214">
        <f t="shared" si="972"/>
        <v>1347</v>
      </c>
      <c r="AK1013" s="141">
        <f>K1013*$AK$11*(1-$AK$10)</f>
        <v>1347.2</v>
      </c>
    </row>
    <row r="1014" spans="1:38" outlineLevel="1">
      <c r="A1014" s="36"/>
      <c r="B1014" s="468"/>
      <c r="C1014" s="465"/>
      <c r="D1014" s="469"/>
      <c r="E1014" s="188"/>
      <c r="F1014" s="466"/>
      <c r="G1014" s="401"/>
      <c r="H1014" s="387"/>
      <c r="I1014" s="465"/>
      <c r="J1014" s="212"/>
      <c r="K1014" s="212"/>
      <c r="L1014" s="212"/>
      <c r="M1014" s="212"/>
      <c r="N1014" s="212"/>
      <c r="O1014" s="467"/>
      <c r="P1014" s="213"/>
      <c r="Q1014" s="132"/>
      <c r="R1014" s="222"/>
      <c r="AK1014" s="141"/>
    </row>
    <row r="1015" spans="1:38" s="74" customFormat="1" ht="30.6" outlineLevel="1">
      <c r="A1015" s="148" t="s">
        <v>25</v>
      </c>
      <c r="B1015" s="208" t="s">
        <v>26</v>
      </c>
      <c r="C1015" s="465" t="s">
        <v>769</v>
      </c>
      <c r="D1015" s="190">
        <v>123184</v>
      </c>
      <c r="E1015" s="188">
        <v>11231841005</v>
      </c>
      <c r="F1015" s="466" t="s">
        <v>776</v>
      </c>
      <c r="G1015" s="401"/>
      <c r="H1015" s="387" t="s">
        <v>65</v>
      </c>
      <c r="I1015" s="469">
        <v>20</v>
      </c>
      <c r="J1015" s="212">
        <v>4.8599999999999994</v>
      </c>
      <c r="K1015" s="212">
        <f t="shared" si="973"/>
        <v>5.93</v>
      </c>
      <c r="L1015" s="212">
        <f>K1015*G1015</f>
        <v>0</v>
      </c>
      <c r="M1015" s="212">
        <f t="shared" si="974"/>
        <v>4.8599999999999994</v>
      </c>
      <c r="N1015" s="212">
        <f>M1015*G1015</f>
        <v>0</v>
      </c>
      <c r="O1015" s="467">
        <f t="shared" si="975"/>
        <v>5.93</v>
      </c>
      <c r="P1015" s="213">
        <f>O1015*G1015</f>
        <v>0</v>
      </c>
      <c r="Q1015" s="132"/>
      <c r="R1015" s="214">
        <f t="shared" si="972"/>
        <v>474</v>
      </c>
      <c r="AK1015" s="141">
        <f>K1015*$AK$11*(1-$AK$10)</f>
        <v>474.40000000000003</v>
      </c>
    </row>
    <row r="1016" spans="1:38" outlineLevel="1">
      <c r="A1016" s="36"/>
      <c r="B1016" s="468"/>
      <c r="C1016" s="465"/>
      <c r="D1016" s="469"/>
      <c r="E1016" s="188"/>
      <c r="F1016" s="466"/>
      <c r="G1016" s="401"/>
      <c r="H1016" s="387"/>
      <c r="I1016" s="469"/>
      <c r="J1016" s="212"/>
      <c r="K1016" s="212"/>
      <c r="L1016" s="212"/>
      <c r="M1016" s="212"/>
      <c r="N1016" s="212"/>
      <c r="O1016" s="467"/>
      <c r="P1016" s="213"/>
      <c r="Q1016" s="132"/>
      <c r="R1016" s="222"/>
      <c r="AK1016" s="141"/>
      <c r="AL1016" s="74"/>
    </row>
    <row r="1017" spans="1:38" s="74" customFormat="1" ht="30.6" outlineLevel="1">
      <c r="A1017" s="148" t="s">
        <v>25</v>
      </c>
      <c r="B1017" s="208" t="s">
        <v>26</v>
      </c>
      <c r="C1017" s="465" t="s">
        <v>769</v>
      </c>
      <c r="D1017" s="469">
        <v>11231941004</v>
      </c>
      <c r="E1017" s="188">
        <v>11231941222</v>
      </c>
      <c r="F1017" s="466" t="s">
        <v>777</v>
      </c>
      <c r="G1017" s="401"/>
      <c r="H1017" s="387" t="s">
        <v>65</v>
      </c>
      <c r="I1017" s="469">
        <v>20</v>
      </c>
      <c r="J1017" s="212">
        <v>6.1099999999999994</v>
      </c>
      <c r="K1017" s="212">
        <f t="shared" si="973"/>
        <v>7.45</v>
      </c>
      <c r="L1017" s="212">
        <f>K1017*G1017</f>
        <v>0</v>
      </c>
      <c r="M1017" s="212">
        <f t="shared" si="974"/>
        <v>6.1099999999999994</v>
      </c>
      <c r="N1017" s="212">
        <f>M1017*G1017</f>
        <v>0</v>
      </c>
      <c r="O1017" s="467">
        <f t="shared" si="975"/>
        <v>7.45</v>
      </c>
      <c r="P1017" s="213">
        <f>O1017*G1017</f>
        <v>0</v>
      </c>
      <c r="Q1017" s="132"/>
      <c r="R1017" s="214">
        <f t="shared" ref="R1017:R1032" si="976">ROUND(AK1017,0)</f>
        <v>596</v>
      </c>
      <c r="AK1017" s="141">
        <f t="shared" ref="AK1017:AK1032" si="977">K1017*$AK$11*(1-$AK$10)</f>
        <v>596</v>
      </c>
    </row>
    <row r="1018" spans="1:38" s="74" customFormat="1" ht="30.6" outlineLevel="1">
      <c r="A1018" s="148" t="s">
        <v>25</v>
      </c>
      <c r="B1018" s="208" t="s">
        <v>26</v>
      </c>
      <c r="C1018" s="465" t="s">
        <v>769</v>
      </c>
      <c r="D1018" s="469">
        <v>11239941200</v>
      </c>
      <c r="E1018" s="188">
        <v>11239941222</v>
      </c>
      <c r="F1018" s="466" t="s">
        <v>778</v>
      </c>
      <c r="G1018" s="401"/>
      <c r="H1018" s="387" t="s">
        <v>65</v>
      </c>
      <c r="I1018" s="469">
        <v>4</v>
      </c>
      <c r="J1018" s="212">
        <v>10.7</v>
      </c>
      <c r="K1018" s="212">
        <f t="shared" si="973"/>
        <v>13.05</v>
      </c>
      <c r="L1018" s="212">
        <f>K1018*G1018</f>
        <v>0</v>
      </c>
      <c r="M1018" s="212">
        <f t="shared" si="974"/>
        <v>10.7</v>
      </c>
      <c r="N1018" s="212">
        <f>M1018*G1018</f>
        <v>0</v>
      </c>
      <c r="O1018" s="467">
        <f t="shared" si="975"/>
        <v>13.05</v>
      </c>
      <c r="P1018" s="213">
        <f>O1018*G1018</f>
        <v>0</v>
      </c>
      <c r="Q1018" s="132"/>
      <c r="R1018" s="214">
        <f t="shared" si="976"/>
        <v>1044</v>
      </c>
      <c r="AK1018" s="141">
        <f t="shared" si="977"/>
        <v>1044</v>
      </c>
      <c r="AL1018"/>
    </row>
    <row r="1019" spans="1:38" outlineLevel="1">
      <c r="A1019" s="36"/>
      <c r="B1019" s="468"/>
      <c r="C1019" s="465"/>
      <c r="D1019" s="469"/>
      <c r="E1019" s="188"/>
      <c r="F1019" s="466"/>
      <c r="G1019" s="401"/>
      <c r="H1019" s="387"/>
      <c r="I1019" s="469"/>
      <c r="J1019" s="212"/>
      <c r="K1019" s="212"/>
      <c r="L1019" s="212"/>
      <c r="M1019" s="212"/>
      <c r="N1019" s="212"/>
      <c r="O1019" s="467"/>
      <c r="P1019" s="213"/>
      <c r="Q1019" s="132"/>
      <c r="R1019" s="222"/>
      <c r="AK1019" s="141"/>
    </row>
    <row r="1020" spans="1:38" s="74" customFormat="1" ht="30.6" outlineLevel="1">
      <c r="A1020" s="148" t="s">
        <v>25</v>
      </c>
      <c r="B1020" s="208" t="s">
        <v>26</v>
      </c>
      <c r="C1020" s="465" t="s">
        <v>769</v>
      </c>
      <c r="D1020" s="469"/>
      <c r="E1020" s="188">
        <v>11202541003</v>
      </c>
      <c r="F1020" s="466" t="s">
        <v>779</v>
      </c>
      <c r="G1020" s="401"/>
      <c r="H1020" s="387" t="s">
        <v>65</v>
      </c>
      <c r="I1020" s="469">
        <v>20</v>
      </c>
      <c r="J1020" s="212">
        <v>5.85</v>
      </c>
      <c r="K1020" s="212">
        <f t="shared" si="973"/>
        <v>7.14</v>
      </c>
      <c r="L1020" s="212">
        <f>K1020*G1020</f>
        <v>0</v>
      </c>
      <c r="M1020" s="212">
        <f t="shared" si="974"/>
        <v>5.85</v>
      </c>
      <c r="N1020" s="212">
        <f>M1020*G1020</f>
        <v>0</v>
      </c>
      <c r="O1020" s="467">
        <f t="shared" si="975"/>
        <v>7.14</v>
      </c>
      <c r="P1020" s="213">
        <f>O1020*G1020</f>
        <v>0</v>
      </c>
      <c r="Q1020" s="132"/>
      <c r="R1020" s="214">
        <f t="shared" si="976"/>
        <v>571</v>
      </c>
      <c r="AK1020" s="141">
        <f t="shared" si="977"/>
        <v>571.20000000000005</v>
      </c>
      <c r="AL1020"/>
    </row>
    <row r="1021" spans="1:38" s="74" customFormat="1" ht="30.6" outlineLevel="1">
      <c r="A1021" s="148" t="s">
        <v>25</v>
      </c>
      <c r="B1021" s="208" t="s">
        <v>26</v>
      </c>
      <c r="C1021" s="465" t="s">
        <v>769</v>
      </c>
      <c r="D1021" s="469"/>
      <c r="E1021" s="188">
        <v>11202641003</v>
      </c>
      <c r="F1021" s="466" t="s">
        <v>780</v>
      </c>
      <c r="G1021" s="401"/>
      <c r="H1021" s="387" t="s">
        <v>65</v>
      </c>
      <c r="I1021" s="469">
        <v>20</v>
      </c>
      <c r="J1021" s="212">
        <v>7.02</v>
      </c>
      <c r="K1021" s="212">
        <f t="shared" si="973"/>
        <v>8.56</v>
      </c>
      <c r="L1021" s="212">
        <f>K1021*G1021</f>
        <v>0</v>
      </c>
      <c r="M1021" s="212">
        <f t="shared" si="974"/>
        <v>7.02</v>
      </c>
      <c r="N1021" s="212">
        <f>M1021*G1021</f>
        <v>0</v>
      </c>
      <c r="O1021" s="467">
        <f t="shared" si="975"/>
        <v>8.56</v>
      </c>
      <c r="P1021" s="213">
        <f>O1021*G1021</f>
        <v>0</v>
      </c>
      <c r="Q1021" s="132"/>
      <c r="R1021" s="214">
        <f t="shared" si="976"/>
        <v>685</v>
      </c>
      <c r="AK1021" s="141">
        <f t="shared" si="977"/>
        <v>684.80000000000007</v>
      </c>
    </row>
    <row r="1022" spans="1:38" outlineLevel="1">
      <c r="A1022" s="36"/>
      <c r="B1022" s="468"/>
      <c r="C1022" s="470"/>
      <c r="D1022" s="311"/>
      <c r="E1022" s="311"/>
      <c r="F1022" s="471"/>
      <c r="G1022" s="420"/>
      <c r="H1022" s="472"/>
      <c r="I1022" s="473"/>
      <c r="J1022" s="212"/>
      <c r="K1022" s="212"/>
      <c r="L1022" s="212"/>
      <c r="M1022" s="212"/>
      <c r="N1022" s="212"/>
      <c r="O1022" s="474"/>
      <c r="P1022" s="213"/>
      <c r="Q1022" s="132"/>
      <c r="R1022" s="222"/>
      <c r="AK1022" s="141"/>
      <c r="AL1022" s="74"/>
    </row>
    <row r="1023" spans="1:38" s="74" customFormat="1" ht="30.6" outlineLevel="1">
      <c r="A1023" s="148" t="s">
        <v>25</v>
      </c>
      <c r="B1023" s="208" t="s">
        <v>26</v>
      </c>
      <c r="C1023" s="465" t="s">
        <v>769</v>
      </c>
      <c r="D1023" s="190">
        <v>11216641005</v>
      </c>
      <c r="E1023" s="188">
        <v>11216641222</v>
      </c>
      <c r="F1023" s="466" t="s">
        <v>781</v>
      </c>
      <c r="G1023" s="401"/>
      <c r="H1023" s="387" t="s">
        <v>65</v>
      </c>
      <c r="I1023" s="469">
        <v>1</v>
      </c>
      <c r="J1023" s="212">
        <v>50</v>
      </c>
      <c r="K1023" s="212">
        <f t="shared" ref="K1023:K1040" si="978">ROUND((J1023*$C$3),2)</f>
        <v>61</v>
      </c>
      <c r="L1023" s="212">
        <f>K1023*G1023</f>
        <v>0</v>
      </c>
      <c r="M1023" s="212">
        <f t="shared" ref="M1023:M1040" si="979">J1023*(1-$E$5-$E$7)*(1-$E$9)*(1+$E$11)</f>
        <v>50</v>
      </c>
      <c r="N1023" s="212">
        <f>M1023*G1023</f>
        <v>0</v>
      </c>
      <c r="O1023" s="467">
        <f t="shared" ref="O1023:O1040" si="980">ROUND((M1023*$C$3),2)</f>
        <v>61</v>
      </c>
      <c r="P1023" s="213">
        <f>O1023*G1023</f>
        <v>0</v>
      </c>
      <c r="Q1023" s="132"/>
      <c r="R1023" s="214">
        <f t="shared" si="976"/>
        <v>4880</v>
      </c>
      <c r="AK1023" s="141">
        <f t="shared" si="977"/>
        <v>4880</v>
      </c>
      <c r="AL1023"/>
    </row>
    <row r="1024" spans="1:38" s="74" customFormat="1" ht="30.6" outlineLevel="1">
      <c r="A1024" s="148" t="s">
        <v>25</v>
      </c>
      <c r="B1024" s="208" t="s">
        <v>26</v>
      </c>
      <c r="C1024" s="465" t="s">
        <v>769</v>
      </c>
      <c r="D1024" s="190">
        <v>11216741005</v>
      </c>
      <c r="E1024" s="188">
        <v>11216741222</v>
      </c>
      <c r="F1024" s="466" t="s">
        <v>782</v>
      </c>
      <c r="G1024" s="401"/>
      <c r="H1024" s="387" t="s">
        <v>65</v>
      </c>
      <c r="I1024" s="469">
        <v>1</v>
      </c>
      <c r="J1024" s="212">
        <v>79.430000000000007</v>
      </c>
      <c r="K1024" s="212">
        <f t="shared" si="978"/>
        <v>96.9</v>
      </c>
      <c r="L1024" s="212">
        <f>K1024*G1024</f>
        <v>0</v>
      </c>
      <c r="M1024" s="212">
        <f t="shared" si="979"/>
        <v>79.430000000000007</v>
      </c>
      <c r="N1024" s="212">
        <f>M1024*G1024</f>
        <v>0</v>
      </c>
      <c r="O1024" s="467">
        <f t="shared" si="980"/>
        <v>96.9</v>
      </c>
      <c r="P1024" s="213">
        <f>O1024*G1024</f>
        <v>0</v>
      </c>
      <c r="Q1024" s="132"/>
      <c r="R1024" s="214">
        <f t="shared" si="976"/>
        <v>7752</v>
      </c>
      <c r="AK1024" s="141">
        <f t="shared" si="977"/>
        <v>7752</v>
      </c>
    </row>
    <row r="1025" spans="1:38" outlineLevel="1">
      <c r="A1025" s="36"/>
      <c r="B1025" s="475"/>
      <c r="C1025" s="465"/>
      <c r="D1025" s="469"/>
      <c r="E1025" s="188"/>
      <c r="F1025" s="466"/>
      <c r="G1025" s="401"/>
      <c r="H1025" s="387"/>
      <c r="I1025" s="469"/>
      <c r="J1025" s="212"/>
      <c r="K1025" s="212"/>
      <c r="L1025" s="212"/>
      <c r="M1025" s="212"/>
      <c r="N1025" s="212"/>
      <c r="O1025" s="467"/>
      <c r="P1025" s="213"/>
      <c r="Q1025" s="132"/>
      <c r="R1025" s="222"/>
      <c r="AK1025" s="141"/>
      <c r="AL1025" s="74"/>
    </row>
    <row r="1026" spans="1:38" s="74" customFormat="1" ht="30.6" outlineLevel="1">
      <c r="A1026" s="148" t="s">
        <v>25</v>
      </c>
      <c r="B1026" s="208" t="s">
        <v>26</v>
      </c>
      <c r="C1026" s="465" t="s">
        <v>769</v>
      </c>
      <c r="D1026" s="190">
        <v>11230151400</v>
      </c>
      <c r="E1026" s="188">
        <v>11230151222</v>
      </c>
      <c r="F1026" s="466" t="s">
        <v>783</v>
      </c>
      <c r="G1026" s="401"/>
      <c r="H1026" s="387" t="s">
        <v>65</v>
      </c>
      <c r="I1026" s="469">
        <v>1</v>
      </c>
      <c r="J1026" s="212">
        <v>151</v>
      </c>
      <c r="K1026" s="212">
        <f t="shared" si="978"/>
        <v>184.22</v>
      </c>
      <c r="L1026" s="212">
        <f>K1026*G1026</f>
        <v>0</v>
      </c>
      <c r="M1026" s="212">
        <f t="shared" si="979"/>
        <v>151</v>
      </c>
      <c r="N1026" s="212">
        <f>M1026*G1026</f>
        <v>0</v>
      </c>
      <c r="O1026" s="467">
        <f t="shared" si="980"/>
        <v>184.22</v>
      </c>
      <c r="P1026" s="213">
        <f>O1026*G1026</f>
        <v>0</v>
      </c>
      <c r="Q1026" s="132"/>
      <c r="R1026" s="214">
        <f t="shared" si="976"/>
        <v>14738</v>
      </c>
      <c r="AK1026" s="141">
        <f t="shared" si="977"/>
        <v>14737.6</v>
      </c>
      <c r="AL1026"/>
    </row>
    <row r="1027" spans="1:38" outlineLevel="1">
      <c r="A1027" s="36"/>
      <c r="B1027" s="457"/>
      <c r="C1027" s="465"/>
      <c r="D1027" s="469"/>
      <c r="E1027" s="188"/>
      <c r="F1027" s="466"/>
      <c r="G1027" s="401"/>
      <c r="H1027" s="387"/>
      <c r="I1027" s="469"/>
      <c r="J1027" s="212"/>
      <c r="K1027" s="212"/>
      <c r="L1027" s="212"/>
      <c r="M1027" s="212"/>
      <c r="N1027" s="212"/>
      <c r="O1027" s="467"/>
      <c r="P1027" s="213"/>
      <c r="Q1027" s="132"/>
      <c r="R1027" s="222"/>
      <c r="AK1027" s="141"/>
      <c r="AL1027" s="74"/>
    </row>
    <row r="1028" spans="1:38" s="74" customFormat="1" ht="30.6" outlineLevel="1">
      <c r="A1028" s="148" t="s">
        <v>25</v>
      </c>
      <c r="B1028" s="208" t="s">
        <v>26</v>
      </c>
      <c r="C1028" s="465" t="s">
        <v>769</v>
      </c>
      <c r="D1028" s="190">
        <v>11230841001</v>
      </c>
      <c r="E1028" s="188">
        <v>11230841002</v>
      </c>
      <c r="F1028" s="466" t="s">
        <v>784</v>
      </c>
      <c r="G1028" s="401"/>
      <c r="H1028" s="387" t="s">
        <v>65</v>
      </c>
      <c r="I1028" s="469">
        <v>20</v>
      </c>
      <c r="J1028" s="212">
        <v>1.55</v>
      </c>
      <c r="K1028" s="212">
        <f t="shared" si="978"/>
        <v>1.89</v>
      </c>
      <c r="L1028" s="212">
        <f>K1028*G1028</f>
        <v>0</v>
      </c>
      <c r="M1028" s="212">
        <f t="shared" si="979"/>
        <v>1.55</v>
      </c>
      <c r="N1028" s="212">
        <f>M1028*G1028</f>
        <v>0</v>
      </c>
      <c r="O1028" s="467">
        <f t="shared" si="980"/>
        <v>1.89</v>
      </c>
      <c r="P1028" s="213">
        <f>O1028*G1028</f>
        <v>0</v>
      </c>
      <c r="Q1028" s="132"/>
      <c r="R1028" s="214">
        <f t="shared" si="976"/>
        <v>151</v>
      </c>
      <c r="AK1028" s="141">
        <f t="shared" si="977"/>
        <v>151.20000000000002</v>
      </c>
      <c r="AL1028"/>
    </row>
    <row r="1029" spans="1:38" s="74" customFormat="1" ht="30.6" outlineLevel="1">
      <c r="A1029" s="148" t="s">
        <v>25</v>
      </c>
      <c r="B1029" s="208" t="s">
        <v>26</v>
      </c>
      <c r="C1029" s="465" t="s">
        <v>769</v>
      </c>
      <c r="D1029" s="469"/>
      <c r="E1029" s="188">
        <v>11240871001</v>
      </c>
      <c r="F1029" s="466" t="s">
        <v>785</v>
      </c>
      <c r="G1029" s="401"/>
      <c r="H1029" s="387" t="s">
        <v>65</v>
      </c>
      <c r="I1029" s="469">
        <v>20</v>
      </c>
      <c r="J1029" s="212">
        <v>2.0299999999999998</v>
      </c>
      <c r="K1029" s="212">
        <f t="shared" si="978"/>
        <v>2.48</v>
      </c>
      <c r="L1029" s="212">
        <f>K1029*G1029</f>
        <v>0</v>
      </c>
      <c r="M1029" s="212">
        <f t="shared" si="979"/>
        <v>2.0299999999999998</v>
      </c>
      <c r="N1029" s="212">
        <f>M1029*G1029</f>
        <v>0</v>
      </c>
      <c r="O1029" s="467">
        <f t="shared" si="980"/>
        <v>2.48</v>
      </c>
      <c r="P1029" s="213">
        <f>O1029*G1029</f>
        <v>0</v>
      </c>
      <c r="Q1029" s="132"/>
      <c r="R1029" s="214">
        <f t="shared" si="976"/>
        <v>198</v>
      </c>
      <c r="AK1029" s="141">
        <f t="shared" si="977"/>
        <v>198.4</v>
      </c>
    </row>
    <row r="1030" spans="1:38" s="74" customFormat="1" ht="30.6" outlineLevel="1">
      <c r="A1030" s="148" t="s">
        <v>25</v>
      </c>
      <c r="B1030" s="208" t="s">
        <v>26</v>
      </c>
      <c r="C1030" s="465" t="s">
        <v>769</v>
      </c>
      <c r="D1030" s="188"/>
      <c r="E1030" s="188">
        <v>11230941001</v>
      </c>
      <c r="F1030" s="466" t="s">
        <v>786</v>
      </c>
      <c r="G1030" s="401"/>
      <c r="H1030" s="387" t="s">
        <v>65</v>
      </c>
      <c r="I1030" s="469">
        <v>20</v>
      </c>
      <c r="J1030" s="212">
        <v>1.53</v>
      </c>
      <c r="K1030" s="212">
        <f t="shared" si="978"/>
        <v>1.87</v>
      </c>
      <c r="L1030" s="212">
        <f>K1030*G1030</f>
        <v>0</v>
      </c>
      <c r="M1030" s="212">
        <f t="shared" si="979"/>
        <v>1.53</v>
      </c>
      <c r="N1030" s="212">
        <f>M1030*G1030</f>
        <v>0</v>
      </c>
      <c r="O1030" s="467">
        <f t="shared" si="980"/>
        <v>1.87</v>
      </c>
      <c r="P1030" s="213">
        <f>O1030*G1030</f>
        <v>0</v>
      </c>
      <c r="Q1030" s="132"/>
      <c r="R1030" s="214">
        <f t="shared" si="976"/>
        <v>150</v>
      </c>
      <c r="AK1030" s="141">
        <f t="shared" si="977"/>
        <v>149.6</v>
      </c>
    </row>
    <row r="1031" spans="1:38" outlineLevel="1">
      <c r="A1031" s="36"/>
      <c r="B1031" s="475"/>
      <c r="C1031" s="465"/>
      <c r="D1031" s="188"/>
      <c r="E1031" s="188"/>
      <c r="F1031" s="466"/>
      <c r="G1031" s="401"/>
      <c r="H1031" s="387"/>
      <c r="I1031" s="469"/>
      <c r="J1031" s="212"/>
      <c r="K1031" s="212"/>
      <c r="L1031" s="212"/>
      <c r="M1031" s="212"/>
      <c r="N1031" s="212"/>
      <c r="O1031" s="467"/>
      <c r="P1031" s="213"/>
      <c r="Q1031" s="132"/>
      <c r="R1031" s="222"/>
      <c r="AK1031" s="141"/>
      <c r="AL1031" s="74"/>
    </row>
    <row r="1032" spans="1:38" s="74" customFormat="1" ht="30.6" outlineLevel="1">
      <c r="A1032" s="148" t="s">
        <v>25</v>
      </c>
      <c r="B1032" s="208" t="s">
        <v>26</v>
      </c>
      <c r="C1032" s="465" t="s">
        <v>769</v>
      </c>
      <c r="D1032" s="292" t="s">
        <v>787</v>
      </c>
      <c r="E1032" s="242">
        <v>11211041003</v>
      </c>
      <c r="F1032" s="466" t="s">
        <v>788</v>
      </c>
      <c r="G1032" s="401"/>
      <c r="H1032" s="387" t="s">
        <v>65</v>
      </c>
      <c r="I1032" s="469">
        <v>20</v>
      </c>
      <c r="J1032" s="212">
        <v>1.07</v>
      </c>
      <c r="K1032" s="212">
        <f t="shared" si="978"/>
        <v>1.31</v>
      </c>
      <c r="L1032" s="212">
        <f>K1032*G1032</f>
        <v>0</v>
      </c>
      <c r="M1032" s="212">
        <f t="shared" si="979"/>
        <v>1.07</v>
      </c>
      <c r="N1032" s="212">
        <f>M1032*G1032</f>
        <v>0</v>
      </c>
      <c r="O1032" s="467">
        <f t="shared" si="980"/>
        <v>1.31</v>
      </c>
      <c r="P1032" s="213">
        <f>O1032*G1032</f>
        <v>0</v>
      </c>
      <c r="Q1032" s="132"/>
      <c r="R1032" s="214">
        <f t="shared" si="976"/>
        <v>105</v>
      </c>
      <c r="AK1032" s="141">
        <f t="shared" si="977"/>
        <v>104.80000000000001</v>
      </c>
    </row>
    <row r="1033" spans="1:38" outlineLevel="1">
      <c r="A1033" s="36"/>
      <c r="B1033" s="476"/>
      <c r="C1033" s="477"/>
      <c r="D1033" s="478"/>
      <c r="E1033" s="217"/>
      <c r="F1033" s="479"/>
      <c r="G1033" s="401"/>
      <c r="H1033" s="480"/>
      <c r="I1033" s="478"/>
      <c r="J1033" s="220"/>
      <c r="K1033" s="220"/>
      <c r="L1033" s="220"/>
      <c r="M1033" s="220"/>
      <c r="N1033" s="220"/>
      <c r="O1033" s="481"/>
      <c r="P1033" s="221"/>
      <c r="Q1033" s="132"/>
      <c r="R1033" s="222"/>
      <c r="AK1033" s="141"/>
      <c r="AL1033" s="74"/>
    </row>
    <row r="1034" spans="1:38" s="74" customFormat="1" ht="30.6" outlineLevel="1">
      <c r="A1034" s="148" t="s">
        <v>25</v>
      </c>
      <c r="B1034" s="208" t="s">
        <v>26</v>
      </c>
      <c r="C1034" s="465" t="s">
        <v>769</v>
      </c>
      <c r="D1034" s="469"/>
      <c r="E1034" s="188">
        <v>11230781001</v>
      </c>
      <c r="F1034" s="466" t="s">
        <v>789</v>
      </c>
      <c r="G1034" s="401"/>
      <c r="H1034" s="387" t="s">
        <v>65</v>
      </c>
      <c r="I1034" s="469">
        <v>20</v>
      </c>
      <c r="J1034" s="212">
        <v>6.43</v>
      </c>
      <c r="K1034" s="212">
        <f t="shared" si="978"/>
        <v>7.84</v>
      </c>
      <c r="L1034" s="212">
        <f>K1034*G1034</f>
        <v>0</v>
      </c>
      <c r="M1034" s="212">
        <f t="shared" si="979"/>
        <v>6.43</v>
      </c>
      <c r="N1034" s="212">
        <f>M1034*G1034</f>
        <v>0</v>
      </c>
      <c r="O1034" s="467">
        <f t="shared" si="980"/>
        <v>7.84</v>
      </c>
      <c r="P1034" s="213">
        <f>O1034*G1034</f>
        <v>0</v>
      </c>
      <c r="Q1034" s="132"/>
      <c r="R1034" s="214">
        <f t="shared" ref="R1034:R1053" si="981">ROUND(AK1034,0)</f>
        <v>627</v>
      </c>
      <c r="AK1034" s="141">
        <f t="shared" ref="AK1034:AK1053" si="982">K1034*$AK$11*(1-$AK$10)</f>
        <v>627.20000000000005</v>
      </c>
    </row>
    <row r="1035" spans="1:38" s="74" customFormat="1" ht="30.6" outlineLevel="1">
      <c r="A1035" s="148" t="s">
        <v>25</v>
      </c>
      <c r="B1035" s="208" t="s">
        <v>26</v>
      </c>
      <c r="C1035" s="465" t="s">
        <v>769</v>
      </c>
      <c r="D1035" s="469"/>
      <c r="E1035" s="188">
        <v>11234141001</v>
      </c>
      <c r="F1035" s="466" t="s">
        <v>790</v>
      </c>
      <c r="G1035" s="401"/>
      <c r="H1035" s="387" t="s">
        <v>65</v>
      </c>
      <c r="I1035" s="469">
        <v>20</v>
      </c>
      <c r="J1035" s="212">
        <v>1.83</v>
      </c>
      <c r="K1035" s="212">
        <f t="shared" si="978"/>
        <v>2.23</v>
      </c>
      <c r="L1035" s="212">
        <f>K1035*G1035</f>
        <v>0</v>
      </c>
      <c r="M1035" s="212">
        <f t="shared" si="979"/>
        <v>1.83</v>
      </c>
      <c r="N1035" s="212">
        <f>M1035*G1035</f>
        <v>0</v>
      </c>
      <c r="O1035" s="467">
        <f t="shared" si="980"/>
        <v>2.23</v>
      </c>
      <c r="P1035" s="213">
        <f>O1035*G1035</f>
        <v>0</v>
      </c>
      <c r="Q1035" s="132"/>
      <c r="R1035" s="214">
        <f t="shared" si="981"/>
        <v>178</v>
      </c>
      <c r="AK1035" s="141">
        <f t="shared" si="982"/>
        <v>178.4</v>
      </c>
    </row>
    <row r="1036" spans="1:38" outlineLevel="1">
      <c r="A1036" s="36"/>
      <c r="B1036" s="475"/>
      <c r="C1036" s="465"/>
      <c r="D1036" s="469"/>
      <c r="E1036" s="188"/>
      <c r="F1036" s="466"/>
      <c r="G1036" s="401"/>
      <c r="H1036" s="387"/>
      <c r="I1036" s="469"/>
      <c r="J1036" s="212"/>
      <c r="K1036" s="212"/>
      <c r="L1036" s="212"/>
      <c r="M1036" s="212"/>
      <c r="N1036" s="212"/>
      <c r="O1036" s="467"/>
      <c r="P1036" s="213"/>
      <c r="Q1036" s="132"/>
      <c r="R1036" s="222"/>
      <c r="AK1036" s="141"/>
      <c r="AL1036" s="74"/>
    </row>
    <row r="1037" spans="1:38" s="74" customFormat="1" ht="30.6" outlineLevel="1">
      <c r="A1037" s="148" t="s">
        <v>25</v>
      </c>
      <c r="B1037" s="208" t="s">
        <v>26</v>
      </c>
      <c r="C1037" s="482" t="s">
        <v>769</v>
      </c>
      <c r="D1037" s="238">
        <v>11234241001</v>
      </c>
      <c r="E1037" s="240">
        <v>11231321001</v>
      </c>
      <c r="F1037" s="483" t="s">
        <v>791</v>
      </c>
      <c r="G1037" s="401"/>
      <c r="H1037" s="387" t="s">
        <v>65</v>
      </c>
      <c r="I1037" s="469">
        <v>20</v>
      </c>
      <c r="J1037" s="212">
        <v>4.6099999999999994</v>
      </c>
      <c r="K1037" s="212">
        <f t="shared" si="978"/>
        <v>5.62</v>
      </c>
      <c r="L1037" s="212">
        <f>K1037*G1037</f>
        <v>0</v>
      </c>
      <c r="M1037" s="212">
        <f t="shared" si="979"/>
        <v>4.6099999999999994</v>
      </c>
      <c r="N1037" s="212">
        <f>M1037*G1037</f>
        <v>0</v>
      </c>
      <c r="O1037" s="467">
        <f t="shared" si="980"/>
        <v>5.62</v>
      </c>
      <c r="P1037" s="213">
        <f>O1037*G1037</f>
        <v>0</v>
      </c>
      <c r="Q1037" s="132"/>
      <c r="R1037" s="214">
        <f t="shared" si="981"/>
        <v>450</v>
      </c>
      <c r="AK1037" s="141">
        <f t="shared" si="982"/>
        <v>449.6</v>
      </c>
    </row>
    <row r="1038" spans="1:38" s="74" customFormat="1" ht="30.6" outlineLevel="1">
      <c r="A1038" s="148" t="s">
        <v>25</v>
      </c>
      <c r="B1038" s="208" t="s">
        <v>26</v>
      </c>
      <c r="C1038" s="465" t="s">
        <v>769</v>
      </c>
      <c r="D1038" s="238">
        <v>11234341001</v>
      </c>
      <c r="E1038" s="240">
        <v>11231351001</v>
      </c>
      <c r="F1038" s="466" t="s">
        <v>792</v>
      </c>
      <c r="G1038" s="401"/>
      <c r="H1038" s="387" t="s">
        <v>65</v>
      </c>
      <c r="I1038" s="469">
        <v>20</v>
      </c>
      <c r="J1038" s="212">
        <v>5.0199999999999996</v>
      </c>
      <c r="K1038" s="212">
        <f t="shared" si="978"/>
        <v>6.12</v>
      </c>
      <c r="L1038" s="212">
        <f>K1038*G1038</f>
        <v>0</v>
      </c>
      <c r="M1038" s="212">
        <f t="shared" si="979"/>
        <v>5.0199999999999996</v>
      </c>
      <c r="N1038" s="212">
        <f>M1038*G1038</f>
        <v>0</v>
      </c>
      <c r="O1038" s="467">
        <f t="shared" si="980"/>
        <v>6.12</v>
      </c>
      <c r="P1038" s="213">
        <f>O1038*G1038</f>
        <v>0</v>
      </c>
      <c r="Q1038" s="132"/>
      <c r="R1038" s="214">
        <f t="shared" si="981"/>
        <v>490</v>
      </c>
      <c r="AK1038" s="141">
        <f t="shared" si="982"/>
        <v>489.6</v>
      </c>
    </row>
    <row r="1039" spans="1:38" s="74" customFormat="1" ht="30.6" outlineLevel="1">
      <c r="A1039" s="148" t="s">
        <v>25</v>
      </c>
      <c r="B1039" s="208" t="s">
        <v>26</v>
      </c>
      <c r="C1039" s="465" t="s">
        <v>769</v>
      </c>
      <c r="D1039" s="469"/>
      <c r="E1039" s="188">
        <v>11234541001</v>
      </c>
      <c r="F1039" s="466" t="s">
        <v>793</v>
      </c>
      <c r="G1039" s="401"/>
      <c r="H1039" s="387" t="s">
        <v>65</v>
      </c>
      <c r="I1039" s="469">
        <v>20</v>
      </c>
      <c r="J1039" s="212">
        <v>8.3699999999999992</v>
      </c>
      <c r="K1039" s="212">
        <f t="shared" si="978"/>
        <v>10.210000000000001</v>
      </c>
      <c r="L1039" s="212">
        <f>K1039*G1039</f>
        <v>0</v>
      </c>
      <c r="M1039" s="212">
        <f t="shared" si="979"/>
        <v>8.3699999999999992</v>
      </c>
      <c r="N1039" s="212">
        <f>M1039*G1039</f>
        <v>0</v>
      </c>
      <c r="O1039" s="467">
        <f t="shared" si="980"/>
        <v>10.210000000000001</v>
      </c>
      <c r="P1039" s="213">
        <f>O1039*G1039</f>
        <v>0</v>
      </c>
      <c r="Q1039" s="132"/>
      <c r="R1039" s="214">
        <f t="shared" si="981"/>
        <v>817</v>
      </c>
      <c r="AK1039" s="141">
        <f t="shared" si="982"/>
        <v>816.80000000000018</v>
      </c>
    </row>
    <row r="1040" spans="1:38" s="74" customFormat="1" ht="30.6" outlineLevel="1">
      <c r="A1040" s="148" t="s">
        <v>25</v>
      </c>
      <c r="B1040" s="208" t="s">
        <v>26</v>
      </c>
      <c r="C1040" s="465" t="s">
        <v>769</v>
      </c>
      <c r="D1040" s="469"/>
      <c r="E1040" s="188">
        <v>11234641001</v>
      </c>
      <c r="F1040" s="466" t="s">
        <v>794</v>
      </c>
      <c r="G1040" s="401"/>
      <c r="H1040" s="387" t="s">
        <v>65</v>
      </c>
      <c r="I1040" s="469">
        <v>20</v>
      </c>
      <c r="J1040" s="212">
        <v>4.92</v>
      </c>
      <c r="K1040" s="212">
        <f t="shared" si="978"/>
        <v>6</v>
      </c>
      <c r="L1040" s="212">
        <f>K1040*G1040</f>
        <v>0</v>
      </c>
      <c r="M1040" s="212">
        <f t="shared" si="979"/>
        <v>4.92</v>
      </c>
      <c r="N1040" s="212">
        <f>M1040*G1040</f>
        <v>0</v>
      </c>
      <c r="O1040" s="467">
        <f t="shared" si="980"/>
        <v>6</v>
      </c>
      <c r="P1040" s="213">
        <f>O1040*G1040</f>
        <v>0</v>
      </c>
      <c r="Q1040" s="132"/>
      <c r="R1040" s="214">
        <f t="shared" si="981"/>
        <v>480</v>
      </c>
      <c r="AK1040" s="141">
        <f t="shared" si="982"/>
        <v>480</v>
      </c>
    </row>
    <row r="1041" spans="1:38" outlineLevel="1">
      <c r="A1041" s="36"/>
      <c r="B1041" s="475"/>
      <c r="C1041" s="465"/>
      <c r="D1041" s="190"/>
      <c r="E1041" s="188"/>
      <c r="F1041" s="466"/>
      <c r="G1041" s="401"/>
      <c r="H1041" s="387"/>
      <c r="I1041" s="469"/>
      <c r="J1041" s="212"/>
      <c r="K1041" s="212"/>
      <c r="L1041" s="212"/>
      <c r="M1041" s="212"/>
      <c r="N1041" s="212"/>
      <c r="O1041" s="467"/>
      <c r="P1041" s="213"/>
      <c r="Q1041" s="132"/>
      <c r="R1041" s="222"/>
      <c r="AK1041" s="141"/>
      <c r="AL1041" s="74"/>
    </row>
    <row r="1042" spans="1:38" s="74" customFormat="1" ht="30.6" outlineLevel="1">
      <c r="A1042" s="148" t="s">
        <v>25</v>
      </c>
      <c r="B1042" s="208" t="s">
        <v>26</v>
      </c>
      <c r="C1042" s="465" t="s">
        <v>769</v>
      </c>
      <c r="D1042" s="469"/>
      <c r="E1042" s="188">
        <v>11002591001</v>
      </c>
      <c r="F1042" s="466" t="s">
        <v>795</v>
      </c>
      <c r="G1042" s="401"/>
      <c r="H1042" s="387" t="s">
        <v>65</v>
      </c>
      <c r="I1042" s="469">
        <v>10</v>
      </c>
      <c r="J1042" s="212">
        <v>4.49</v>
      </c>
      <c r="K1042" s="212">
        <f t="shared" ref="K1042:K1060" si="983">ROUND((J1042*$C$3),2)</f>
        <v>5.48</v>
      </c>
      <c r="L1042" s="212">
        <f>K1042*G1042</f>
        <v>0</v>
      </c>
      <c r="M1042" s="212">
        <f t="shared" ref="M1042:M1060" si="984">J1042*(1-$E$5-$E$7)*(1-$E$9)*(1+$E$11)</f>
        <v>4.49</v>
      </c>
      <c r="N1042" s="212">
        <f>M1042*G1042</f>
        <v>0</v>
      </c>
      <c r="O1042" s="467">
        <f t="shared" ref="O1042:O1060" si="985">ROUND((M1042*$C$3),2)</f>
        <v>5.48</v>
      </c>
      <c r="P1042" s="213">
        <f>O1042*G1042</f>
        <v>0</v>
      </c>
      <c r="Q1042" s="132"/>
      <c r="R1042" s="214">
        <f t="shared" si="981"/>
        <v>438</v>
      </c>
      <c r="AK1042" s="141">
        <f t="shared" si="982"/>
        <v>438.40000000000003</v>
      </c>
    </row>
    <row r="1043" spans="1:38" outlineLevel="1">
      <c r="A1043" s="36"/>
      <c r="B1043" s="476"/>
      <c r="C1043" s="465"/>
      <c r="D1043" s="469"/>
      <c r="E1043" s="188"/>
      <c r="F1043" s="466"/>
      <c r="G1043" s="401"/>
      <c r="H1043" s="387"/>
      <c r="I1043" s="469"/>
      <c r="J1043" s="212"/>
      <c r="K1043" s="212"/>
      <c r="L1043" s="212"/>
      <c r="M1043" s="212"/>
      <c r="N1043" s="212"/>
      <c r="O1043" s="467"/>
      <c r="P1043" s="213"/>
      <c r="Q1043" s="132"/>
      <c r="R1043" s="222"/>
      <c r="AK1043" s="141"/>
      <c r="AL1043" s="74"/>
    </row>
    <row r="1044" spans="1:38" s="74" customFormat="1" ht="30.6" outlineLevel="1">
      <c r="A1044" s="148" t="s">
        <v>25</v>
      </c>
      <c r="B1044" s="208" t="s">
        <v>26</v>
      </c>
      <c r="C1044" s="465" t="s">
        <v>769</v>
      </c>
      <c r="D1044" s="190">
        <v>11231041001</v>
      </c>
      <c r="E1044" s="188">
        <v>11231041002</v>
      </c>
      <c r="F1044" s="466" t="s">
        <v>796</v>
      </c>
      <c r="G1044" s="401"/>
      <c r="H1044" s="387" t="s">
        <v>65</v>
      </c>
      <c r="I1044" s="469">
        <v>20</v>
      </c>
      <c r="J1044" s="212">
        <v>1.73</v>
      </c>
      <c r="K1044" s="212">
        <f t="shared" si="983"/>
        <v>2.11</v>
      </c>
      <c r="L1044" s="212">
        <f t="shared" ref="L1044:L1058" si="986">K1044*G1044</f>
        <v>0</v>
      </c>
      <c r="M1044" s="212">
        <f t="shared" si="984"/>
        <v>1.73</v>
      </c>
      <c r="N1044" s="212">
        <f t="shared" ref="N1044:N1058" si="987">M1044*G1044</f>
        <v>0</v>
      </c>
      <c r="O1044" s="467">
        <f t="shared" si="985"/>
        <v>2.11</v>
      </c>
      <c r="P1044" s="213">
        <f t="shared" ref="P1044:P1058" si="988">O1044*G1044</f>
        <v>0</v>
      </c>
      <c r="Q1044" s="132"/>
      <c r="R1044" s="214">
        <f t="shared" si="981"/>
        <v>169</v>
      </c>
      <c r="AK1044" s="141">
        <f t="shared" si="982"/>
        <v>168.8</v>
      </c>
    </row>
    <row r="1045" spans="1:38" s="74" customFormat="1" ht="30.6" outlineLevel="1">
      <c r="A1045" s="148" t="s">
        <v>25</v>
      </c>
      <c r="B1045" s="208" t="s">
        <v>26</v>
      </c>
      <c r="C1045" s="465" t="s">
        <v>769</v>
      </c>
      <c r="D1045" s="469"/>
      <c r="E1045" s="188">
        <v>11240891001</v>
      </c>
      <c r="F1045" s="466" t="s">
        <v>797</v>
      </c>
      <c r="G1045" s="401"/>
      <c r="H1045" s="465" t="s">
        <v>65</v>
      </c>
      <c r="I1045" s="469">
        <v>20</v>
      </c>
      <c r="J1045" s="212">
        <v>3.07</v>
      </c>
      <c r="K1045" s="212">
        <f t="shared" si="983"/>
        <v>3.75</v>
      </c>
      <c r="L1045" s="212">
        <f t="shared" si="986"/>
        <v>0</v>
      </c>
      <c r="M1045" s="212">
        <f t="shared" si="984"/>
        <v>3.07</v>
      </c>
      <c r="N1045" s="212">
        <f t="shared" si="987"/>
        <v>0</v>
      </c>
      <c r="O1045" s="467">
        <f t="shared" si="985"/>
        <v>3.75</v>
      </c>
      <c r="P1045" s="213">
        <f t="shared" si="988"/>
        <v>0</v>
      </c>
      <c r="Q1045" s="132"/>
      <c r="R1045" s="214">
        <f t="shared" si="981"/>
        <v>300</v>
      </c>
      <c r="AK1045" s="141">
        <f t="shared" si="982"/>
        <v>300</v>
      </c>
    </row>
    <row r="1046" spans="1:38" s="74" customFormat="1" ht="30.6" outlineLevel="1">
      <c r="A1046" s="148" t="s">
        <v>25</v>
      </c>
      <c r="B1046" s="208" t="s">
        <v>26</v>
      </c>
      <c r="C1046" s="465" t="s">
        <v>769</v>
      </c>
      <c r="D1046" s="469"/>
      <c r="E1046" s="188">
        <v>11240971001</v>
      </c>
      <c r="F1046" s="466" t="s">
        <v>798</v>
      </c>
      <c r="G1046" s="401"/>
      <c r="H1046" s="465" t="s">
        <v>65</v>
      </c>
      <c r="I1046" s="469">
        <v>20</v>
      </c>
      <c r="J1046" s="212">
        <v>3.28</v>
      </c>
      <c r="K1046" s="212">
        <f t="shared" si="983"/>
        <v>4</v>
      </c>
      <c r="L1046" s="212">
        <f t="shared" si="986"/>
        <v>0</v>
      </c>
      <c r="M1046" s="212">
        <f t="shared" si="984"/>
        <v>3.28</v>
      </c>
      <c r="N1046" s="212">
        <f t="shared" si="987"/>
        <v>0</v>
      </c>
      <c r="O1046" s="467">
        <f t="shared" si="985"/>
        <v>4</v>
      </c>
      <c r="P1046" s="213">
        <f t="shared" si="988"/>
        <v>0</v>
      </c>
      <c r="Q1046" s="132"/>
      <c r="R1046" s="214">
        <f t="shared" si="981"/>
        <v>320</v>
      </c>
      <c r="AK1046" s="141">
        <f t="shared" si="982"/>
        <v>320</v>
      </c>
    </row>
    <row r="1047" spans="1:38" s="74" customFormat="1" ht="30.6" outlineLevel="1">
      <c r="A1047" s="148" t="s">
        <v>25</v>
      </c>
      <c r="B1047" s="208" t="s">
        <v>26</v>
      </c>
      <c r="C1047" s="465" t="s">
        <v>769</v>
      </c>
      <c r="D1047" s="469"/>
      <c r="E1047" s="188">
        <v>11212541001</v>
      </c>
      <c r="F1047" s="466" t="s">
        <v>799</v>
      </c>
      <c r="G1047" s="401"/>
      <c r="H1047" s="387" t="s">
        <v>65</v>
      </c>
      <c r="I1047" s="469">
        <v>20</v>
      </c>
      <c r="J1047" s="212">
        <v>2.5599999999999996</v>
      </c>
      <c r="K1047" s="212">
        <f t="shared" si="983"/>
        <v>3.12</v>
      </c>
      <c r="L1047" s="212">
        <f t="shared" si="986"/>
        <v>0</v>
      </c>
      <c r="M1047" s="212">
        <f t="shared" si="984"/>
        <v>2.5599999999999996</v>
      </c>
      <c r="N1047" s="212">
        <f t="shared" si="987"/>
        <v>0</v>
      </c>
      <c r="O1047" s="467">
        <f t="shared" si="985"/>
        <v>3.12</v>
      </c>
      <c r="P1047" s="213">
        <f t="shared" si="988"/>
        <v>0</v>
      </c>
      <c r="Q1047" s="132"/>
      <c r="R1047" s="214">
        <f t="shared" si="981"/>
        <v>250</v>
      </c>
      <c r="AK1047" s="141">
        <f t="shared" si="982"/>
        <v>249.60000000000002</v>
      </c>
    </row>
    <row r="1048" spans="1:38" s="74" customFormat="1" ht="30.6" outlineLevel="1">
      <c r="A1048" s="148" t="s">
        <v>25</v>
      </c>
      <c r="B1048" s="208" t="s">
        <v>26</v>
      </c>
      <c r="C1048" s="465" t="s">
        <v>769</v>
      </c>
      <c r="D1048" s="469"/>
      <c r="E1048" s="188">
        <v>11232841001</v>
      </c>
      <c r="F1048" s="466" t="s">
        <v>800</v>
      </c>
      <c r="G1048" s="401"/>
      <c r="H1048" s="387" t="s">
        <v>65</v>
      </c>
      <c r="I1048" s="469">
        <v>20</v>
      </c>
      <c r="J1048" s="212">
        <v>2.8299999999999996</v>
      </c>
      <c r="K1048" s="212">
        <f t="shared" si="983"/>
        <v>3.45</v>
      </c>
      <c r="L1048" s="212">
        <f t="shared" si="986"/>
        <v>0</v>
      </c>
      <c r="M1048" s="212">
        <f t="shared" si="984"/>
        <v>2.8299999999999996</v>
      </c>
      <c r="N1048" s="212">
        <f t="shared" si="987"/>
        <v>0</v>
      </c>
      <c r="O1048" s="467">
        <f t="shared" si="985"/>
        <v>3.45</v>
      </c>
      <c r="P1048" s="213">
        <f t="shared" si="988"/>
        <v>0</v>
      </c>
      <c r="Q1048" s="132"/>
      <c r="R1048" s="214">
        <f t="shared" si="981"/>
        <v>276</v>
      </c>
      <c r="AK1048" s="141">
        <f t="shared" si="982"/>
        <v>276</v>
      </c>
    </row>
    <row r="1049" spans="1:38" s="74" customFormat="1" ht="30.6" outlineLevel="1">
      <c r="A1049" s="148" t="s">
        <v>25</v>
      </c>
      <c r="B1049" s="208" t="s">
        <v>26</v>
      </c>
      <c r="C1049" s="465" t="s">
        <v>769</v>
      </c>
      <c r="D1049" s="469"/>
      <c r="E1049" s="188">
        <v>11232941001</v>
      </c>
      <c r="F1049" s="466" t="s">
        <v>801</v>
      </c>
      <c r="G1049" s="401"/>
      <c r="H1049" s="387" t="s">
        <v>65</v>
      </c>
      <c r="I1049" s="469">
        <v>20</v>
      </c>
      <c r="J1049" s="212">
        <v>8.98</v>
      </c>
      <c r="K1049" s="212">
        <f t="shared" si="983"/>
        <v>10.96</v>
      </c>
      <c r="L1049" s="212">
        <f t="shared" si="986"/>
        <v>0</v>
      </c>
      <c r="M1049" s="212">
        <f t="shared" si="984"/>
        <v>8.98</v>
      </c>
      <c r="N1049" s="212">
        <f t="shared" si="987"/>
        <v>0</v>
      </c>
      <c r="O1049" s="467">
        <f t="shared" si="985"/>
        <v>10.96</v>
      </c>
      <c r="P1049" s="213">
        <f t="shared" si="988"/>
        <v>0</v>
      </c>
      <c r="Q1049" s="132"/>
      <c r="R1049" s="214">
        <f t="shared" si="981"/>
        <v>877</v>
      </c>
      <c r="AK1049" s="141">
        <f t="shared" si="982"/>
        <v>876.80000000000007</v>
      </c>
    </row>
    <row r="1050" spans="1:38" s="74" customFormat="1" ht="30.6" outlineLevel="1">
      <c r="A1050" s="148" t="s">
        <v>25</v>
      </c>
      <c r="B1050" s="208" t="s">
        <v>26</v>
      </c>
      <c r="C1050" s="465" t="s">
        <v>769</v>
      </c>
      <c r="D1050" s="469"/>
      <c r="E1050" s="188">
        <v>11233041001</v>
      </c>
      <c r="F1050" s="466" t="s">
        <v>802</v>
      </c>
      <c r="G1050" s="401"/>
      <c r="H1050" s="387" t="s">
        <v>65</v>
      </c>
      <c r="I1050" s="469">
        <v>20</v>
      </c>
      <c r="J1050" s="212">
        <v>4.0199999999999996</v>
      </c>
      <c r="K1050" s="212">
        <f t="shared" si="983"/>
        <v>4.9000000000000004</v>
      </c>
      <c r="L1050" s="212">
        <f t="shared" si="986"/>
        <v>0</v>
      </c>
      <c r="M1050" s="212">
        <f t="shared" si="984"/>
        <v>4.0199999999999996</v>
      </c>
      <c r="N1050" s="212">
        <f t="shared" si="987"/>
        <v>0</v>
      </c>
      <c r="O1050" s="467">
        <f t="shared" si="985"/>
        <v>4.9000000000000004</v>
      </c>
      <c r="P1050" s="213">
        <f t="shared" si="988"/>
        <v>0</v>
      </c>
      <c r="Q1050" s="132"/>
      <c r="R1050" s="214">
        <f t="shared" si="981"/>
        <v>392</v>
      </c>
      <c r="AK1050" s="141">
        <f t="shared" si="982"/>
        <v>392.00000000000006</v>
      </c>
    </row>
    <row r="1051" spans="1:38" s="74" customFormat="1" ht="30.6" outlineLevel="1">
      <c r="A1051" s="148" t="s">
        <v>25</v>
      </c>
      <c r="B1051" s="208" t="s">
        <v>26</v>
      </c>
      <c r="C1051" s="465" t="s">
        <v>769</v>
      </c>
      <c r="D1051" s="469"/>
      <c r="E1051" s="188">
        <v>11213041001</v>
      </c>
      <c r="F1051" s="466" t="s">
        <v>803</v>
      </c>
      <c r="G1051" s="401"/>
      <c r="H1051" s="387" t="s">
        <v>65</v>
      </c>
      <c r="I1051" s="469">
        <v>20</v>
      </c>
      <c r="J1051" s="212">
        <v>5.81</v>
      </c>
      <c r="K1051" s="212">
        <f t="shared" si="983"/>
        <v>7.09</v>
      </c>
      <c r="L1051" s="212">
        <f t="shared" si="986"/>
        <v>0</v>
      </c>
      <c r="M1051" s="212">
        <f t="shared" si="984"/>
        <v>5.81</v>
      </c>
      <c r="N1051" s="212">
        <f t="shared" si="987"/>
        <v>0</v>
      </c>
      <c r="O1051" s="467">
        <f t="shared" si="985"/>
        <v>7.09</v>
      </c>
      <c r="P1051" s="213">
        <f t="shared" si="988"/>
        <v>0</v>
      </c>
      <c r="Q1051" s="132"/>
      <c r="R1051" s="214">
        <f t="shared" si="981"/>
        <v>567</v>
      </c>
      <c r="AK1051" s="141">
        <f t="shared" si="982"/>
        <v>567.20000000000005</v>
      </c>
    </row>
    <row r="1052" spans="1:38" s="74" customFormat="1" ht="30.6" outlineLevel="1">
      <c r="A1052" s="148" t="s">
        <v>25</v>
      </c>
      <c r="B1052" s="208" t="s">
        <v>26</v>
      </c>
      <c r="C1052" s="465" t="s">
        <v>769</v>
      </c>
      <c r="D1052" s="238">
        <v>11213241001</v>
      </c>
      <c r="E1052" s="240">
        <v>11213241002</v>
      </c>
      <c r="F1052" s="483" t="s">
        <v>804</v>
      </c>
      <c r="G1052" s="401"/>
      <c r="H1052" s="387" t="s">
        <v>65</v>
      </c>
      <c r="I1052" s="469">
        <v>20</v>
      </c>
      <c r="J1052" s="212">
        <v>6.13</v>
      </c>
      <c r="K1052" s="212">
        <f t="shared" si="983"/>
        <v>7.48</v>
      </c>
      <c r="L1052" s="212">
        <f t="shared" si="986"/>
        <v>0</v>
      </c>
      <c r="M1052" s="212">
        <f t="shared" si="984"/>
        <v>6.13</v>
      </c>
      <c r="N1052" s="212">
        <f t="shared" si="987"/>
        <v>0</v>
      </c>
      <c r="O1052" s="467">
        <f t="shared" si="985"/>
        <v>7.48</v>
      </c>
      <c r="P1052" s="213">
        <f t="shared" si="988"/>
        <v>0</v>
      </c>
      <c r="Q1052" s="132"/>
      <c r="R1052" s="214">
        <f t="shared" si="981"/>
        <v>598</v>
      </c>
      <c r="AK1052" s="141">
        <f t="shared" si="982"/>
        <v>598.4</v>
      </c>
    </row>
    <row r="1053" spans="1:38" s="74" customFormat="1" ht="30.6" outlineLevel="1">
      <c r="A1053" s="148" t="s">
        <v>25</v>
      </c>
      <c r="B1053" s="208" t="s">
        <v>26</v>
      </c>
      <c r="C1053" s="465" t="s">
        <v>769</v>
      </c>
      <c r="D1053" s="469"/>
      <c r="E1053" s="188">
        <v>11002571001</v>
      </c>
      <c r="F1053" s="466" t="s">
        <v>805</v>
      </c>
      <c r="G1053" s="401"/>
      <c r="H1053" s="387" t="s">
        <v>65</v>
      </c>
      <c r="I1053" s="469">
        <v>20</v>
      </c>
      <c r="J1053" s="212">
        <v>11.98</v>
      </c>
      <c r="K1053" s="212">
        <f t="shared" si="983"/>
        <v>14.62</v>
      </c>
      <c r="L1053" s="212">
        <f t="shared" si="986"/>
        <v>0</v>
      </c>
      <c r="M1053" s="212">
        <f t="shared" si="984"/>
        <v>11.98</v>
      </c>
      <c r="N1053" s="212">
        <f t="shared" si="987"/>
        <v>0</v>
      </c>
      <c r="O1053" s="467">
        <f t="shared" si="985"/>
        <v>14.62</v>
      </c>
      <c r="P1053" s="213">
        <f t="shared" si="988"/>
        <v>0</v>
      </c>
      <c r="Q1053" s="132"/>
      <c r="R1053" s="214">
        <f t="shared" si="981"/>
        <v>1170</v>
      </c>
      <c r="AK1053" s="141">
        <f t="shared" si="982"/>
        <v>1169.6000000000001</v>
      </c>
    </row>
    <row r="1054" spans="1:38" s="74" customFormat="1" ht="30.6" outlineLevel="1">
      <c r="A1054" s="148" t="s">
        <v>25</v>
      </c>
      <c r="B1054" s="208" t="s">
        <v>26</v>
      </c>
      <c r="C1054" s="465" t="s">
        <v>769</v>
      </c>
      <c r="D1054" s="469"/>
      <c r="E1054" s="188">
        <v>11002581001</v>
      </c>
      <c r="F1054" s="466" t="s">
        <v>806</v>
      </c>
      <c r="G1054" s="401"/>
      <c r="H1054" s="387" t="s">
        <v>65</v>
      </c>
      <c r="I1054" s="469">
        <v>20</v>
      </c>
      <c r="J1054" s="212">
        <v>11.5</v>
      </c>
      <c r="K1054" s="212">
        <f t="shared" si="983"/>
        <v>14.03</v>
      </c>
      <c r="L1054" s="212">
        <f t="shared" si="986"/>
        <v>0</v>
      </c>
      <c r="M1054" s="212">
        <f t="shared" si="984"/>
        <v>11.5</v>
      </c>
      <c r="N1054" s="212">
        <f t="shared" si="987"/>
        <v>0</v>
      </c>
      <c r="O1054" s="467">
        <f t="shared" si="985"/>
        <v>14.03</v>
      </c>
      <c r="P1054" s="213">
        <f t="shared" si="988"/>
        <v>0</v>
      </c>
      <c r="Q1054" s="132"/>
      <c r="R1054" s="214">
        <f t="shared" ref="R1054:R1074" si="989">ROUND(AK1054,0)</f>
        <v>1122</v>
      </c>
      <c r="AK1054" s="141">
        <f t="shared" ref="AK1054:AK1074" si="990">K1054*$AK$11*(1-$AK$10)</f>
        <v>1122.4000000000001</v>
      </c>
    </row>
    <row r="1055" spans="1:38" s="74" customFormat="1" ht="30.6" outlineLevel="1">
      <c r="A1055" s="148" t="s">
        <v>25</v>
      </c>
      <c r="B1055" s="208" t="s">
        <v>26</v>
      </c>
      <c r="C1055" s="465" t="s">
        <v>769</v>
      </c>
      <c r="D1055" s="469"/>
      <c r="E1055" s="188">
        <v>11229841001</v>
      </c>
      <c r="F1055" s="466" t="s">
        <v>807</v>
      </c>
      <c r="G1055" s="401"/>
      <c r="H1055" s="387" t="s">
        <v>65</v>
      </c>
      <c r="I1055" s="469">
        <v>20</v>
      </c>
      <c r="J1055" s="212">
        <v>8.66</v>
      </c>
      <c r="K1055" s="212">
        <f t="shared" si="983"/>
        <v>10.57</v>
      </c>
      <c r="L1055" s="212">
        <f t="shared" si="986"/>
        <v>0</v>
      </c>
      <c r="M1055" s="212">
        <f t="shared" si="984"/>
        <v>8.66</v>
      </c>
      <c r="N1055" s="212">
        <f t="shared" si="987"/>
        <v>0</v>
      </c>
      <c r="O1055" s="467">
        <f t="shared" si="985"/>
        <v>10.57</v>
      </c>
      <c r="P1055" s="213">
        <f t="shared" si="988"/>
        <v>0</v>
      </c>
      <c r="Q1055" s="132"/>
      <c r="R1055" s="214">
        <f t="shared" si="989"/>
        <v>846</v>
      </c>
      <c r="AK1055" s="141">
        <f t="shared" si="990"/>
        <v>845.6</v>
      </c>
    </row>
    <row r="1056" spans="1:38" s="74" customFormat="1" ht="30.6" outlineLevel="1">
      <c r="A1056" s="148" t="s">
        <v>25</v>
      </c>
      <c r="B1056" s="208" t="s">
        <v>26</v>
      </c>
      <c r="C1056" s="465" t="s">
        <v>769</v>
      </c>
      <c r="D1056" s="469"/>
      <c r="E1056" s="188">
        <v>11240371001</v>
      </c>
      <c r="F1056" s="466" t="s">
        <v>808</v>
      </c>
      <c r="G1056" s="401"/>
      <c r="H1056" s="387" t="s">
        <v>65</v>
      </c>
      <c r="I1056" s="469">
        <v>10</v>
      </c>
      <c r="J1056" s="212">
        <v>31.470000000000002</v>
      </c>
      <c r="K1056" s="212">
        <f t="shared" si="983"/>
        <v>38.39</v>
      </c>
      <c r="L1056" s="212">
        <f t="shared" si="986"/>
        <v>0</v>
      </c>
      <c r="M1056" s="212">
        <f t="shared" si="984"/>
        <v>31.470000000000002</v>
      </c>
      <c r="N1056" s="212">
        <f t="shared" si="987"/>
        <v>0</v>
      </c>
      <c r="O1056" s="467">
        <f t="shared" si="985"/>
        <v>38.39</v>
      </c>
      <c r="P1056" s="213">
        <f t="shared" si="988"/>
        <v>0</v>
      </c>
      <c r="Q1056" s="132"/>
      <c r="R1056" s="214">
        <f t="shared" si="989"/>
        <v>3071</v>
      </c>
      <c r="AK1056" s="141">
        <f t="shared" si="990"/>
        <v>3071.2000000000003</v>
      </c>
    </row>
    <row r="1057" spans="1:38" s="74" customFormat="1" ht="30.6" outlineLevel="1">
      <c r="A1057" s="148" t="s">
        <v>25</v>
      </c>
      <c r="B1057" s="208" t="s">
        <v>26</v>
      </c>
      <c r="C1057" s="465" t="s">
        <v>769</v>
      </c>
      <c r="D1057" s="469">
        <v>121744</v>
      </c>
      <c r="E1057" s="188">
        <v>11240691001</v>
      </c>
      <c r="F1057" s="466" t="s">
        <v>809</v>
      </c>
      <c r="G1057" s="401"/>
      <c r="H1057" s="387" t="s">
        <v>65</v>
      </c>
      <c r="I1057" s="469">
        <v>10</v>
      </c>
      <c r="J1057" s="212">
        <v>12.08</v>
      </c>
      <c r="K1057" s="212">
        <f t="shared" si="983"/>
        <v>14.74</v>
      </c>
      <c r="L1057" s="212">
        <f t="shared" si="986"/>
        <v>0</v>
      </c>
      <c r="M1057" s="212">
        <f t="shared" si="984"/>
        <v>12.08</v>
      </c>
      <c r="N1057" s="212">
        <f t="shared" si="987"/>
        <v>0</v>
      </c>
      <c r="O1057" s="467">
        <f t="shared" si="985"/>
        <v>14.74</v>
      </c>
      <c r="P1057" s="213">
        <f t="shared" si="988"/>
        <v>0</v>
      </c>
      <c r="Q1057" s="132"/>
      <c r="R1057" s="214">
        <f t="shared" si="989"/>
        <v>1179</v>
      </c>
      <c r="AK1057" s="141">
        <f t="shared" si="990"/>
        <v>1179.2</v>
      </c>
    </row>
    <row r="1058" spans="1:38" s="74" customFormat="1" ht="30.6" outlineLevel="1">
      <c r="A1058" s="148" t="s">
        <v>25</v>
      </c>
      <c r="B1058" s="208" t="s">
        <v>26</v>
      </c>
      <c r="C1058" s="465" t="s">
        <v>769</v>
      </c>
      <c r="D1058" s="469"/>
      <c r="E1058" s="188">
        <v>11240381001</v>
      </c>
      <c r="F1058" s="466" t="s">
        <v>810</v>
      </c>
      <c r="G1058" s="401"/>
      <c r="H1058" s="387" t="s">
        <v>65</v>
      </c>
      <c r="I1058" s="469">
        <v>10</v>
      </c>
      <c r="J1058" s="212">
        <v>23.970000000000002</v>
      </c>
      <c r="K1058" s="212">
        <f t="shared" si="983"/>
        <v>29.24</v>
      </c>
      <c r="L1058" s="212">
        <f t="shared" si="986"/>
        <v>0</v>
      </c>
      <c r="M1058" s="212">
        <f t="shared" si="984"/>
        <v>23.970000000000002</v>
      </c>
      <c r="N1058" s="212">
        <f t="shared" si="987"/>
        <v>0</v>
      </c>
      <c r="O1058" s="467">
        <f t="shared" si="985"/>
        <v>29.24</v>
      </c>
      <c r="P1058" s="213">
        <f t="shared" si="988"/>
        <v>0</v>
      </c>
      <c r="Q1058" s="132"/>
      <c r="R1058" s="214">
        <f t="shared" si="989"/>
        <v>2339</v>
      </c>
      <c r="AK1058" s="141">
        <f t="shared" si="990"/>
        <v>2339.2000000000003</v>
      </c>
    </row>
    <row r="1059" spans="1:38" outlineLevel="1">
      <c r="A1059" s="36"/>
      <c r="B1059" s="457"/>
      <c r="C1059" s="465"/>
      <c r="D1059" s="238"/>
      <c r="E1059" s="240"/>
      <c r="F1059" s="483"/>
      <c r="G1059" s="401"/>
      <c r="H1059" s="387"/>
      <c r="I1059" s="469"/>
      <c r="J1059" s="212"/>
      <c r="K1059" s="212"/>
      <c r="L1059" s="212"/>
      <c r="M1059" s="212"/>
      <c r="N1059" s="212"/>
      <c r="O1059" s="467"/>
      <c r="P1059" s="213"/>
      <c r="Q1059" s="132"/>
      <c r="R1059" s="222"/>
      <c r="AK1059" s="141"/>
    </row>
    <row r="1060" spans="1:38" s="74" customFormat="1" ht="30.6" outlineLevel="1">
      <c r="A1060" s="148" t="s">
        <v>25</v>
      </c>
      <c r="B1060" s="208" t="s">
        <v>26</v>
      </c>
      <c r="C1060" s="465" t="s">
        <v>769</v>
      </c>
      <c r="D1060" s="190">
        <v>11009291001</v>
      </c>
      <c r="E1060" s="188">
        <v>11009291002</v>
      </c>
      <c r="F1060" s="466" t="s">
        <v>811</v>
      </c>
      <c r="G1060" s="401"/>
      <c r="H1060" s="387" t="s">
        <v>65</v>
      </c>
      <c r="I1060" s="469">
        <v>10</v>
      </c>
      <c r="J1060" s="212">
        <v>45.93</v>
      </c>
      <c r="K1060" s="212">
        <f t="shared" si="983"/>
        <v>56.03</v>
      </c>
      <c r="L1060" s="212">
        <f>K1060*G1060</f>
        <v>0</v>
      </c>
      <c r="M1060" s="212">
        <f t="shared" si="984"/>
        <v>45.93</v>
      </c>
      <c r="N1060" s="212">
        <f>M1060*G1060</f>
        <v>0</v>
      </c>
      <c r="O1060" s="467">
        <f t="shared" si="985"/>
        <v>56.03</v>
      </c>
      <c r="P1060" s="213">
        <f>O1060*G1060</f>
        <v>0</v>
      </c>
      <c r="Q1060" s="132"/>
      <c r="R1060" s="214">
        <f t="shared" si="989"/>
        <v>4482</v>
      </c>
      <c r="AK1060" s="141">
        <f t="shared" si="990"/>
        <v>4482.4000000000005</v>
      </c>
    </row>
    <row r="1061" spans="1:38" outlineLevel="1">
      <c r="A1061" s="36"/>
      <c r="B1061" s="475"/>
      <c r="C1061" s="465"/>
      <c r="D1061" s="469"/>
      <c r="E1061" s="188"/>
      <c r="F1061" s="466"/>
      <c r="G1061" s="401"/>
      <c r="H1061" s="387"/>
      <c r="I1061" s="469"/>
      <c r="J1061" s="212"/>
      <c r="K1061" s="212"/>
      <c r="L1061" s="212"/>
      <c r="M1061" s="212"/>
      <c r="N1061" s="212"/>
      <c r="O1061" s="467"/>
      <c r="P1061" s="213"/>
      <c r="Q1061" s="132"/>
      <c r="R1061" s="222"/>
      <c r="AK1061" s="141"/>
      <c r="AL1061" s="74"/>
    </row>
    <row r="1062" spans="1:38" s="74" customFormat="1" ht="30.6" outlineLevel="1">
      <c r="A1062" s="148" t="s">
        <v>25</v>
      </c>
      <c r="B1062" s="208" t="s">
        <v>26</v>
      </c>
      <c r="C1062" s="465" t="s">
        <v>769</v>
      </c>
      <c r="D1062" s="469"/>
      <c r="E1062" s="188">
        <v>11237141001</v>
      </c>
      <c r="F1062" s="466" t="s">
        <v>812</v>
      </c>
      <c r="G1062" s="401"/>
      <c r="H1062" s="387" t="s">
        <v>65</v>
      </c>
      <c r="I1062" s="469">
        <v>10</v>
      </c>
      <c r="J1062" s="212">
        <v>9.31</v>
      </c>
      <c r="K1062" s="212">
        <f t="shared" ref="K1062:K1087" si="991">ROUND((J1062*$C$3),2)</f>
        <v>11.36</v>
      </c>
      <c r="L1062" s="212">
        <f>K1062*G1062</f>
        <v>0</v>
      </c>
      <c r="M1062" s="212">
        <f t="shared" ref="M1062:M1087" si="992">J1062*(1-$E$5-$E$7)*(1-$E$9)*(1+$E$11)</f>
        <v>9.31</v>
      </c>
      <c r="N1062" s="212">
        <f>M1062*G1062</f>
        <v>0</v>
      </c>
      <c r="O1062" s="467">
        <f t="shared" ref="O1062:O1087" si="993">ROUND((M1062*$C$3),2)</f>
        <v>11.36</v>
      </c>
      <c r="P1062" s="213">
        <f>O1062*G1062</f>
        <v>0</v>
      </c>
      <c r="Q1062" s="132"/>
      <c r="R1062" s="214">
        <f t="shared" si="989"/>
        <v>909</v>
      </c>
      <c r="AK1062" s="141">
        <f t="shared" si="990"/>
        <v>908.80000000000007</v>
      </c>
    </row>
    <row r="1063" spans="1:38" outlineLevel="1">
      <c r="A1063" s="36"/>
      <c r="B1063" s="484"/>
      <c r="C1063" s="465"/>
      <c r="D1063" s="469"/>
      <c r="E1063" s="188"/>
      <c r="F1063" s="466"/>
      <c r="G1063" s="401"/>
      <c r="H1063" s="387"/>
      <c r="I1063" s="469"/>
      <c r="J1063" s="212"/>
      <c r="K1063" s="212"/>
      <c r="L1063" s="212"/>
      <c r="M1063" s="212"/>
      <c r="N1063" s="212"/>
      <c r="O1063" s="467"/>
      <c r="P1063" s="213"/>
      <c r="Q1063" s="132"/>
      <c r="R1063" s="222"/>
      <c r="AK1063" s="141"/>
      <c r="AL1063" s="74"/>
    </row>
    <row r="1064" spans="1:38" s="74" customFormat="1" ht="30.6" outlineLevel="1">
      <c r="A1064" s="148" t="s">
        <v>25</v>
      </c>
      <c r="B1064" s="208" t="s">
        <v>26</v>
      </c>
      <c r="C1064" s="465" t="s">
        <v>769</v>
      </c>
      <c r="D1064" s="469"/>
      <c r="E1064" s="188">
        <v>11229641001</v>
      </c>
      <c r="F1064" s="466" t="s">
        <v>813</v>
      </c>
      <c r="G1064" s="401"/>
      <c r="H1064" s="387" t="s">
        <v>65</v>
      </c>
      <c r="I1064" s="469">
        <v>10</v>
      </c>
      <c r="J1064" s="212">
        <v>14.06</v>
      </c>
      <c r="K1064" s="212">
        <f t="shared" si="991"/>
        <v>17.149999999999999</v>
      </c>
      <c r="L1064" s="212">
        <f>K1064*G1064</f>
        <v>0</v>
      </c>
      <c r="M1064" s="212">
        <f t="shared" si="992"/>
        <v>14.06</v>
      </c>
      <c r="N1064" s="212">
        <f>M1064*G1064</f>
        <v>0</v>
      </c>
      <c r="O1064" s="467">
        <f t="shared" si="993"/>
        <v>17.149999999999999</v>
      </c>
      <c r="P1064" s="213">
        <f>O1064*G1064</f>
        <v>0</v>
      </c>
      <c r="Q1064" s="132"/>
      <c r="R1064" s="214">
        <f t="shared" si="989"/>
        <v>1372</v>
      </c>
      <c r="AK1064" s="141">
        <f t="shared" si="990"/>
        <v>1372</v>
      </c>
    </row>
    <row r="1065" spans="1:38" s="74" customFormat="1" ht="30.6" outlineLevel="1">
      <c r="A1065" s="148" t="s">
        <v>25</v>
      </c>
      <c r="B1065" s="208" t="s">
        <v>26</v>
      </c>
      <c r="C1065" s="465" t="s">
        <v>769</v>
      </c>
      <c r="D1065" s="469"/>
      <c r="E1065" s="188">
        <v>11215541001</v>
      </c>
      <c r="F1065" s="466" t="s">
        <v>814</v>
      </c>
      <c r="G1065" s="401"/>
      <c r="H1065" s="387" t="s">
        <v>65</v>
      </c>
      <c r="I1065" s="469">
        <v>20</v>
      </c>
      <c r="J1065" s="212">
        <v>10.15</v>
      </c>
      <c r="K1065" s="212">
        <f t="shared" si="991"/>
        <v>12.38</v>
      </c>
      <c r="L1065" s="212">
        <f>K1065*G1065</f>
        <v>0</v>
      </c>
      <c r="M1065" s="212">
        <f t="shared" si="992"/>
        <v>10.15</v>
      </c>
      <c r="N1065" s="212">
        <f>M1065*G1065</f>
        <v>0</v>
      </c>
      <c r="O1065" s="467">
        <f t="shared" si="993"/>
        <v>12.38</v>
      </c>
      <c r="P1065" s="213">
        <f>O1065*G1065</f>
        <v>0</v>
      </c>
      <c r="Q1065" s="132"/>
      <c r="R1065" s="214">
        <f t="shared" si="989"/>
        <v>990</v>
      </c>
      <c r="AK1065" s="141">
        <f t="shared" si="990"/>
        <v>990.40000000000009</v>
      </c>
      <c r="AL1065"/>
    </row>
    <row r="1066" spans="1:38" outlineLevel="1">
      <c r="A1066" s="36"/>
      <c r="B1066" s="484"/>
      <c r="C1066" s="465"/>
      <c r="D1066" s="469"/>
      <c r="E1066" s="188"/>
      <c r="F1066" s="466"/>
      <c r="G1066" s="401"/>
      <c r="H1066" s="387"/>
      <c r="I1066" s="469"/>
      <c r="J1066" s="212"/>
      <c r="K1066" s="212"/>
      <c r="L1066" s="212"/>
      <c r="M1066" s="212"/>
      <c r="N1066" s="212"/>
      <c r="O1066" s="467"/>
      <c r="P1066" s="213"/>
      <c r="Q1066" s="132"/>
      <c r="R1066" s="222"/>
      <c r="AK1066" s="141"/>
      <c r="AL1066" s="74"/>
    </row>
    <row r="1067" spans="1:38" s="74" customFormat="1" ht="30.6" outlineLevel="1">
      <c r="A1067" s="148" t="s">
        <v>25</v>
      </c>
      <c r="B1067" s="208" t="s">
        <v>26</v>
      </c>
      <c r="C1067" s="465" t="s">
        <v>769</v>
      </c>
      <c r="D1067" s="209"/>
      <c r="E1067" s="188">
        <v>11215641003</v>
      </c>
      <c r="F1067" s="466" t="s">
        <v>815</v>
      </c>
      <c r="G1067" s="401"/>
      <c r="H1067" s="387" t="s">
        <v>65</v>
      </c>
      <c r="I1067" s="469">
        <v>20</v>
      </c>
      <c r="J1067" s="212">
        <v>22.330000000000002</v>
      </c>
      <c r="K1067" s="212">
        <f t="shared" si="991"/>
        <v>27.24</v>
      </c>
      <c r="L1067" s="212">
        <f>K1067*G1067</f>
        <v>0</v>
      </c>
      <c r="M1067" s="212">
        <f t="shared" si="992"/>
        <v>22.330000000000002</v>
      </c>
      <c r="N1067" s="212">
        <f>M1067*G1067</f>
        <v>0</v>
      </c>
      <c r="O1067" s="467">
        <f t="shared" si="993"/>
        <v>27.24</v>
      </c>
      <c r="P1067" s="213">
        <f>O1067*G1067</f>
        <v>0</v>
      </c>
      <c r="Q1067" s="132"/>
      <c r="R1067" s="214">
        <f t="shared" si="989"/>
        <v>2179</v>
      </c>
      <c r="AK1067" s="141">
        <f t="shared" si="990"/>
        <v>2179.2000000000003</v>
      </c>
    </row>
    <row r="1068" spans="1:38" outlineLevel="1">
      <c r="A1068" s="36"/>
      <c r="B1068" s="457"/>
      <c r="C1068" s="477"/>
      <c r="D1068" s="216"/>
      <c r="E1068" s="217"/>
      <c r="F1068" s="479"/>
      <c r="G1068" s="401"/>
      <c r="H1068" s="480"/>
      <c r="I1068" s="478"/>
      <c r="J1068" s="220"/>
      <c r="K1068" s="220"/>
      <c r="L1068" s="220"/>
      <c r="M1068" s="220"/>
      <c r="N1068" s="220"/>
      <c r="O1068" s="481"/>
      <c r="P1068" s="221"/>
      <c r="Q1068" s="132"/>
      <c r="R1068" s="222"/>
      <c r="AK1068" s="141"/>
    </row>
    <row r="1069" spans="1:38" s="74" customFormat="1" ht="30.6" outlineLevel="1">
      <c r="A1069" s="148" t="s">
        <v>25</v>
      </c>
      <c r="B1069" s="208" t="s">
        <v>26</v>
      </c>
      <c r="C1069" s="465" t="s">
        <v>769</v>
      </c>
      <c r="D1069" s="190">
        <v>11231241001</v>
      </c>
      <c r="E1069" s="188">
        <v>11231241002</v>
      </c>
      <c r="F1069" s="466" t="s">
        <v>816</v>
      </c>
      <c r="G1069" s="401"/>
      <c r="H1069" s="387" t="s">
        <v>65</v>
      </c>
      <c r="I1069" s="469">
        <v>20</v>
      </c>
      <c r="J1069" s="212">
        <v>1.45</v>
      </c>
      <c r="K1069" s="212">
        <f t="shared" si="991"/>
        <v>1.77</v>
      </c>
      <c r="L1069" s="212">
        <f t="shared" ref="L1069:L1074" si="994">K1069*G1069</f>
        <v>0</v>
      </c>
      <c r="M1069" s="212">
        <f t="shared" si="992"/>
        <v>1.45</v>
      </c>
      <c r="N1069" s="212">
        <f t="shared" ref="N1069:N1074" si="995">M1069*G1069</f>
        <v>0</v>
      </c>
      <c r="O1069" s="467">
        <f t="shared" si="993"/>
        <v>1.77</v>
      </c>
      <c r="P1069" s="213">
        <f t="shared" ref="P1069:P1074" si="996">O1069*G1069</f>
        <v>0</v>
      </c>
      <c r="Q1069" s="132"/>
      <c r="R1069" s="214">
        <f t="shared" si="989"/>
        <v>142</v>
      </c>
      <c r="AK1069" s="141">
        <f t="shared" si="990"/>
        <v>141.6</v>
      </c>
    </row>
    <row r="1070" spans="1:38" s="74" customFormat="1" ht="30.6" outlineLevel="1">
      <c r="A1070" s="148" t="s">
        <v>25</v>
      </c>
      <c r="B1070" s="208" t="s">
        <v>26</v>
      </c>
      <c r="C1070" s="465" t="s">
        <v>769</v>
      </c>
      <c r="D1070" s="469"/>
      <c r="E1070" s="188">
        <v>11233141001</v>
      </c>
      <c r="F1070" s="466" t="s">
        <v>817</v>
      </c>
      <c r="G1070" s="401"/>
      <c r="H1070" s="387" t="s">
        <v>65</v>
      </c>
      <c r="I1070" s="469">
        <v>20</v>
      </c>
      <c r="J1070" s="212">
        <v>2.6999999999999997</v>
      </c>
      <c r="K1070" s="212">
        <f t="shared" si="991"/>
        <v>3.29</v>
      </c>
      <c r="L1070" s="212">
        <f t="shared" si="994"/>
        <v>0</v>
      </c>
      <c r="M1070" s="212">
        <f t="shared" si="992"/>
        <v>2.6999999999999997</v>
      </c>
      <c r="N1070" s="212">
        <f t="shared" si="995"/>
        <v>0</v>
      </c>
      <c r="O1070" s="467">
        <f t="shared" si="993"/>
        <v>3.29</v>
      </c>
      <c r="P1070" s="213">
        <f t="shared" si="996"/>
        <v>0</v>
      </c>
      <c r="Q1070" s="132"/>
      <c r="R1070" s="214">
        <f t="shared" si="989"/>
        <v>263</v>
      </c>
      <c r="AK1070" s="141">
        <f t="shared" si="990"/>
        <v>263.2</v>
      </c>
    </row>
    <row r="1071" spans="1:38" s="74" customFormat="1" ht="30.6" outlineLevel="1">
      <c r="A1071" s="148" t="s">
        <v>25</v>
      </c>
      <c r="B1071" s="208" t="s">
        <v>26</v>
      </c>
      <c r="C1071" s="465" t="s">
        <v>769</v>
      </c>
      <c r="D1071" s="238">
        <v>11213941001</v>
      </c>
      <c r="E1071" s="240">
        <v>11213941002</v>
      </c>
      <c r="F1071" s="483" t="s">
        <v>818</v>
      </c>
      <c r="G1071" s="401"/>
      <c r="H1071" s="387" t="s">
        <v>65</v>
      </c>
      <c r="I1071" s="469">
        <v>20</v>
      </c>
      <c r="J1071" s="212">
        <v>3.01</v>
      </c>
      <c r="K1071" s="212">
        <f t="shared" si="991"/>
        <v>3.67</v>
      </c>
      <c r="L1071" s="212">
        <f t="shared" si="994"/>
        <v>0</v>
      </c>
      <c r="M1071" s="212">
        <f t="shared" si="992"/>
        <v>3.01</v>
      </c>
      <c r="N1071" s="212">
        <f t="shared" si="995"/>
        <v>0</v>
      </c>
      <c r="O1071" s="467">
        <f t="shared" si="993"/>
        <v>3.67</v>
      </c>
      <c r="P1071" s="213">
        <f t="shared" si="996"/>
        <v>0</v>
      </c>
      <c r="Q1071" s="132"/>
      <c r="R1071" s="214">
        <f t="shared" si="989"/>
        <v>294</v>
      </c>
      <c r="AK1071" s="141">
        <f t="shared" si="990"/>
        <v>293.60000000000002</v>
      </c>
    </row>
    <row r="1072" spans="1:38" s="74" customFormat="1" ht="30.6" outlineLevel="1">
      <c r="A1072" s="148" t="s">
        <v>25</v>
      </c>
      <c r="B1072" s="208" t="s">
        <v>26</v>
      </c>
      <c r="C1072" s="465" t="s">
        <v>769</v>
      </c>
      <c r="D1072" s="190">
        <v>11214041001</v>
      </c>
      <c r="E1072" s="188">
        <v>11214041002</v>
      </c>
      <c r="F1072" s="466" t="s">
        <v>819</v>
      </c>
      <c r="G1072" s="401"/>
      <c r="H1072" s="387" t="s">
        <v>65</v>
      </c>
      <c r="I1072" s="469">
        <v>20</v>
      </c>
      <c r="J1072" s="212">
        <v>6.37</v>
      </c>
      <c r="K1072" s="212">
        <f t="shared" si="991"/>
        <v>7.77</v>
      </c>
      <c r="L1072" s="212">
        <f t="shared" si="994"/>
        <v>0</v>
      </c>
      <c r="M1072" s="212">
        <f t="shared" si="992"/>
        <v>6.37</v>
      </c>
      <c r="N1072" s="212">
        <f t="shared" si="995"/>
        <v>0</v>
      </c>
      <c r="O1072" s="467">
        <f t="shared" si="993"/>
        <v>7.77</v>
      </c>
      <c r="P1072" s="213">
        <f t="shared" si="996"/>
        <v>0</v>
      </c>
      <c r="Q1072" s="132"/>
      <c r="R1072" s="214">
        <f t="shared" si="989"/>
        <v>622</v>
      </c>
      <c r="AK1072" s="141">
        <f t="shared" si="990"/>
        <v>621.6</v>
      </c>
    </row>
    <row r="1073" spans="1:38" s="74" customFormat="1" ht="30.6" outlineLevel="1">
      <c r="A1073" s="148" t="s">
        <v>25</v>
      </c>
      <c r="B1073" s="208" t="s">
        <v>26</v>
      </c>
      <c r="C1073" s="465" t="s">
        <v>769</v>
      </c>
      <c r="D1073" s="469"/>
      <c r="E1073" s="188">
        <v>11219941001</v>
      </c>
      <c r="F1073" s="466" t="s">
        <v>820</v>
      </c>
      <c r="G1073" s="401"/>
      <c r="H1073" s="387" t="s">
        <v>65</v>
      </c>
      <c r="I1073" s="469">
        <v>20</v>
      </c>
      <c r="J1073" s="212">
        <v>2.75</v>
      </c>
      <c r="K1073" s="212">
        <f t="shared" si="991"/>
        <v>3.36</v>
      </c>
      <c r="L1073" s="212">
        <f t="shared" si="994"/>
        <v>0</v>
      </c>
      <c r="M1073" s="212">
        <f t="shared" si="992"/>
        <v>2.75</v>
      </c>
      <c r="N1073" s="212">
        <f t="shared" si="995"/>
        <v>0</v>
      </c>
      <c r="O1073" s="467">
        <f t="shared" si="993"/>
        <v>3.36</v>
      </c>
      <c r="P1073" s="213">
        <f t="shared" si="996"/>
        <v>0</v>
      </c>
      <c r="Q1073" s="132"/>
      <c r="R1073" s="214">
        <f t="shared" si="989"/>
        <v>269</v>
      </c>
      <c r="AK1073" s="141">
        <f t="shared" si="990"/>
        <v>268.8</v>
      </c>
    </row>
    <row r="1074" spans="1:38" s="74" customFormat="1" ht="30.6" outlineLevel="1">
      <c r="A1074" s="148" t="s">
        <v>25</v>
      </c>
      <c r="B1074" s="208" t="s">
        <v>26</v>
      </c>
      <c r="C1074" s="465" t="s">
        <v>769</v>
      </c>
      <c r="D1074" s="469"/>
      <c r="E1074" s="188">
        <v>11240391001</v>
      </c>
      <c r="F1074" s="466" t="s">
        <v>821</v>
      </c>
      <c r="G1074" s="401"/>
      <c r="H1074" s="387" t="s">
        <v>65</v>
      </c>
      <c r="I1074" s="469">
        <v>20</v>
      </c>
      <c r="J1074" s="212">
        <v>16.12</v>
      </c>
      <c r="K1074" s="212">
        <f t="shared" si="991"/>
        <v>19.670000000000002</v>
      </c>
      <c r="L1074" s="212">
        <f t="shared" si="994"/>
        <v>0</v>
      </c>
      <c r="M1074" s="212">
        <f t="shared" si="992"/>
        <v>16.12</v>
      </c>
      <c r="N1074" s="212">
        <f t="shared" si="995"/>
        <v>0</v>
      </c>
      <c r="O1074" s="467">
        <f t="shared" si="993"/>
        <v>19.670000000000002</v>
      </c>
      <c r="P1074" s="213">
        <f t="shared" si="996"/>
        <v>0</v>
      </c>
      <c r="Q1074" s="132"/>
      <c r="R1074" s="214">
        <f t="shared" si="989"/>
        <v>1574</v>
      </c>
      <c r="AK1074" s="141">
        <f t="shared" si="990"/>
        <v>1573.6000000000004</v>
      </c>
      <c r="AL1074"/>
    </row>
    <row r="1075" spans="1:38" outlineLevel="1">
      <c r="A1075" s="36"/>
      <c r="B1075" s="457"/>
      <c r="C1075" s="465"/>
      <c r="D1075" s="190"/>
      <c r="E1075" s="188"/>
      <c r="F1075" s="466"/>
      <c r="G1075" s="401"/>
      <c r="H1075" s="387"/>
      <c r="I1075" s="469"/>
      <c r="J1075" s="212"/>
      <c r="K1075" s="212"/>
      <c r="L1075" s="212"/>
      <c r="M1075" s="212"/>
      <c r="N1075" s="212"/>
      <c r="O1075" s="467"/>
      <c r="P1075" s="213"/>
      <c r="Q1075" s="132"/>
      <c r="R1075" s="222"/>
      <c r="AK1075" s="141"/>
      <c r="AL1075" s="74"/>
    </row>
    <row r="1076" spans="1:38" s="74" customFormat="1" ht="30.6" outlineLevel="1">
      <c r="A1076" s="148" t="s">
        <v>25</v>
      </c>
      <c r="B1076" s="208" t="s">
        <v>26</v>
      </c>
      <c r="C1076" s="465" t="s">
        <v>769</v>
      </c>
      <c r="D1076" s="190"/>
      <c r="E1076" s="188">
        <v>11200871001</v>
      </c>
      <c r="F1076" s="466" t="s">
        <v>822</v>
      </c>
      <c r="G1076" s="401"/>
      <c r="H1076" s="387" t="s">
        <v>65</v>
      </c>
      <c r="I1076" s="469">
        <v>20</v>
      </c>
      <c r="J1076" s="212">
        <v>3.4699999999999998</v>
      </c>
      <c r="K1076" s="212">
        <f t="shared" si="991"/>
        <v>4.2300000000000004</v>
      </c>
      <c r="L1076" s="212">
        <f>K1076*G1076</f>
        <v>0</v>
      </c>
      <c r="M1076" s="212">
        <f t="shared" si="992"/>
        <v>3.4699999999999998</v>
      </c>
      <c r="N1076" s="212">
        <f>M1076*G1076</f>
        <v>0</v>
      </c>
      <c r="O1076" s="467">
        <f t="shared" si="993"/>
        <v>4.2300000000000004</v>
      </c>
      <c r="P1076" s="213">
        <f>O1076*G1076</f>
        <v>0</v>
      </c>
      <c r="Q1076" s="132"/>
      <c r="R1076" s="214">
        <f t="shared" ref="R1076:R1105" si="997">ROUND(AK1076,0)</f>
        <v>338</v>
      </c>
      <c r="AK1076" s="141">
        <f t="shared" ref="AK1076:AK1105" si="998">K1076*$AK$11*(1-$AK$10)</f>
        <v>338.40000000000009</v>
      </c>
    </row>
    <row r="1077" spans="1:38" outlineLevel="1">
      <c r="A1077" s="36"/>
      <c r="B1077" s="457"/>
      <c r="C1077" s="465"/>
      <c r="D1077" s="190"/>
      <c r="E1077" s="188"/>
      <c r="F1077" s="466"/>
      <c r="G1077" s="401"/>
      <c r="H1077" s="387"/>
      <c r="I1077" s="469"/>
      <c r="J1077" s="212"/>
      <c r="K1077" s="212"/>
      <c r="L1077" s="212"/>
      <c r="M1077" s="212"/>
      <c r="N1077" s="212"/>
      <c r="O1077" s="467"/>
      <c r="P1077" s="213"/>
      <c r="Q1077" s="132"/>
      <c r="R1077" s="222"/>
      <c r="AK1077" s="141"/>
      <c r="AL1077" s="74"/>
    </row>
    <row r="1078" spans="1:38" s="74" customFormat="1" ht="30.6" outlineLevel="1">
      <c r="A1078" s="148" t="s">
        <v>25</v>
      </c>
      <c r="B1078" s="208" t="s">
        <v>26</v>
      </c>
      <c r="C1078" s="465" t="s">
        <v>769</v>
      </c>
      <c r="D1078" s="469"/>
      <c r="E1078" s="188">
        <v>11239141001</v>
      </c>
      <c r="F1078" s="466" t="s">
        <v>823</v>
      </c>
      <c r="G1078" s="401"/>
      <c r="H1078" s="387" t="s">
        <v>65</v>
      </c>
      <c r="I1078" s="469">
        <v>1</v>
      </c>
      <c r="J1078" s="212">
        <v>38.519999999999996</v>
      </c>
      <c r="K1078" s="212">
        <f t="shared" si="991"/>
        <v>46.99</v>
      </c>
      <c r="L1078" s="212">
        <f>K1078*G1078</f>
        <v>0</v>
      </c>
      <c r="M1078" s="212">
        <f t="shared" si="992"/>
        <v>38.519999999999996</v>
      </c>
      <c r="N1078" s="212">
        <f>M1078*G1078</f>
        <v>0</v>
      </c>
      <c r="O1078" s="467">
        <f t="shared" si="993"/>
        <v>46.99</v>
      </c>
      <c r="P1078" s="213">
        <f>O1078*G1078</f>
        <v>0</v>
      </c>
      <c r="Q1078" s="132"/>
      <c r="R1078" s="214">
        <f t="shared" si="997"/>
        <v>3759</v>
      </c>
      <c r="AK1078" s="141">
        <f t="shared" si="998"/>
        <v>3759.2000000000003</v>
      </c>
    </row>
    <row r="1079" spans="1:38" outlineLevel="1">
      <c r="A1079" s="36"/>
      <c r="B1079" s="457"/>
      <c r="C1079" s="465"/>
      <c r="D1079" s="469"/>
      <c r="E1079" s="188"/>
      <c r="F1079" s="466"/>
      <c r="G1079" s="401"/>
      <c r="H1079" s="387"/>
      <c r="I1079" s="469"/>
      <c r="J1079" s="212"/>
      <c r="K1079" s="212"/>
      <c r="L1079" s="212"/>
      <c r="M1079" s="212"/>
      <c r="N1079" s="212"/>
      <c r="O1079" s="467"/>
      <c r="P1079" s="213"/>
      <c r="Q1079" s="132"/>
      <c r="R1079" s="222"/>
      <c r="AK1079" s="141"/>
      <c r="AL1079" s="74"/>
    </row>
    <row r="1080" spans="1:38" s="74" customFormat="1" ht="30.6" outlineLevel="1">
      <c r="A1080" s="148" t="s">
        <v>25</v>
      </c>
      <c r="B1080" s="208" t="s">
        <v>26</v>
      </c>
      <c r="C1080" s="465" t="s">
        <v>769</v>
      </c>
      <c r="D1080" s="469"/>
      <c r="E1080" s="188">
        <v>11231741001</v>
      </c>
      <c r="F1080" s="466" t="s">
        <v>824</v>
      </c>
      <c r="G1080" s="401"/>
      <c r="H1080" s="387" t="s">
        <v>65</v>
      </c>
      <c r="I1080" s="469">
        <v>20</v>
      </c>
      <c r="J1080" s="212">
        <v>0.93</v>
      </c>
      <c r="K1080" s="212">
        <f t="shared" si="991"/>
        <v>1.1299999999999999</v>
      </c>
      <c r="L1080" s="212">
        <f>K1080*G1080</f>
        <v>0</v>
      </c>
      <c r="M1080" s="212">
        <f t="shared" si="992"/>
        <v>0.93</v>
      </c>
      <c r="N1080" s="212">
        <f>M1080*G1080</f>
        <v>0</v>
      </c>
      <c r="O1080" s="467">
        <f t="shared" si="993"/>
        <v>1.1299999999999999</v>
      </c>
      <c r="P1080" s="213">
        <f>O1080*G1080</f>
        <v>0</v>
      </c>
      <c r="Q1080" s="132"/>
      <c r="R1080" s="214">
        <f t="shared" si="997"/>
        <v>90</v>
      </c>
      <c r="AK1080" s="141">
        <f t="shared" si="998"/>
        <v>90.399999999999991</v>
      </c>
      <c r="AL1080"/>
    </row>
    <row r="1081" spans="1:38" s="74" customFormat="1" ht="30.6" outlineLevel="1">
      <c r="A1081" s="148" t="s">
        <v>25</v>
      </c>
      <c r="B1081" s="208" t="s">
        <v>26</v>
      </c>
      <c r="C1081" s="465" t="s">
        <v>769</v>
      </c>
      <c r="D1081" s="469"/>
      <c r="E1081" s="188">
        <v>11214441001</v>
      </c>
      <c r="F1081" s="466" t="s">
        <v>825</v>
      </c>
      <c r="G1081" s="401"/>
      <c r="H1081" s="387" t="s">
        <v>65</v>
      </c>
      <c r="I1081" s="469">
        <v>20</v>
      </c>
      <c r="J1081" s="212">
        <v>2.8299999999999996</v>
      </c>
      <c r="K1081" s="212">
        <f t="shared" si="991"/>
        <v>3.45</v>
      </c>
      <c r="L1081" s="212">
        <f>K1081*G1081</f>
        <v>0</v>
      </c>
      <c r="M1081" s="212">
        <f t="shared" si="992"/>
        <v>2.8299999999999996</v>
      </c>
      <c r="N1081" s="212">
        <f>M1081*G1081</f>
        <v>0</v>
      </c>
      <c r="O1081" s="467">
        <f t="shared" si="993"/>
        <v>3.45</v>
      </c>
      <c r="P1081" s="213">
        <f>O1081*G1081</f>
        <v>0</v>
      </c>
      <c r="Q1081" s="132"/>
      <c r="R1081" s="214">
        <f t="shared" si="997"/>
        <v>276</v>
      </c>
      <c r="AK1081" s="141">
        <f t="shared" si="998"/>
        <v>276</v>
      </c>
    </row>
    <row r="1082" spans="1:38" outlineLevel="1">
      <c r="A1082" s="36"/>
      <c r="B1082" s="475"/>
      <c r="C1082" s="477"/>
      <c r="D1082" s="217"/>
      <c r="E1082" s="217"/>
      <c r="F1082" s="479"/>
      <c r="G1082" s="401"/>
      <c r="H1082" s="477"/>
      <c r="I1082" s="478"/>
      <c r="J1082" s="220"/>
      <c r="K1082" s="220"/>
      <c r="L1082" s="220"/>
      <c r="M1082" s="220"/>
      <c r="N1082" s="220"/>
      <c r="O1082" s="481"/>
      <c r="P1082" s="221"/>
      <c r="Q1082" s="132"/>
      <c r="R1082" s="222"/>
      <c r="AK1082" s="141"/>
      <c r="AL1082" s="74"/>
    </row>
    <row r="1083" spans="1:38" s="74" customFormat="1" ht="30.6" outlineLevel="1">
      <c r="A1083" s="148" t="s">
        <v>25</v>
      </c>
      <c r="B1083" s="208" t="s">
        <v>26</v>
      </c>
      <c r="C1083" s="465" t="s">
        <v>769</v>
      </c>
      <c r="D1083" s="190">
        <v>11231341002</v>
      </c>
      <c r="E1083" s="188">
        <v>11231341003</v>
      </c>
      <c r="F1083" s="466" t="s">
        <v>826</v>
      </c>
      <c r="G1083" s="401"/>
      <c r="H1083" s="387" t="s">
        <v>65</v>
      </c>
      <c r="I1083" s="469">
        <v>20</v>
      </c>
      <c r="J1083" s="212">
        <v>1.1000000000000001</v>
      </c>
      <c r="K1083" s="212">
        <f t="shared" si="991"/>
        <v>1.34</v>
      </c>
      <c r="L1083" s="212">
        <f>K1083*G1083</f>
        <v>0</v>
      </c>
      <c r="M1083" s="212">
        <f t="shared" si="992"/>
        <v>1.1000000000000001</v>
      </c>
      <c r="N1083" s="212">
        <f>M1083*G1083</f>
        <v>0</v>
      </c>
      <c r="O1083" s="467">
        <f t="shared" si="993"/>
        <v>1.34</v>
      </c>
      <c r="P1083" s="213">
        <f>O1083*G1083</f>
        <v>0</v>
      </c>
      <c r="Q1083" s="132"/>
      <c r="R1083" s="214">
        <f t="shared" si="997"/>
        <v>107</v>
      </c>
      <c r="AK1083" s="141">
        <f t="shared" si="998"/>
        <v>107.2</v>
      </c>
    </row>
    <row r="1084" spans="1:38" s="74" customFormat="1" ht="30.6" outlineLevel="1">
      <c r="A1084" s="148" t="s">
        <v>25</v>
      </c>
      <c r="B1084" s="208" t="s">
        <v>26</v>
      </c>
      <c r="C1084" s="465" t="s">
        <v>769</v>
      </c>
      <c r="D1084" s="190">
        <v>11214541002</v>
      </c>
      <c r="E1084" s="188">
        <v>11214541003</v>
      </c>
      <c r="F1084" s="466" t="s">
        <v>827</v>
      </c>
      <c r="G1084" s="401"/>
      <c r="H1084" s="387" t="s">
        <v>65</v>
      </c>
      <c r="I1084" s="469">
        <v>20</v>
      </c>
      <c r="J1084" s="212">
        <v>1</v>
      </c>
      <c r="K1084" s="212">
        <f t="shared" si="991"/>
        <v>1.22</v>
      </c>
      <c r="L1084" s="212">
        <f>K1084*G1084</f>
        <v>0</v>
      </c>
      <c r="M1084" s="212">
        <f t="shared" si="992"/>
        <v>1</v>
      </c>
      <c r="N1084" s="212">
        <f>M1084*G1084</f>
        <v>0</v>
      </c>
      <c r="O1084" s="467">
        <f t="shared" si="993"/>
        <v>1.22</v>
      </c>
      <c r="P1084" s="213">
        <f>O1084*G1084</f>
        <v>0</v>
      </c>
      <c r="Q1084" s="132"/>
      <c r="R1084" s="214">
        <f t="shared" si="997"/>
        <v>98</v>
      </c>
      <c r="AK1084" s="141">
        <f t="shared" si="998"/>
        <v>97.600000000000009</v>
      </c>
    </row>
    <row r="1085" spans="1:38" s="74" customFormat="1" ht="30.6" outlineLevel="1">
      <c r="A1085" s="148" t="s">
        <v>25</v>
      </c>
      <c r="B1085" s="208" t="s">
        <v>26</v>
      </c>
      <c r="C1085" s="465" t="s">
        <v>769</v>
      </c>
      <c r="D1085" s="190">
        <v>11214741002</v>
      </c>
      <c r="E1085" s="188">
        <v>11214741003</v>
      </c>
      <c r="F1085" s="466" t="s">
        <v>828</v>
      </c>
      <c r="G1085" s="401"/>
      <c r="H1085" s="387" t="s">
        <v>65</v>
      </c>
      <c r="I1085" s="469">
        <v>20</v>
      </c>
      <c r="J1085" s="212">
        <v>2.36</v>
      </c>
      <c r="K1085" s="212">
        <f t="shared" si="991"/>
        <v>2.88</v>
      </c>
      <c r="L1085" s="212">
        <f>K1085*G1085</f>
        <v>0</v>
      </c>
      <c r="M1085" s="212">
        <f t="shared" si="992"/>
        <v>2.36</v>
      </c>
      <c r="N1085" s="212">
        <f>M1085*G1085</f>
        <v>0</v>
      </c>
      <c r="O1085" s="467">
        <f t="shared" si="993"/>
        <v>2.88</v>
      </c>
      <c r="P1085" s="213">
        <f>O1085*G1085</f>
        <v>0</v>
      </c>
      <c r="Q1085" s="132"/>
      <c r="R1085" s="214">
        <f t="shared" si="997"/>
        <v>230</v>
      </c>
      <c r="AK1085" s="141">
        <f t="shared" si="998"/>
        <v>230.4</v>
      </c>
    </row>
    <row r="1086" spans="1:38" outlineLevel="1">
      <c r="A1086" s="36"/>
      <c r="B1086" s="475"/>
      <c r="C1086" s="477"/>
      <c r="D1086" s="217"/>
      <c r="E1086" s="217"/>
      <c r="F1086" s="479"/>
      <c r="G1086" s="401"/>
      <c r="H1086" s="477"/>
      <c r="I1086" s="478"/>
      <c r="J1086" s="220"/>
      <c r="K1086" s="220"/>
      <c r="L1086" s="220"/>
      <c r="M1086" s="220"/>
      <c r="N1086" s="220"/>
      <c r="O1086" s="481"/>
      <c r="P1086" s="221"/>
      <c r="Q1086" s="132"/>
      <c r="R1086" s="222"/>
      <c r="AK1086" s="141"/>
      <c r="AL1086" s="74"/>
    </row>
    <row r="1087" spans="1:38" s="74" customFormat="1" ht="30.6" outlineLevel="1">
      <c r="A1087" s="148" t="s">
        <v>25</v>
      </c>
      <c r="B1087" s="208" t="s">
        <v>26</v>
      </c>
      <c r="C1087" s="465" t="s">
        <v>769</v>
      </c>
      <c r="D1087" s="190">
        <v>11237741002</v>
      </c>
      <c r="E1087" s="188">
        <v>11231061001</v>
      </c>
      <c r="F1087" s="466" t="s">
        <v>829</v>
      </c>
      <c r="G1087" s="401"/>
      <c r="H1087" s="387" t="s">
        <v>65</v>
      </c>
      <c r="I1087" s="469">
        <v>10</v>
      </c>
      <c r="J1087" s="212">
        <v>8.73</v>
      </c>
      <c r="K1087" s="212">
        <f t="shared" si="991"/>
        <v>10.65</v>
      </c>
      <c r="L1087" s="212">
        <f>K1087*G1087</f>
        <v>0</v>
      </c>
      <c r="M1087" s="212">
        <f t="shared" si="992"/>
        <v>8.73</v>
      </c>
      <c r="N1087" s="212">
        <f>M1087*G1087</f>
        <v>0</v>
      </c>
      <c r="O1087" s="467">
        <f t="shared" si="993"/>
        <v>10.65</v>
      </c>
      <c r="P1087" s="213">
        <f>O1087*G1087</f>
        <v>0</v>
      </c>
      <c r="Q1087" s="132"/>
      <c r="R1087" s="214">
        <f t="shared" si="997"/>
        <v>852</v>
      </c>
      <c r="AK1087" s="141">
        <f t="shared" si="998"/>
        <v>852</v>
      </c>
    </row>
    <row r="1088" spans="1:38" outlineLevel="1">
      <c r="A1088" s="36"/>
      <c r="B1088" s="475"/>
      <c r="C1088" s="465"/>
      <c r="D1088" s="469"/>
      <c r="E1088" s="188"/>
      <c r="F1088" s="466"/>
      <c r="G1088" s="401"/>
      <c r="H1088" s="387"/>
      <c r="I1088" s="469"/>
      <c r="J1088" s="212"/>
      <c r="K1088" s="212"/>
      <c r="L1088" s="212"/>
      <c r="M1088" s="212"/>
      <c r="N1088" s="212"/>
      <c r="O1088" s="467"/>
      <c r="P1088" s="213"/>
      <c r="Q1088" s="132"/>
      <c r="R1088" s="222"/>
      <c r="AK1088" s="141"/>
      <c r="AL1088" s="74"/>
    </row>
    <row r="1089" spans="1:38" s="74" customFormat="1" ht="30.6" outlineLevel="1">
      <c r="A1089" s="148" t="s">
        <v>25</v>
      </c>
      <c r="B1089" s="208" t="s">
        <v>26</v>
      </c>
      <c r="C1089" s="465" t="s">
        <v>769</v>
      </c>
      <c r="D1089" s="469"/>
      <c r="E1089" s="188">
        <v>11231441001</v>
      </c>
      <c r="F1089" s="466" t="s">
        <v>830</v>
      </c>
      <c r="G1089" s="401"/>
      <c r="H1089" s="387" t="s">
        <v>65</v>
      </c>
      <c r="I1089" s="469">
        <v>20</v>
      </c>
      <c r="J1089" s="212">
        <v>1.24</v>
      </c>
      <c r="K1089" s="212">
        <f t="shared" ref="K1089:K1120" si="999">ROUND((J1089*$C$3),2)</f>
        <v>1.51</v>
      </c>
      <c r="L1089" s="212">
        <f>K1089*G1089</f>
        <v>0</v>
      </c>
      <c r="M1089" s="212">
        <f t="shared" ref="M1089:M1120" si="1000">J1089*(1-$E$5-$E$7)*(1-$E$9)*(1+$E$11)</f>
        <v>1.24</v>
      </c>
      <c r="N1089" s="212">
        <f>M1089*G1089</f>
        <v>0</v>
      </c>
      <c r="O1089" s="467">
        <f t="shared" ref="O1089:O1120" si="1001">ROUND((M1089*$C$3),2)</f>
        <v>1.51</v>
      </c>
      <c r="P1089" s="213">
        <f>O1089*G1089</f>
        <v>0</v>
      </c>
      <c r="Q1089" s="132"/>
      <c r="R1089" s="214">
        <f t="shared" si="997"/>
        <v>121</v>
      </c>
      <c r="AK1089" s="141">
        <f t="shared" si="998"/>
        <v>120.80000000000001</v>
      </c>
    </row>
    <row r="1090" spans="1:38" s="74" customFormat="1" ht="30.6" outlineLevel="1">
      <c r="A1090" s="148" t="s">
        <v>25</v>
      </c>
      <c r="B1090" s="208" t="s">
        <v>26</v>
      </c>
      <c r="C1090" s="465" t="s">
        <v>769</v>
      </c>
      <c r="D1090" s="188">
        <v>11214841001</v>
      </c>
      <c r="E1090" s="188">
        <v>11326241001</v>
      </c>
      <c r="F1090" s="466" t="s">
        <v>831</v>
      </c>
      <c r="G1090" s="401"/>
      <c r="H1090" s="387" t="s">
        <v>65</v>
      </c>
      <c r="I1090" s="469">
        <v>20</v>
      </c>
      <c r="J1090" s="212">
        <v>1.17</v>
      </c>
      <c r="K1090" s="212">
        <f t="shared" si="999"/>
        <v>1.43</v>
      </c>
      <c r="L1090" s="212">
        <f>K1090*G1090</f>
        <v>0</v>
      </c>
      <c r="M1090" s="212">
        <f t="shared" si="1000"/>
        <v>1.17</v>
      </c>
      <c r="N1090" s="212">
        <f>M1090*G1090</f>
        <v>0</v>
      </c>
      <c r="O1090" s="467">
        <f t="shared" si="1001"/>
        <v>1.43</v>
      </c>
      <c r="P1090" s="213">
        <f>O1090*G1090</f>
        <v>0</v>
      </c>
      <c r="Q1090" s="132"/>
      <c r="R1090" s="214">
        <f t="shared" si="997"/>
        <v>114</v>
      </c>
      <c r="AK1090" s="141">
        <f t="shared" si="998"/>
        <v>114.4</v>
      </c>
    </row>
    <row r="1091" spans="1:38" s="74" customFormat="1" ht="30.6" outlineLevel="1">
      <c r="A1091" s="148" t="s">
        <v>25</v>
      </c>
      <c r="B1091" s="208" t="s">
        <v>26</v>
      </c>
      <c r="C1091" s="465" t="s">
        <v>769</v>
      </c>
      <c r="D1091" s="469"/>
      <c r="E1091" s="188">
        <v>11214941001</v>
      </c>
      <c r="F1091" s="466" t="s">
        <v>832</v>
      </c>
      <c r="G1091" s="401"/>
      <c r="H1091" s="387" t="s">
        <v>65</v>
      </c>
      <c r="I1091" s="469">
        <v>20</v>
      </c>
      <c r="J1091" s="212">
        <v>4.6099999999999994</v>
      </c>
      <c r="K1091" s="212">
        <f t="shared" si="999"/>
        <v>5.62</v>
      </c>
      <c r="L1091" s="212">
        <f>K1091*G1091</f>
        <v>0</v>
      </c>
      <c r="M1091" s="212">
        <f t="shared" si="1000"/>
        <v>4.6099999999999994</v>
      </c>
      <c r="N1091" s="212">
        <f>M1091*G1091</f>
        <v>0</v>
      </c>
      <c r="O1091" s="467">
        <f t="shared" si="1001"/>
        <v>5.62</v>
      </c>
      <c r="P1091" s="213">
        <f>O1091*G1091</f>
        <v>0</v>
      </c>
      <c r="Q1091" s="132"/>
      <c r="R1091" s="214">
        <f t="shared" si="997"/>
        <v>450</v>
      </c>
      <c r="AK1091" s="141">
        <f t="shared" si="998"/>
        <v>449.6</v>
      </c>
    </row>
    <row r="1092" spans="1:38" outlineLevel="1">
      <c r="A1092" s="36"/>
      <c r="B1092" s="476"/>
      <c r="C1092" s="465"/>
      <c r="D1092" s="190"/>
      <c r="E1092" s="188"/>
      <c r="F1092" s="466"/>
      <c r="G1092" s="401"/>
      <c r="H1092" s="387"/>
      <c r="I1092" s="469"/>
      <c r="J1092" s="212"/>
      <c r="K1092" s="212"/>
      <c r="L1092" s="212"/>
      <c r="M1092" s="212"/>
      <c r="N1092" s="212"/>
      <c r="O1092" s="467"/>
      <c r="P1092" s="213"/>
      <c r="Q1092" s="132"/>
      <c r="R1092" s="222"/>
      <c r="AK1092" s="141"/>
      <c r="AL1092" s="74"/>
    </row>
    <row r="1093" spans="1:38" s="74" customFormat="1" ht="30.6" outlineLevel="1">
      <c r="A1093" s="148" t="s">
        <v>25</v>
      </c>
      <c r="B1093" s="208" t="s">
        <v>26</v>
      </c>
      <c r="C1093" s="465" t="s">
        <v>769</v>
      </c>
      <c r="D1093" s="190">
        <v>11215041001</v>
      </c>
      <c r="E1093" s="188">
        <v>11326251001</v>
      </c>
      <c r="F1093" s="466" t="s">
        <v>833</v>
      </c>
      <c r="G1093" s="401"/>
      <c r="H1093" s="387" t="s">
        <v>65</v>
      </c>
      <c r="I1093" s="469">
        <v>20</v>
      </c>
      <c r="J1093" s="212">
        <v>1.19</v>
      </c>
      <c r="K1093" s="212">
        <f t="shared" si="999"/>
        <v>1.45</v>
      </c>
      <c r="L1093" s="212">
        <f>K1093*G1093</f>
        <v>0</v>
      </c>
      <c r="M1093" s="212">
        <f t="shared" si="1000"/>
        <v>1.19</v>
      </c>
      <c r="N1093" s="212">
        <f>M1093*G1093</f>
        <v>0</v>
      </c>
      <c r="O1093" s="467">
        <f t="shared" si="1001"/>
        <v>1.45</v>
      </c>
      <c r="P1093" s="213">
        <f>O1093*G1093</f>
        <v>0</v>
      </c>
      <c r="Q1093" s="132"/>
      <c r="R1093" s="214">
        <f t="shared" si="997"/>
        <v>116</v>
      </c>
      <c r="AK1093" s="141">
        <f t="shared" si="998"/>
        <v>116</v>
      </c>
    </row>
    <row r="1094" spans="1:38" s="74" customFormat="1" ht="30.6" outlineLevel="1">
      <c r="A1094" s="148" t="s">
        <v>25</v>
      </c>
      <c r="B1094" s="208" t="s">
        <v>26</v>
      </c>
      <c r="C1094" s="465" t="s">
        <v>769</v>
      </c>
      <c r="D1094" s="469"/>
      <c r="E1094" s="188">
        <v>11233541001</v>
      </c>
      <c r="F1094" s="466" t="s">
        <v>834</v>
      </c>
      <c r="G1094" s="401"/>
      <c r="H1094" s="387" t="s">
        <v>65</v>
      </c>
      <c r="I1094" s="469">
        <v>20</v>
      </c>
      <c r="J1094" s="212">
        <v>2.5199999999999996</v>
      </c>
      <c r="K1094" s="212">
        <f t="shared" si="999"/>
        <v>3.07</v>
      </c>
      <c r="L1094" s="212">
        <f>K1094*G1094</f>
        <v>0</v>
      </c>
      <c r="M1094" s="212">
        <f t="shared" si="1000"/>
        <v>2.5199999999999996</v>
      </c>
      <c r="N1094" s="212">
        <f>M1094*G1094</f>
        <v>0</v>
      </c>
      <c r="O1094" s="467">
        <f t="shared" si="1001"/>
        <v>3.07</v>
      </c>
      <c r="P1094" s="213">
        <f>O1094*G1094</f>
        <v>0</v>
      </c>
      <c r="Q1094" s="132"/>
      <c r="R1094" s="214">
        <f t="shared" si="997"/>
        <v>246</v>
      </c>
      <c r="AK1094" s="141">
        <f t="shared" si="998"/>
        <v>245.60000000000002</v>
      </c>
    </row>
    <row r="1095" spans="1:38" s="74" customFormat="1" ht="30.6" outlineLevel="1">
      <c r="A1095" s="148" t="s">
        <v>25</v>
      </c>
      <c r="B1095" s="208" t="s">
        <v>26</v>
      </c>
      <c r="C1095" s="465" t="s">
        <v>769</v>
      </c>
      <c r="D1095" s="469"/>
      <c r="E1095" s="188">
        <v>11215141001</v>
      </c>
      <c r="F1095" s="466" t="s">
        <v>835</v>
      </c>
      <c r="G1095" s="401"/>
      <c r="H1095" s="387" t="s">
        <v>65</v>
      </c>
      <c r="I1095" s="469">
        <v>20</v>
      </c>
      <c r="J1095" s="212">
        <v>6.51</v>
      </c>
      <c r="K1095" s="212">
        <f t="shared" si="999"/>
        <v>7.94</v>
      </c>
      <c r="L1095" s="212">
        <f>K1095*G1095</f>
        <v>0</v>
      </c>
      <c r="M1095" s="212">
        <f t="shared" si="1000"/>
        <v>6.51</v>
      </c>
      <c r="N1095" s="212">
        <f>M1095*G1095</f>
        <v>0</v>
      </c>
      <c r="O1095" s="467">
        <f t="shared" si="1001"/>
        <v>7.94</v>
      </c>
      <c r="P1095" s="213">
        <f>O1095*G1095</f>
        <v>0</v>
      </c>
      <c r="Q1095" s="132"/>
      <c r="R1095" s="214">
        <f t="shared" si="997"/>
        <v>635</v>
      </c>
      <c r="AK1095" s="141">
        <f t="shared" si="998"/>
        <v>635.20000000000005</v>
      </c>
    </row>
    <row r="1096" spans="1:38" s="74" customFormat="1" ht="30.6" outlineLevel="1">
      <c r="A1096" s="148" t="s">
        <v>25</v>
      </c>
      <c r="B1096" s="208" t="s">
        <v>26</v>
      </c>
      <c r="C1096" s="465" t="s">
        <v>769</v>
      </c>
      <c r="D1096" s="469"/>
      <c r="E1096" s="188">
        <v>11240481001</v>
      </c>
      <c r="F1096" s="466" t="s">
        <v>836</v>
      </c>
      <c r="G1096" s="401"/>
      <c r="H1096" s="387" t="s">
        <v>65</v>
      </c>
      <c r="I1096" s="469">
        <v>10</v>
      </c>
      <c r="J1096" s="212">
        <v>18.98</v>
      </c>
      <c r="K1096" s="212">
        <f t="shared" si="999"/>
        <v>23.16</v>
      </c>
      <c r="L1096" s="212">
        <f>K1096*G1096</f>
        <v>0</v>
      </c>
      <c r="M1096" s="212">
        <f t="shared" si="1000"/>
        <v>18.98</v>
      </c>
      <c r="N1096" s="212">
        <f>M1096*G1096</f>
        <v>0</v>
      </c>
      <c r="O1096" s="467">
        <f t="shared" si="1001"/>
        <v>23.16</v>
      </c>
      <c r="P1096" s="213">
        <f>O1096*G1096</f>
        <v>0</v>
      </c>
      <c r="Q1096" s="132"/>
      <c r="R1096" s="214">
        <f t="shared" si="997"/>
        <v>1853</v>
      </c>
      <c r="AK1096" s="141">
        <f t="shared" si="998"/>
        <v>1852.8000000000002</v>
      </c>
    </row>
    <row r="1097" spans="1:38" outlineLevel="1">
      <c r="A1097" s="36"/>
      <c r="B1097" s="457"/>
      <c r="C1097" s="465"/>
      <c r="D1097" s="190"/>
      <c r="E1097" s="188"/>
      <c r="F1097" s="466"/>
      <c r="G1097" s="401"/>
      <c r="H1097" s="387"/>
      <c r="I1097" s="469"/>
      <c r="J1097" s="212"/>
      <c r="K1097" s="212"/>
      <c r="L1097" s="212"/>
      <c r="M1097" s="212"/>
      <c r="N1097" s="212"/>
      <c r="O1097" s="467"/>
      <c r="P1097" s="213"/>
      <c r="Q1097" s="132"/>
      <c r="R1097" s="222"/>
      <c r="AK1097" s="141"/>
      <c r="AL1097" s="74"/>
    </row>
    <row r="1098" spans="1:38" s="74" customFormat="1" ht="30.6" outlineLevel="1">
      <c r="A1098" s="148" t="s">
        <v>25</v>
      </c>
      <c r="B1098" s="208" t="s">
        <v>26</v>
      </c>
      <c r="C1098" s="465" t="s">
        <v>769</v>
      </c>
      <c r="D1098" s="469"/>
      <c r="E1098" s="188">
        <v>11210391001</v>
      </c>
      <c r="F1098" s="466" t="s">
        <v>837</v>
      </c>
      <c r="G1098" s="401"/>
      <c r="H1098" s="387" t="s">
        <v>65</v>
      </c>
      <c r="I1098" s="469">
        <v>20</v>
      </c>
      <c r="J1098" s="212">
        <v>9.17</v>
      </c>
      <c r="K1098" s="212">
        <f t="shared" si="999"/>
        <v>11.19</v>
      </c>
      <c r="L1098" s="212">
        <f>K1098*G1098</f>
        <v>0</v>
      </c>
      <c r="M1098" s="212">
        <f t="shared" si="1000"/>
        <v>9.17</v>
      </c>
      <c r="N1098" s="212">
        <f>M1098*G1098</f>
        <v>0</v>
      </c>
      <c r="O1098" s="467">
        <f t="shared" si="1001"/>
        <v>11.19</v>
      </c>
      <c r="P1098" s="213">
        <f>O1098*G1098</f>
        <v>0</v>
      </c>
      <c r="Q1098" s="132"/>
      <c r="R1098" s="214">
        <f t="shared" si="997"/>
        <v>895</v>
      </c>
      <c r="AK1098" s="141">
        <f t="shared" si="998"/>
        <v>895.2</v>
      </c>
    </row>
    <row r="1099" spans="1:38" s="74" customFormat="1" ht="30.6" outlineLevel="1">
      <c r="A1099" s="148" t="s">
        <v>25</v>
      </c>
      <c r="B1099" s="208" t="s">
        <v>26</v>
      </c>
      <c r="C1099" s="465" t="s">
        <v>769</v>
      </c>
      <c r="D1099" s="469"/>
      <c r="E1099" s="188">
        <v>11233641001</v>
      </c>
      <c r="F1099" s="466" t="s">
        <v>838</v>
      </c>
      <c r="G1099" s="401"/>
      <c r="H1099" s="387" t="s">
        <v>65</v>
      </c>
      <c r="I1099" s="469">
        <v>20</v>
      </c>
      <c r="J1099" s="212">
        <v>6.16</v>
      </c>
      <c r="K1099" s="212">
        <f t="shared" si="999"/>
        <v>7.52</v>
      </c>
      <c r="L1099" s="212">
        <f>K1099*G1099</f>
        <v>0</v>
      </c>
      <c r="M1099" s="212">
        <f t="shared" si="1000"/>
        <v>6.16</v>
      </c>
      <c r="N1099" s="212">
        <f>M1099*G1099</f>
        <v>0</v>
      </c>
      <c r="O1099" s="467">
        <f t="shared" si="1001"/>
        <v>7.52</v>
      </c>
      <c r="P1099" s="213">
        <f>O1099*G1099</f>
        <v>0</v>
      </c>
      <c r="Q1099" s="132"/>
      <c r="R1099" s="214">
        <f t="shared" si="997"/>
        <v>602</v>
      </c>
      <c r="AK1099" s="141">
        <f t="shared" si="998"/>
        <v>601.6</v>
      </c>
    </row>
    <row r="1100" spans="1:38" s="74" customFormat="1" ht="30.6" outlineLevel="1">
      <c r="A1100" s="148" t="s">
        <v>25</v>
      </c>
      <c r="B1100" s="208" t="s">
        <v>26</v>
      </c>
      <c r="C1100" s="465" t="s">
        <v>769</v>
      </c>
      <c r="D1100" s="469"/>
      <c r="E1100" s="188">
        <v>11206341001</v>
      </c>
      <c r="F1100" s="466" t="s">
        <v>839</v>
      </c>
      <c r="G1100" s="401"/>
      <c r="H1100" s="387" t="s">
        <v>65</v>
      </c>
      <c r="I1100" s="469">
        <v>20</v>
      </c>
      <c r="J1100" s="212">
        <v>19.91</v>
      </c>
      <c r="K1100" s="212">
        <f t="shared" si="999"/>
        <v>24.29</v>
      </c>
      <c r="L1100" s="212">
        <f>K1100*G1100</f>
        <v>0</v>
      </c>
      <c r="M1100" s="212">
        <f t="shared" si="1000"/>
        <v>19.91</v>
      </c>
      <c r="N1100" s="212">
        <f>M1100*G1100</f>
        <v>0</v>
      </c>
      <c r="O1100" s="467">
        <f t="shared" si="1001"/>
        <v>24.29</v>
      </c>
      <c r="P1100" s="213">
        <f>O1100*G1100</f>
        <v>0</v>
      </c>
      <c r="Q1100" s="132"/>
      <c r="R1100" s="214">
        <f t="shared" si="997"/>
        <v>1943</v>
      </c>
      <c r="AK1100" s="141">
        <f t="shared" si="998"/>
        <v>1943.2</v>
      </c>
    </row>
    <row r="1101" spans="1:38" s="74" customFormat="1" ht="30.6" outlineLevel="1">
      <c r="A1101" s="148" t="s">
        <v>25</v>
      </c>
      <c r="B1101" s="208" t="s">
        <v>26</v>
      </c>
      <c r="C1101" s="465" t="s">
        <v>769</v>
      </c>
      <c r="D1101" s="190">
        <v>11240491001</v>
      </c>
      <c r="E1101" s="188">
        <v>11240791001</v>
      </c>
      <c r="F1101" s="466" t="s">
        <v>840</v>
      </c>
      <c r="G1101" s="401"/>
      <c r="H1101" s="387" t="s">
        <v>65</v>
      </c>
      <c r="I1101" s="469">
        <v>10</v>
      </c>
      <c r="J1101" s="212">
        <v>47.9</v>
      </c>
      <c r="K1101" s="212">
        <f t="shared" si="999"/>
        <v>58.44</v>
      </c>
      <c r="L1101" s="212">
        <f>K1101*G1101</f>
        <v>0</v>
      </c>
      <c r="M1101" s="212">
        <f t="shared" si="1000"/>
        <v>47.9</v>
      </c>
      <c r="N1101" s="212">
        <f>M1101*G1101</f>
        <v>0</v>
      </c>
      <c r="O1101" s="467">
        <f t="shared" si="1001"/>
        <v>58.44</v>
      </c>
      <c r="P1101" s="213">
        <f>O1101*G1101</f>
        <v>0</v>
      </c>
      <c r="Q1101" s="132"/>
      <c r="R1101" s="214">
        <f t="shared" si="997"/>
        <v>4675</v>
      </c>
      <c r="AK1101" s="141">
        <f t="shared" si="998"/>
        <v>4675.2</v>
      </c>
    </row>
    <row r="1102" spans="1:38" outlineLevel="1">
      <c r="A1102" s="36"/>
      <c r="B1102" s="476"/>
      <c r="C1102" s="465"/>
      <c r="D1102" s="190"/>
      <c r="E1102" s="188"/>
      <c r="F1102" s="466"/>
      <c r="G1102" s="401"/>
      <c r="H1102" s="387"/>
      <c r="I1102" s="469"/>
      <c r="J1102" s="212"/>
      <c r="K1102" s="212"/>
      <c r="L1102" s="212"/>
      <c r="M1102" s="212"/>
      <c r="N1102" s="212"/>
      <c r="O1102" s="467"/>
      <c r="P1102" s="213"/>
      <c r="Q1102" s="132"/>
      <c r="R1102" s="222"/>
      <c r="AK1102" s="141"/>
    </row>
    <row r="1103" spans="1:38" s="74" customFormat="1" ht="30.6" outlineLevel="1">
      <c r="A1103" s="148" t="s">
        <v>25</v>
      </c>
      <c r="B1103" s="208" t="s">
        <v>26</v>
      </c>
      <c r="C1103" s="465" t="s">
        <v>769</v>
      </c>
      <c r="D1103" s="469"/>
      <c r="E1103" s="188">
        <v>11215941001</v>
      </c>
      <c r="F1103" s="466" t="s">
        <v>841</v>
      </c>
      <c r="G1103" s="401"/>
      <c r="H1103" s="387" t="s">
        <v>65</v>
      </c>
      <c r="I1103" s="469">
        <v>20</v>
      </c>
      <c r="J1103" s="212">
        <v>6.24</v>
      </c>
      <c r="K1103" s="212">
        <f t="shared" si="999"/>
        <v>7.61</v>
      </c>
      <c r="L1103" s="212">
        <f>K1103*G1103</f>
        <v>0</v>
      </c>
      <c r="M1103" s="212">
        <f t="shared" si="1000"/>
        <v>6.24</v>
      </c>
      <c r="N1103" s="212">
        <f>M1103*G1103</f>
        <v>0</v>
      </c>
      <c r="O1103" s="467">
        <f t="shared" si="1001"/>
        <v>7.61</v>
      </c>
      <c r="P1103" s="213">
        <f>O1103*G1103</f>
        <v>0</v>
      </c>
      <c r="Q1103" s="132"/>
      <c r="R1103" s="214">
        <f t="shared" si="997"/>
        <v>609</v>
      </c>
      <c r="AK1103" s="141">
        <f t="shared" si="998"/>
        <v>608.80000000000007</v>
      </c>
      <c r="AL1103"/>
    </row>
    <row r="1104" spans="1:38" outlineLevel="1">
      <c r="A1104" s="36"/>
      <c r="B1104" s="475"/>
      <c r="C1104" s="477"/>
      <c r="D1104" s="478"/>
      <c r="E1104" s="217"/>
      <c r="F1104" s="479"/>
      <c r="G1104" s="401"/>
      <c r="H1104" s="480"/>
      <c r="I1104" s="478"/>
      <c r="J1104" s="220"/>
      <c r="K1104" s="220"/>
      <c r="L1104" s="220"/>
      <c r="M1104" s="220"/>
      <c r="N1104" s="220"/>
      <c r="O1104" s="481"/>
      <c r="P1104" s="221"/>
      <c r="Q1104" s="132"/>
      <c r="R1104" s="222"/>
      <c r="AK1104" s="141"/>
    </row>
    <row r="1105" spans="1:38" ht="30.6" outlineLevel="1">
      <c r="A1105" s="148" t="s">
        <v>25</v>
      </c>
      <c r="B1105" s="208" t="s">
        <v>26</v>
      </c>
      <c r="C1105" s="465" t="s">
        <v>769</v>
      </c>
      <c r="D1105" s="469"/>
      <c r="E1105" s="188">
        <v>11216141001</v>
      </c>
      <c r="F1105" s="466" t="s">
        <v>842</v>
      </c>
      <c r="G1105" s="401"/>
      <c r="H1105" s="387" t="s">
        <v>65</v>
      </c>
      <c r="I1105" s="469">
        <v>18</v>
      </c>
      <c r="J1105" s="212">
        <v>4.62</v>
      </c>
      <c r="K1105" s="212">
        <f t="shared" si="999"/>
        <v>5.64</v>
      </c>
      <c r="L1105" s="212">
        <f>K1105*G1105</f>
        <v>0</v>
      </c>
      <c r="M1105" s="212">
        <f t="shared" si="1000"/>
        <v>4.62</v>
      </c>
      <c r="N1105" s="212">
        <f>M1105*G1105</f>
        <v>0</v>
      </c>
      <c r="O1105" s="467">
        <f t="shared" si="1001"/>
        <v>5.64</v>
      </c>
      <c r="P1105" s="213">
        <f>O1105*G1105</f>
        <v>0</v>
      </c>
      <c r="Q1105" s="132"/>
      <c r="R1105" s="214">
        <f t="shared" si="997"/>
        <v>451</v>
      </c>
      <c r="AK1105" s="141">
        <f t="shared" si="998"/>
        <v>451.20000000000005</v>
      </c>
      <c r="AL1105" s="74"/>
    </row>
    <row r="1106" spans="1:38" outlineLevel="1">
      <c r="A1106" s="36"/>
      <c r="B1106" s="475"/>
      <c r="C1106" s="465"/>
      <c r="D1106" s="469"/>
      <c r="E1106" s="188"/>
      <c r="F1106" s="466"/>
      <c r="G1106" s="401"/>
      <c r="H1106" s="387"/>
      <c r="I1106" s="469"/>
      <c r="J1106" s="212"/>
      <c r="K1106" s="212"/>
      <c r="L1106" s="212"/>
      <c r="M1106" s="212"/>
      <c r="N1106" s="212"/>
      <c r="O1106" s="467"/>
      <c r="P1106" s="213"/>
      <c r="Q1106" s="132"/>
      <c r="R1106" s="222"/>
      <c r="AK1106" s="141"/>
      <c r="AL1106" s="74"/>
    </row>
    <row r="1107" spans="1:38" s="74" customFormat="1" ht="30.6" outlineLevel="1">
      <c r="A1107" s="148" t="s">
        <v>25</v>
      </c>
      <c r="B1107" s="208" t="s">
        <v>26</v>
      </c>
      <c r="C1107" s="465" t="s">
        <v>769</v>
      </c>
      <c r="D1107" s="469"/>
      <c r="E1107" s="188">
        <v>11216341001</v>
      </c>
      <c r="F1107" s="466" t="s">
        <v>843</v>
      </c>
      <c r="G1107" s="401"/>
      <c r="H1107" s="387" t="s">
        <v>65</v>
      </c>
      <c r="I1107" s="469">
        <v>26</v>
      </c>
      <c r="J1107" s="212">
        <v>5.1899999999999995</v>
      </c>
      <c r="K1107" s="212">
        <f t="shared" si="999"/>
        <v>6.33</v>
      </c>
      <c r="L1107" s="212">
        <f>K1107*G1107</f>
        <v>0</v>
      </c>
      <c r="M1107" s="212">
        <f t="shared" si="1000"/>
        <v>5.1899999999999995</v>
      </c>
      <c r="N1107" s="212">
        <f>M1107*G1107</f>
        <v>0</v>
      </c>
      <c r="O1107" s="467">
        <f t="shared" si="1001"/>
        <v>6.33</v>
      </c>
      <c r="P1107" s="213">
        <f>O1107*G1107</f>
        <v>0</v>
      </c>
      <c r="Q1107" s="132"/>
      <c r="R1107" s="214">
        <f t="shared" ref="R1107:R1128" si="1002">ROUND(AK1107,0)</f>
        <v>506</v>
      </c>
      <c r="AK1107" s="141">
        <f t="shared" ref="AK1107:AK1128" si="1003">K1107*$AK$11*(1-$AK$10)</f>
        <v>506.40000000000003</v>
      </c>
    </row>
    <row r="1108" spans="1:38" s="74" customFormat="1" ht="30.6" outlineLevel="1">
      <c r="A1108" s="148" t="s">
        <v>25</v>
      </c>
      <c r="B1108" s="208" t="s">
        <v>26</v>
      </c>
      <c r="C1108" s="465" t="s">
        <v>769</v>
      </c>
      <c r="D1108" s="469"/>
      <c r="E1108" s="188">
        <v>11216441001</v>
      </c>
      <c r="F1108" s="466" t="s">
        <v>844</v>
      </c>
      <c r="G1108" s="401"/>
      <c r="H1108" s="387" t="s">
        <v>65</v>
      </c>
      <c r="I1108" s="469">
        <v>16</v>
      </c>
      <c r="J1108" s="212">
        <v>4.5</v>
      </c>
      <c r="K1108" s="212">
        <f t="shared" si="999"/>
        <v>5.49</v>
      </c>
      <c r="L1108" s="212">
        <f>K1108*G1108</f>
        <v>0</v>
      </c>
      <c r="M1108" s="212">
        <f t="shared" si="1000"/>
        <v>4.5</v>
      </c>
      <c r="N1108" s="212">
        <f>M1108*G1108</f>
        <v>0</v>
      </c>
      <c r="O1108" s="467">
        <f t="shared" si="1001"/>
        <v>5.49</v>
      </c>
      <c r="P1108" s="213">
        <f>O1108*G1108</f>
        <v>0</v>
      </c>
      <c r="Q1108" s="132"/>
      <c r="R1108" s="214">
        <f t="shared" si="1002"/>
        <v>439</v>
      </c>
      <c r="AK1108" s="141">
        <f t="shared" si="1003"/>
        <v>439.20000000000005</v>
      </c>
      <c r="AL1108"/>
    </row>
    <row r="1109" spans="1:38" outlineLevel="1">
      <c r="A1109" s="36"/>
      <c r="B1109" s="475"/>
      <c r="C1109" s="477"/>
      <c r="D1109" s="478"/>
      <c r="E1109" s="217"/>
      <c r="F1109" s="479"/>
      <c r="G1109" s="401"/>
      <c r="H1109" s="480"/>
      <c r="I1109" s="478"/>
      <c r="J1109" s="220"/>
      <c r="K1109" s="220"/>
      <c r="L1109" s="220"/>
      <c r="M1109" s="220"/>
      <c r="N1109" s="220"/>
      <c r="O1109" s="481"/>
      <c r="P1109" s="221"/>
      <c r="Q1109" s="132"/>
      <c r="R1109" s="222"/>
      <c r="AK1109" s="141"/>
    </row>
    <row r="1110" spans="1:38" s="74" customFormat="1" ht="30.6" outlineLevel="1">
      <c r="A1110" s="148" t="s">
        <v>25</v>
      </c>
      <c r="B1110" s="208" t="s">
        <v>26</v>
      </c>
      <c r="C1110" s="465" t="s">
        <v>769</v>
      </c>
      <c r="D1110" s="238">
        <v>11220441100</v>
      </c>
      <c r="E1110" s="240">
        <v>11220441200</v>
      </c>
      <c r="F1110" s="483" t="s">
        <v>845</v>
      </c>
      <c r="G1110" s="401"/>
      <c r="H1110" s="387" t="s">
        <v>65</v>
      </c>
      <c r="I1110" s="469">
        <v>5</v>
      </c>
      <c r="J1110" s="212">
        <v>10.86</v>
      </c>
      <c r="K1110" s="212">
        <f t="shared" si="999"/>
        <v>13.25</v>
      </c>
      <c r="L1110" s="212">
        <f>K1110*G1110</f>
        <v>0</v>
      </c>
      <c r="M1110" s="212">
        <f t="shared" si="1000"/>
        <v>10.86</v>
      </c>
      <c r="N1110" s="212">
        <f>M1110*G1110</f>
        <v>0</v>
      </c>
      <c r="O1110" s="467">
        <f t="shared" si="1001"/>
        <v>13.25</v>
      </c>
      <c r="P1110" s="213">
        <f>O1110*G1110</f>
        <v>0</v>
      </c>
      <c r="Q1110" s="132"/>
      <c r="R1110" s="214">
        <f t="shared" si="1002"/>
        <v>1060</v>
      </c>
      <c r="AK1110" s="141">
        <f t="shared" si="1003"/>
        <v>1060</v>
      </c>
    </row>
    <row r="1111" spans="1:38" s="74" customFormat="1" ht="30.6" outlineLevel="1">
      <c r="A1111" s="148" t="s">
        <v>25</v>
      </c>
      <c r="B1111" s="208" t="s">
        <v>26</v>
      </c>
      <c r="C1111" s="465" t="s">
        <v>769</v>
      </c>
      <c r="D1111" s="238">
        <v>11220141100</v>
      </c>
      <c r="E1111" s="240">
        <v>11220141200</v>
      </c>
      <c r="F1111" s="483" t="s">
        <v>846</v>
      </c>
      <c r="G1111" s="401"/>
      <c r="H1111" s="387" t="s">
        <v>65</v>
      </c>
      <c r="I1111" s="469">
        <v>5</v>
      </c>
      <c r="J1111" s="212">
        <v>13.22</v>
      </c>
      <c r="K1111" s="212">
        <f t="shared" si="999"/>
        <v>16.13</v>
      </c>
      <c r="L1111" s="212">
        <f>K1111*G1111</f>
        <v>0</v>
      </c>
      <c r="M1111" s="212">
        <f t="shared" si="1000"/>
        <v>13.22</v>
      </c>
      <c r="N1111" s="212">
        <f>M1111*G1111</f>
        <v>0</v>
      </c>
      <c r="O1111" s="467">
        <f t="shared" si="1001"/>
        <v>16.13</v>
      </c>
      <c r="P1111" s="213">
        <f>O1111*G1111</f>
        <v>0</v>
      </c>
      <c r="Q1111" s="132"/>
      <c r="R1111" s="214">
        <f t="shared" si="1002"/>
        <v>1290</v>
      </c>
      <c r="AK1111" s="141">
        <f t="shared" si="1003"/>
        <v>1290.4000000000001</v>
      </c>
    </row>
    <row r="1112" spans="1:38" s="74" customFormat="1" ht="30.6" outlineLevel="1">
      <c r="A1112" s="148" t="s">
        <v>25</v>
      </c>
      <c r="B1112" s="208" t="s">
        <v>26</v>
      </c>
      <c r="C1112" s="465" t="s">
        <v>769</v>
      </c>
      <c r="D1112" s="238">
        <v>11220341200</v>
      </c>
      <c r="E1112" s="240">
        <v>11220341300</v>
      </c>
      <c r="F1112" s="483" t="s">
        <v>847</v>
      </c>
      <c r="G1112" s="401"/>
      <c r="H1112" s="387" t="s">
        <v>65</v>
      </c>
      <c r="I1112" s="469">
        <v>5</v>
      </c>
      <c r="J1112" s="212">
        <v>11.25</v>
      </c>
      <c r="K1112" s="212">
        <f t="shared" si="999"/>
        <v>13.73</v>
      </c>
      <c r="L1112" s="212">
        <f>K1112*G1112</f>
        <v>0</v>
      </c>
      <c r="M1112" s="212">
        <f t="shared" si="1000"/>
        <v>11.25</v>
      </c>
      <c r="N1112" s="212">
        <f>M1112*G1112</f>
        <v>0</v>
      </c>
      <c r="O1112" s="467">
        <f t="shared" si="1001"/>
        <v>13.73</v>
      </c>
      <c r="P1112" s="213">
        <f>O1112*G1112</f>
        <v>0</v>
      </c>
      <c r="Q1112" s="132"/>
      <c r="R1112" s="214">
        <f t="shared" si="1002"/>
        <v>1098</v>
      </c>
      <c r="AK1112" s="141">
        <f t="shared" si="1003"/>
        <v>1098.4000000000001</v>
      </c>
    </row>
    <row r="1113" spans="1:38" outlineLevel="1">
      <c r="A1113" s="36"/>
      <c r="B1113" s="476"/>
      <c r="C1113" s="465"/>
      <c r="D1113" s="209"/>
      <c r="E1113" s="188"/>
      <c r="F1113" s="466"/>
      <c r="G1113" s="401"/>
      <c r="H1113" s="387"/>
      <c r="I1113" s="469"/>
      <c r="J1113" s="212"/>
      <c r="K1113" s="212"/>
      <c r="L1113" s="212"/>
      <c r="M1113" s="212"/>
      <c r="N1113" s="212"/>
      <c r="O1113" s="467"/>
      <c r="P1113" s="213"/>
      <c r="Q1113" s="132"/>
      <c r="R1113" s="222"/>
      <c r="AK1113" s="141"/>
      <c r="AL1113" s="74"/>
    </row>
    <row r="1114" spans="1:38" s="74" customFormat="1" ht="30.6" outlineLevel="1">
      <c r="A1114" s="148" t="s">
        <v>25</v>
      </c>
      <c r="B1114" s="208" t="s">
        <v>26</v>
      </c>
      <c r="C1114" s="465" t="s">
        <v>769</v>
      </c>
      <c r="D1114" s="469"/>
      <c r="E1114" s="188">
        <v>11226441001</v>
      </c>
      <c r="F1114" s="466" t="s">
        <v>848</v>
      </c>
      <c r="G1114" s="401"/>
      <c r="H1114" s="387" t="s">
        <v>65</v>
      </c>
      <c r="I1114" s="469">
        <v>25</v>
      </c>
      <c r="J1114" s="212">
        <v>0.79</v>
      </c>
      <c r="K1114" s="212">
        <f t="shared" si="999"/>
        <v>0.96</v>
      </c>
      <c r="L1114" s="212">
        <f>K1114*G1114</f>
        <v>0</v>
      </c>
      <c r="M1114" s="212">
        <f t="shared" si="1000"/>
        <v>0.79</v>
      </c>
      <c r="N1114" s="212">
        <f>M1114*G1114</f>
        <v>0</v>
      </c>
      <c r="O1114" s="467">
        <f t="shared" si="1001"/>
        <v>0.96</v>
      </c>
      <c r="P1114" s="213">
        <f>O1114*G1114</f>
        <v>0</v>
      </c>
      <c r="Q1114" s="132"/>
      <c r="R1114" s="214">
        <f t="shared" si="1002"/>
        <v>77</v>
      </c>
      <c r="AK1114" s="141">
        <f t="shared" si="1003"/>
        <v>76.800000000000011</v>
      </c>
    </row>
    <row r="1115" spans="1:38" s="74" customFormat="1" ht="30.6" outlineLevel="1">
      <c r="A1115" s="148" t="s">
        <v>25</v>
      </c>
      <c r="B1115" s="208" t="s">
        <v>26</v>
      </c>
      <c r="C1115" s="465" t="s">
        <v>769</v>
      </c>
      <c r="D1115" s="469"/>
      <c r="E1115" s="188">
        <v>11205041001</v>
      </c>
      <c r="F1115" s="466" t="s">
        <v>849</v>
      </c>
      <c r="G1115" s="401"/>
      <c r="H1115" s="387" t="s">
        <v>65</v>
      </c>
      <c r="I1115" s="469">
        <v>25</v>
      </c>
      <c r="J1115" s="212">
        <v>1.91</v>
      </c>
      <c r="K1115" s="212">
        <f t="shared" si="999"/>
        <v>2.33</v>
      </c>
      <c r="L1115" s="212">
        <f>K1115*G1115</f>
        <v>0</v>
      </c>
      <c r="M1115" s="212">
        <f t="shared" si="1000"/>
        <v>1.91</v>
      </c>
      <c r="N1115" s="212">
        <f>M1115*G1115</f>
        <v>0</v>
      </c>
      <c r="O1115" s="467">
        <f t="shared" si="1001"/>
        <v>2.33</v>
      </c>
      <c r="P1115" s="213">
        <f>O1115*G1115</f>
        <v>0</v>
      </c>
      <c r="Q1115" s="132"/>
      <c r="R1115" s="214">
        <f t="shared" si="1002"/>
        <v>186</v>
      </c>
      <c r="AK1115" s="141">
        <f t="shared" si="1003"/>
        <v>186.4</v>
      </c>
    </row>
    <row r="1116" spans="1:38" s="74" customFormat="1" ht="30.6" outlineLevel="1">
      <c r="A1116" s="148" t="s">
        <v>25</v>
      </c>
      <c r="B1116" s="208" t="s">
        <v>26</v>
      </c>
      <c r="C1116" s="465" t="s">
        <v>769</v>
      </c>
      <c r="D1116" s="238">
        <v>11200491002</v>
      </c>
      <c r="E1116" s="240">
        <v>11200491003</v>
      </c>
      <c r="F1116" s="483" t="s">
        <v>850</v>
      </c>
      <c r="G1116" s="401"/>
      <c r="H1116" s="387" t="s">
        <v>65</v>
      </c>
      <c r="I1116" s="469">
        <v>10</v>
      </c>
      <c r="J1116" s="212">
        <v>5.4799999999999995</v>
      </c>
      <c r="K1116" s="212">
        <f t="shared" si="999"/>
        <v>6.69</v>
      </c>
      <c r="L1116" s="212">
        <f>K1116*G1116</f>
        <v>0</v>
      </c>
      <c r="M1116" s="212">
        <f t="shared" si="1000"/>
        <v>5.4799999999999995</v>
      </c>
      <c r="N1116" s="212">
        <f>M1116*G1116</f>
        <v>0</v>
      </c>
      <c r="O1116" s="467">
        <f t="shared" si="1001"/>
        <v>6.69</v>
      </c>
      <c r="P1116" s="213">
        <f>O1116*G1116</f>
        <v>0</v>
      </c>
      <c r="Q1116" s="132"/>
      <c r="R1116" s="214">
        <f t="shared" si="1002"/>
        <v>535</v>
      </c>
      <c r="AK1116" s="141">
        <f t="shared" si="1003"/>
        <v>535.20000000000005</v>
      </c>
    </row>
    <row r="1117" spans="1:38" outlineLevel="1">
      <c r="A1117" s="36"/>
      <c r="B1117" s="476"/>
      <c r="C1117" s="465"/>
      <c r="D1117" s="469"/>
      <c r="E1117" s="188"/>
      <c r="F1117" s="466"/>
      <c r="G1117" s="401"/>
      <c r="H1117" s="387"/>
      <c r="I1117" s="469"/>
      <c r="J1117" s="212"/>
      <c r="K1117" s="212"/>
      <c r="L1117" s="212"/>
      <c r="M1117" s="212"/>
      <c r="N1117" s="212"/>
      <c r="O1117" s="467"/>
      <c r="P1117" s="213"/>
      <c r="Q1117" s="132"/>
      <c r="R1117" s="222"/>
      <c r="AK1117" s="141"/>
      <c r="AL1117" s="74"/>
    </row>
    <row r="1118" spans="1:38" s="74" customFormat="1" ht="30.6" outlineLevel="1">
      <c r="A1118" s="148" t="s">
        <v>25</v>
      </c>
      <c r="B1118" s="208" t="s">
        <v>26</v>
      </c>
      <c r="C1118" s="465" t="s">
        <v>769</v>
      </c>
      <c r="D1118" s="469"/>
      <c r="E1118" s="188">
        <v>11226541001</v>
      </c>
      <c r="F1118" s="466" t="s">
        <v>851</v>
      </c>
      <c r="G1118" s="401"/>
      <c r="H1118" s="387" t="s">
        <v>65</v>
      </c>
      <c r="I1118" s="469">
        <v>25</v>
      </c>
      <c r="J1118" s="212">
        <v>0.83</v>
      </c>
      <c r="K1118" s="212">
        <f t="shared" si="999"/>
        <v>1.01</v>
      </c>
      <c r="L1118" s="212">
        <f>K1118*G1118</f>
        <v>0</v>
      </c>
      <c r="M1118" s="212">
        <f t="shared" si="1000"/>
        <v>0.83</v>
      </c>
      <c r="N1118" s="212">
        <f>M1118*G1118</f>
        <v>0</v>
      </c>
      <c r="O1118" s="467">
        <f t="shared" si="1001"/>
        <v>1.01</v>
      </c>
      <c r="P1118" s="213">
        <f>O1118*G1118</f>
        <v>0</v>
      </c>
      <c r="Q1118" s="132"/>
      <c r="R1118" s="214">
        <f t="shared" si="1002"/>
        <v>81</v>
      </c>
      <c r="AK1118" s="141">
        <f t="shared" si="1003"/>
        <v>80.800000000000011</v>
      </c>
    </row>
    <row r="1119" spans="1:38" s="74" customFormat="1" ht="30.6" outlineLevel="1">
      <c r="A1119" s="148" t="s">
        <v>25</v>
      </c>
      <c r="B1119" s="208" t="s">
        <v>26</v>
      </c>
      <c r="C1119" s="465" t="s">
        <v>769</v>
      </c>
      <c r="D1119" s="469"/>
      <c r="E1119" s="188">
        <v>11205341001</v>
      </c>
      <c r="F1119" s="466" t="s">
        <v>852</v>
      </c>
      <c r="G1119" s="401"/>
      <c r="H1119" s="387" t="s">
        <v>65</v>
      </c>
      <c r="I1119" s="469">
        <v>25</v>
      </c>
      <c r="J1119" s="212">
        <v>1.59</v>
      </c>
      <c r="K1119" s="212">
        <f t="shared" si="999"/>
        <v>1.94</v>
      </c>
      <c r="L1119" s="212">
        <f>K1119*G1119</f>
        <v>0</v>
      </c>
      <c r="M1119" s="212">
        <f t="shared" si="1000"/>
        <v>1.59</v>
      </c>
      <c r="N1119" s="212">
        <f>M1119*G1119</f>
        <v>0</v>
      </c>
      <c r="O1119" s="467">
        <f t="shared" si="1001"/>
        <v>1.94</v>
      </c>
      <c r="P1119" s="213">
        <f>O1119*G1119</f>
        <v>0</v>
      </c>
      <c r="Q1119" s="132"/>
      <c r="R1119" s="214">
        <f t="shared" si="1002"/>
        <v>155</v>
      </c>
      <c r="AK1119" s="141">
        <f t="shared" si="1003"/>
        <v>155.20000000000002</v>
      </c>
    </row>
    <row r="1120" spans="1:38" s="74" customFormat="1" ht="30.6" outlineLevel="1">
      <c r="A1120" s="148" t="s">
        <v>25</v>
      </c>
      <c r="B1120" s="208" t="s">
        <v>26</v>
      </c>
      <c r="C1120" s="465" t="s">
        <v>769</v>
      </c>
      <c r="D1120" s="238">
        <v>11200271001</v>
      </c>
      <c r="E1120" s="240">
        <v>11200271002</v>
      </c>
      <c r="F1120" s="483" t="s">
        <v>853</v>
      </c>
      <c r="G1120" s="401"/>
      <c r="H1120" s="387" t="s">
        <v>65</v>
      </c>
      <c r="I1120" s="469">
        <v>10</v>
      </c>
      <c r="J1120" s="212">
        <v>6</v>
      </c>
      <c r="K1120" s="212">
        <f t="shared" si="999"/>
        <v>7.32</v>
      </c>
      <c r="L1120" s="212">
        <f>K1120*G1120</f>
        <v>0</v>
      </c>
      <c r="M1120" s="212">
        <f t="shared" si="1000"/>
        <v>6</v>
      </c>
      <c r="N1120" s="212">
        <f>M1120*G1120</f>
        <v>0</v>
      </c>
      <c r="O1120" s="467">
        <f t="shared" si="1001"/>
        <v>7.32</v>
      </c>
      <c r="P1120" s="213">
        <f>O1120*G1120</f>
        <v>0</v>
      </c>
      <c r="Q1120" s="132"/>
      <c r="R1120" s="214">
        <f t="shared" si="1002"/>
        <v>586</v>
      </c>
      <c r="AK1120" s="141">
        <f t="shared" si="1003"/>
        <v>585.6</v>
      </c>
    </row>
    <row r="1121" spans="1:38" outlineLevel="1">
      <c r="A1121" s="36"/>
      <c r="B1121" s="476"/>
      <c r="C1121" s="465"/>
      <c r="D1121" s="469"/>
      <c r="E1121" s="188"/>
      <c r="F1121" s="466"/>
      <c r="G1121" s="401"/>
      <c r="H1121" s="387"/>
      <c r="I1121" s="469"/>
      <c r="J1121" s="212"/>
      <c r="K1121" s="212"/>
      <c r="L1121" s="212"/>
      <c r="M1121" s="212"/>
      <c r="N1121" s="212"/>
      <c r="O1121" s="467"/>
      <c r="P1121" s="213"/>
      <c r="Q1121" s="132"/>
      <c r="R1121" s="222"/>
      <c r="AK1121" s="141"/>
      <c r="AL1121" s="74"/>
    </row>
    <row r="1122" spans="1:38" s="74" customFormat="1" ht="30.6" outlineLevel="1">
      <c r="A1122" s="148" t="s">
        <v>25</v>
      </c>
      <c r="B1122" s="208" t="s">
        <v>26</v>
      </c>
      <c r="C1122" s="465" t="s">
        <v>769</v>
      </c>
      <c r="D1122" s="469"/>
      <c r="E1122" s="188">
        <v>11006611001</v>
      </c>
      <c r="F1122" s="466" t="s">
        <v>854</v>
      </c>
      <c r="G1122" s="401"/>
      <c r="H1122" s="387" t="s">
        <v>65</v>
      </c>
      <c r="I1122" s="469">
        <v>1</v>
      </c>
      <c r="J1122" s="212">
        <v>15.92</v>
      </c>
      <c r="K1122" s="212">
        <f t="shared" ref="K1122:K1132" si="1004">ROUND((J1122*$C$3),2)</f>
        <v>19.420000000000002</v>
      </c>
      <c r="L1122" s="212">
        <f>K1122*G1122</f>
        <v>0</v>
      </c>
      <c r="M1122" s="212">
        <f t="shared" ref="M1122:M1132" si="1005">J1122*(1-$E$5-$E$7)*(1-$E$9)*(1+$E$11)</f>
        <v>15.92</v>
      </c>
      <c r="N1122" s="212">
        <f>M1122*G1122</f>
        <v>0</v>
      </c>
      <c r="O1122" s="467">
        <f t="shared" ref="O1122:O1132" si="1006">ROUND((M1122*$C$3),2)</f>
        <v>19.420000000000002</v>
      </c>
      <c r="P1122" s="213">
        <f>O1122*G1122</f>
        <v>0</v>
      </c>
      <c r="Q1122" s="132"/>
      <c r="R1122" s="214">
        <f t="shared" si="1002"/>
        <v>1554</v>
      </c>
      <c r="AK1122" s="141">
        <f t="shared" si="1003"/>
        <v>1553.6000000000004</v>
      </c>
    </row>
    <row r="1123" spans="1:38" outlineLevel="1">
      <c r="A1123" s="36"/>
      <c r="B1123" s="476"/>
      <c r="C1123" s="465"/>
      <c r="D1123" s="469"/>
      <c r="E1123" s="188"/>
      <c r="F1123" s="466"/>
      <c r="G1123" s="401"/>
      <c r="H1123" s="387"/>
      <c r="I1123" s="469"/>
      <c r="J1123" s="212"/>
      <c r="K1123" s="212"/>
      <c r="L1123" s="212"/>
      <c r="M1123" s="212"/>
      <c r="N1123" s="212"/>
      <c r="O1123" s="467"/>
      <c r="P1123" s="213"/>
      <c r="Q1123" s="132"/>
      <c r="R1123" s="222"/>
      <c r="AK1123" s="141"/>
    </row>
    <row r="1124" spans="1:38" s="74" customFormat="1" ht="30.6" outlineLevel="1">
      <c r="A1124" s="148" t="s">
        <v>25</v>
      </c>
      <c r="B1124" s="208" t="s">
        <v>26</v>
      </c>
      <c r="C1124" s="465" t="s">
        <v>769</v>
      </c>
      <c r="D1124" s="469"/>
      <c r="E1124" s="188">
        <v>11210741002</v>
      </c>
      <c r="F1124" s="466" t="s">
        <v>855</v>
      </c>
      <c r="G1124" s="401"/>
      <c r="H1124" s="387" t="s">
        <v>65</v>
      </c>
      <c r="I1124" s="469">
        <v>100</v>
      </c>
      <c r="J1124" s="212">
        <v>0.38</v>
      </c>
      <c r="K1124" s="212">
        <f t="shared" si="1004"/>
        <v>0.46</v>
      </c>
      <c r="L1124" s="212">
        <f>K1124*G1124</f>
        <v>0</v>
      </c>
      <c r="M1124" s="212">
        <f t="shared" si="1005"/>
        <v>0.38</v>
      </c>
      <c r="N1124" s="212">
        <f>M1124*G1124</f>
        <v>0</v>
      </c>
      <c r="O1124" s="467">
        <f t="shared" si="1006"/>
        <v>0.46</v>
      </c>
      <c r="P1124" s="213">
        <f>O1124*G1124</f>
        <v>0</v>
      </c>
      <c r="Q1124" s="132"/>
      <c r="R1124" s="214">
        <f t="shared" si="1002"/>
        <v>37</v>
      </c>
      <c r="AK1124" s="141">
        <f t="shared" si="1003"/>
        <v>36.800000000000004</v>
      </c>
      <c r="AL1124"/>
    </row>
    <row r="1125" spans="1:38" s="74" customFormat="1" ht="30.6" outlineLevel="1">
      <c r="A1125" s="148" t="s">
        <v>25</v>
      </c>
      <c r="B1125" s="208" t="s">
        <v>26</v>
      </c>
      <c r="C1125" s="465" t="s">
        <v>769</v>
      </c>
      <c r="D1125" s="469"/>
      <c r="E1125" s="188">
        <v>11210841002</v>
      </c>
      <c r="F1125" s="466" t="s">
        <v>856</v>
      </c>
      <c r="G1125" s="401"/>
      <c r="H1125" s="387" t="s">
        <v>65</v>
      </c>
      <c r="I1125" s="469">
        <v>100</v>
      </c>
      <c r="J1125" s="212">
        <v>0.85</v>
      </c>
      <c r="K1125" s="212">
        <f t="shared" si="1004"/>
        <v>1.04</v>
      </c>
      <c r="L1125" s="212">
        <f>K1125*G1125</f>
        <v>0</v>
      </c>
      <c r="M1125" s="212">
        <f t="shared" si="1005"/>
        <v>0.85</v>
      </c>
      <c r="N1125" s="212">
        <f>M1125*G1125</f>
        <v>0</v>
      </c>
      <c r="O1125" s="467">
        <f t="shared" si="1006"/>
        <v>1.04</v>
      </c>
      <c r="P1125" s="213">
        <f>O1125*G1125</f>
        <v>0</v>
      </c>
      <c r="Q1125" s="132"/>
      <c r="R1125" s="214">
        <f t="shared" si="1002"/>
        <v>83</v>
      </c>
      <c r="AK1125" s="141">
        <f t="shared" si="1003"/>
        <v>83.2</v>
      </c>
    </row>
    <row r="1126" spans="1:38" outlineLevel="1">
      <c r="A1126" s="36"/>
      <c r="B1126" s="457"/>
      <c r="C1126" s="465"/>
      <c r="D1126" s="469"/>
      <c r="E1126" s="188"/>
      <c r="F1126" s="466"/>
      <c r="G1126" s="401"/>
      <c r="H1126" s="387"/>
      <c r="I1126" s="469"/>
      <c r="J1126" s="212"/>
      <c r="K1126" s="212"/>
      <c r="L1126" s="212"/>
      <c r="M1126" s="212"/>
      <c r="N1126" s="212"/>
      <c r="O1126" s="467"/>
      <c r="P1126" s="213"/>
      <c r="Q1126" s="132"/>
      <c r="R1126" s="222"/>
      <c r="AK1126" s="141"/>
      <c r="AL1126" s="74"/>
    </row>
    <row r="1127" spans="1:38" s="74" customFormat="1" ht="30.6" outlineLevel="1">
      <c r="A1127" s="148" t="s">
        <v>25</v>
      </c>
      <c r="B1127" s="208" t="s">
        <v>26</v>
      </c>
      <c r="C1127" s="465" t="s">
        <v>769</v>
      </c>
      <c r="D1127" s="469"/>
      <c r="E1127" s="188">
        <v>11221041001</v>
      </c>
      <c r="F1127" s="466" t="s">
        <v>857</v>
      </c>
      <c r="G1127" s="401"/>
      <c r="H1127" s="387" t="s">
        <v>65</v>
      </c>
      <c r="I1127" s="469">
        <v>2</v>
      </c>
      <c r="J1127" s="212">
        <v>37.86</v>
      </c>
      <c r="K1127" s="212">
        <f t="shared" si="1004"/>
        <v>46.19</v>
      </c>
      <c r="L1127" s="212">
        <f>K1127*G1127</f>
        <v>0</v>
      </c>
      <c r="M1127" s="212">
        <f t="shared" si="1005"/>
        <v>37.86</v>
      </c>
      <c r="N1127" s="212">
        <f>M1127*G1127</f>
        <v>0</v>
      </c>
      <c r="O1127" s="467">
        <f t="shared" si="1006"/>
        <v>46.19</v>
      </c>
      <c r="P1127" s="213">
        <f>O1127*G1127</f>
        <v>0</v>
      </c>
      <c r="Q1127" s="132"/>
      <c r="R1127" s="214">
        <f t="shared" si="1002"/>
        <v>3695</v>
      </c>
      <c r="AK1127" s="141">
        <f t="shared" si="1003"/>
        <v>3695.2000000000003</v>
      </c>
    </row>
    <row r="1128" spans="1:38" s="74" customFormat="1" ht="30.6" outlineLevel="1">
      <c r="A1128" s="148" t="s">
        <v>25</v>
      </c>
      <c r="B1128" s="208" t="s">
        <v>26</v>
      </c>
      <c r="C1128" s="465" t="s">
        <v>769</v>
      </c>
      <c r="D1128" s="469"/>
      <c r="E1128" s="188">
        <v>11220051001</v>
      </c>
      <c r="F1128" s="466" t="s">
        <v>858</v>
      </c>
      <c r="G1128" s="401"/>
      <c r="H1128" s="387" t="s">
        <v>65</v>
      </c>
      <c r="I1128" s="469">
        <v>2</v>
      </c>
      <c r="J1128" s="212">
        <v>50.989999999999995</v>
      </c>
      <c r="K1128" s="212">
        <f t="shared" si="1004"/>
        <v>62.21</v>
      </c>
      <c r="L1128" s="212">
        <f>K1128*G1128</f>
        <v>0</v>
      </c>
      <c r="M1128" s="212">
        <f t="shared" si="1005"/>
        <v>50.989999999999995</v>
      </c>
      <c r="N1128" s="212">
        <f>M1128*G1128</f>
        <v>0</v>
      </c>
      <c r="O1128" s="467">
        <f t="shared" si="1006"/>
        <v>62.21</v>
      </c>
      <c r="P1128" s="213">
        <f>O1128*G1128</f>
        <v>0</v>
      </c>
      <c r="Q1128" s="132"/>
      <c r="R1128" s="214">
        <f t="shared" si="1002"/>
        <v>4977</v>
      </c>
      <c r="AK1128" s="141">
        <f t="shared" si="1003"/>
        <v>4976.8</v>
      </c>
      <c r="AL1128"/>
    </row>
    <row r="1129" spans="1:38" outlineLevel="1">
      <c r="A1129" s="36"/>
      <c r="B1129" s="457"/>
      <c r="C1129" s="465"/>
      <c r="D1129" s="248"/>
      <c r="E1129" s="188"/>
      <c r="F1129" s="485"/>
      <c r="G1129" s="401"/>
      <c r="H1129" s="387"/>
      <c r="I1129" s="469"/>
      <c r="J1129" s="212"/>
      <c r="K1129" s="212"/>
      <c r="L1129" s="212"/>
      <c r="M1129" s="212"/>
      <c r="N1129" s="212"/>
      <c r="O1129" s="467"/>
      <c r="P1129" s="213"/>
      <c r="Q1129" s="132"/>
      <c r="R1129" s="222"/>
      <c r="AK1129" s="141"/>
      <c r="AL1129" s="74"/>
    </row>
    <row r="1130" spans="1:38" s="74" customFormat="1" ht="30.6" outlineLevel="1">
      <c r="A1130" s="148" t="s">
        <v>25</v>
      </c>
      <c r="B1130" s="208" t="s">
        <v>26</v>
      </c>
      <c r="C1130" s="465" t="s">
        <v>769</v>
      </c>
      <c r="D1130" s="248"/>
      <c r="E1130" s="188">
        <v>11282431002</v>
      </c>
      <c r="F1130" s="258" t="s">
        <v>859</v>
      </c>
      <c r="G1130" s="401"/>
      <c r="H1130" s="387" t="s">
        <v>65</v>
      </c>
      <c r="I1130" s="469">
        <v>1</v>
      </c>
      <c r="J1130" s="212">
        <v>0.26</v>
      </c>
      <c r="K1130" s="212">
        <f t="shared" si="1004"/>
        <v>0.32</v>
      </c>
      <c r="L1130" s="212">
        <f>K1130*G1130</f>
        <v>0</v>
      </c>
      <c r="M1130" s="212">
        <f t="shared" si="1005"/>
        <v>0.26</v>
      </c>
      <c r="N1130" s="212">
        <f>M1130*G1130</f>
        <v>0</v>
      </c>
      <c r="O1130" s="467">
        <f t="shared" si="1006"/>
        <v>0.32</v>
      </c>
      <c r="P1130" s="213">
        <f>O1130*G1130</f>
        <v>0</v>
      </c>
      <c r="Q1130" s="132"/>
      <c r="R1130" s="214">
        <f t="shared" ref="R1130:R1134" si="1007">ROUND(AK1130,0)</f>
        <v>26</v>
      </c>
      <c r="AK1130" s="141">
        <f t="shared" ref="AK1130:AK1134" si="1008">K1130*$AK$11*(1-$AK$10)</f>
        <v>25.6</v>
      </c>
    </row>
    <row r="1131" spans="1:38" s="74" customFormat="1" ht="30.6" outlineLevel="1">
      <c r="A1131" s="148" t="s">
        <v>25</v>
      </c>
      <c r="B1131" s="208" t="s">
        <v>26</v>
      </c>
      <c r="C1131" s="465" t="s">
        <v>769</v>
      </c>
      <c r="D1131" s="248"/>
      <c r="E1131" s="188">
        <v>11280031001</v>
      </c>
      <c r="F1131" s="258" t="s">
        <v>860</v>
      </c>
      <c r="G1131" s="401"/>
      <c r="H1131" s="387" t="s">
        <v>65</v>
      </c>
      <c r="I1131" s="469">
        <v>1</v>
      </c>
      <c r="J1131" s="212">
        <v>0.35000000000000003</v>
      </c>
      <c r="K1131" s="212">
        <f t="shared" si="1004"/>
        <v>0.43</v>
      </c>
      <c r="L1131" s="212">
        <f>K1131*G1131</f>
        <v>0</v>
      </c>
      <c r="M1131" s="212">
        <f t="shared" si="1005"/>
        <v>0.35000000000000003</v>
      </c>
      <c r="N1131" s="212">
        <f>M1131*G1131</f>
        <v>0</v>
      </c>
      <c r="O1131" s="467">
        <f t="shared" si="1006"/>
        <v>0.43</v>
      </c>
      <c r="P1131" s="213">
        <f>O1131*G1131</f>
        <v>0</v>
      </c>
      <c r="Q1131" s="132"/>
      <c r="R1131" s="214">
        <f t="shared" si="1007"/>
        <v>34</v>
      </c>
      <c r="AK1131" s="141">
        <f t="shared" si="1008"/>
        <v>34.4</v>
      </c>
    </row>
    <row r="1132" spans="1:38" s="74" customFormat="1" ht="30.6" outlineLevel="1">
      <c r="A1132" s="148" t="s">
        <v>25</v>
      </c>
      <c r="B1132" s="208" t="s">
        <v>26</v>
      </c>
      <c r="C1132" s="465" t="s">
        <v>769</v>
      </c>
      <c r="D1132" s="248"/>
      <c r="E1132" s="188">
        <v>11280331002</v>
      </c>
      <c r="F1132" s="258" t="s">
        <v>861</v>
      </c>
      <c r="G1132" s="401"/>
      <c r="H1132" s="387" t="s">
        <v>65</v>
      </c>
      <c r="I1132" s="469">
        <v>1</v>
      </c>
      <c r="J1132" s="212">
        <v>0.42</v>
      </c>
      <c r="K1132" s="212">
        <f t="shared" si="1004"/>
        <v>0.51</v>
      </c>
      <c r="L1132" s="212">
        <f>K1132*G1132</f>
        <v>0</v>
      </c>
      <c r="M1132" s="212">
        <f t="shared" si="1005"/>
        <v>0.42</v>
      </c>
      <c r="N1132" s="212">
        <f>M1132*G1132</f>
        <v>0</v>
      </c>
      <c r="O1132" s="467">
        <f t="shared" si="1006"/>
        <v>0.51</v>
      </c>
      <c r="P1132" s="213">
        <f>O1132*G1132</f>
        <v>0</v>
      </c>
      <c r="Q1132" s="132"/>
      <c r="R1132" s="214">
        <f t="shared" si="1007"/>
        <v>41</v>
      </c>
      <c r="AK1132" s="141">
        <f t="shared" si="1008"/>
        <v>40.800000000000004</v>
      </c>
      <c r="AL1132"/>
    </row>
    <row r="1133" spans="1:38" outlineLevel="1">
      <c r="A1133" s="36"/>
      <c r="B1133" s="321"/>
      <c r="C1133" s="477"/>
      <c r="D1133" s="294"/>
      <c r="E1133" s="217"/>
      <c r="F1133" s="295"/>
      <c r="G1133" s="401"/>
      <c r="H1133" s="480"/>
      <c r="I1133" s="478"/>
      <c r="J1133" s="220"/>
      <c r="K1133" s="220"/>
      <c r="L1133" s="220"/>
      <c r="M1133" s="220"/>
      <c r="N1133" s="220"/>
      <c r="O1133" s="481"/>
      <c r="P1133" s="221"/>
      <c r="Q1133" s="132"/>
      <c r="R1133" s="222"/>
      <c r="AK1133" s="141"/>
      <c r="AL1133" s="74"/>
    </row>
    <row r="1134" spans="1:38" ht="30.6" outlineLevel="1">
      <c r="A1134" s="148" t="s">
        <v>25</v>
      </c>
      <c r="B1134" s="208" t="s">
        <v>26</v>
      </c>
      <c r="C1134" s="465" t="s">
        <v>769</v>
      </c>
      <c r="D1134" s="190">
        <v>11280011001</v>
      </c>
      <c r="E1134" s="188">
        <v>11097271001</v>
      </c>
      <c r="F1134" s="258" t="s">
        <v>862</v>
      </c>
      <c r="G1134" s="401"/>
      <c r="H1134" s="387" t="s">
        <v>65</v>
      </c>
      <c r="I1134" s="469">
        <v>28</v>
      </c>
      <c r="J1134" s="212">
        <v>7.51</v>
      </c>
      <c r="K1134" s="212">
        <f t="shared" ref="K1134" si="1009">ROUND((J1134*$C$3),2)</f>
        <v>9.16</v>
      </c>
      <c r="L1134" s="212">
        <f>K1134*G1134</f>
        <v>0</v>
      </c>
      <c r="M1134" s="212">
        <f t="shared" ref="M1134" si="1010">J1134*(1-$E$5-$E$7)*(1-$E$9)*(1+$E$11)</f>
        <v>7.51</v>
      </c>
      <c r="N1134" s="212">
        <f>M1134*G1134</f>
        <v>0</v>
      </c>
      <c r="O1134" s="467">
        <f t="shared" ref="O1134" si="1011">ROUND((M1134*$C$3),2)</f>
        <v>9.16</v>
      </c>
      <c r="P1134" s="213">
        <f>O1134*G1134</f>
        <v>0</v>
      </c>
      <c r="Q1134" s="132"/>
      <c r="R1134" s="222">
        <f t="shared" si="1007"/>
        <v>733</v>
      </c>
      <c r="AK1134" s="141">
        <f t="shared" si="1008"/>
        <v>732.80000000000007</v>
      </c>
      <c r="AL1134" s="74"/>
    </row>
    <row r="1135" spans="1:38" outlineLevel="1">
      <c r="A1135" s="36"/>
      <c r="B1135" s="296"/>
      <c r="C1135" s="465"/>
      <c r="D1135" s="188"/>
      <c r="E1135" s="188"/>
      <c r="F1135" s="258"/>
      <c r="G1135" s="401"/>
      <c r="H1135" s="387"/>
      <c r="I1135" s="469"/>
      <c r="J1135" s="212"/>
      <c r="K1135" s="212"/>
      <c r="L1135" s="212"/>
      <c r="M1135" s="212"/>
      <c r="N1135" s="212"/>
      <c r="O1135" s="467"/>
      <c r="P1135" s="213"/>
      <c r="Q1135" s="132"/>
      <c r="R1135" s="222"/>
      <c r="AK1135" s="141"/>
    </row>
    <row r="1136" spans="1:38" outlineLevel="1">
      <c r="A1136" s="36"/>
      <c r="B1136" s="486"/>
      <c r="C1136" s="487" t="s">
        <v>863</v>
      </c>
      <c r="D1136" s="488"/>
      <c r="E1136" s="489"/>
      <c r="F1136" s="490" t="s">
        <v>864</v>
      </c>
      <c r="G1136" s="491"/>
      <c r="H1136" s="492"/>
      <c r="I1136" s="492"/>
      <c r="J1136" s="418"/>
      <c r="K1136" s="418"/>
      <c r="L1136" s="493"/>
      <c r="M1136" s="494"/>
      <c r="N1136" s="494"/>
      <c r="O1136" s="495"/>
      <c r="P1136" s="496"/>
      <c r="Q1136" s="132"/>
      <c r="R1136" s="124"/>
      <c r="AK1136" s="141"/>
    </row>
    <row r="1137" spans="1:93" outlineLevel="1">
      <c r="A1137" s="36"/>
      <c r="B1137" s="486"/>
      <c r="C1137" s="497"/>
      <c r="D1137" s="488"/>
      <c r="E1137" s="489"/>
      <c r="F1137" s="490"/>
      <c r="G1137" s="491"/>
      <c r="H1137" s="492"/>
      <c r="I1137" s="492"/>
      <c r="J1137" s="418"/>
      <c r="K1137" s="418"/>
      <c r="L1137" s="496"/>
      <c r="M1137" s="498"/>
      <c r="N1137" s="498"/>
      <c r="O1137" s="495"/>
      <c r="P1137" s="496"/>
      <c r="Q1137" s="132"/>
      <c r="R1137" s="124"/>
      <c r="AK1137" s="141"/>
    </row>
    <row r="1138" spans="1:93" s="92" customFormat="1" outlineLevel="1">
      <c r="A1138" s="155"/>
      <c r="B1138" s="499" t="s">
        <v>30</v>
      </c>
      <c r="C1138" s="500" t="s">
        <v>863</v>
      </c>
      <c r="D1138" s="501"/>
      <c r="E1138" s="240">
        <v>11350543100</v>
      </c>
      <c r="F1138" s="329" t="s">
        <v>865</v>
      </c>
      <c r="G1138" s="502"/>
      <c r="H1138" s="387" t="s">
        <v>28</v>
      </c>
      <c r="I1138" s="387">
        <v>100</v>
      </c>
      <c r="J1138" s="212" t="s">
        <v>49</v>
      </c>
      <c r="K1138" s="212"/>
      <c r="L1138" s="212"/>
      <c r="M1138" s="212"/>
      <c r="N1138" s="212"/>
      <c r="O1138" s="213"/>
      <c r="P1138" s="213"/>
      <c r="Q1138" s="132"/>
      <c r="R1138" s="124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 s="141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</row>
    <row r="1139" spans="1:93" s="92" customFormat="1" outlineLevel="1">
      <c r="A1139" s="155"/>
      <c r="B1139" s="499" t="s">
        <v>30</v>
      </c>
      <c r="C1139" s="500" t="s">
        <v>863</v>
      </c>
      <c r="D1139" s="501"/>
      <c r="E1139" s="240">
        <v>11350643050</v>
      </c>
      <c r="F1139" s="329" t="s">
        <v>866</v>
      </c>
      <c r="G1139" s="455"/>
      <c r="H1139" s="387" t="s">
        <v>28</v>
      </c>
      <c r="I1139" s="387">
        <v>50</v>
      </c>
      <c r="J1139" s="212" t="s">
        <v>49</v>
      </c>
      <c r="K1139" s="212"/>
      <c r="L1139" s="212"/>
      <c r="M1139" s="212"/>
      <c r="N1139" s="212"/>
      <c r="O1139" s="213"/>
      <c r="P1139" s="213"/>
      <c r="Q1139" s="132"/>
      <c r="R1139" s="124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 s="141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</row>
    <row r="1140" spans="1:93" s="92" customFormat="1" outlineLevel="1">
      <c r="A1140" s="155"/>
      <c r="B1140" s="499" t="s">
        <v>30</v>
      </c>
      <c r="C1140" s="500" t="s">
        <v>863</v>
      </c>
      <c r="D1140" s="501"/>
      <c r="E1140" s="240">
        <v>11350743050</v>
      </c>
      <c r="F1140" s="329" t="s">
        <v>867</v>
      </c>
      <c r="G1140" s="455"/>
      <c r="H1140" s="387" t="s">
        <v>28</v>
      </c>
      <c r="I1140" s="387">
        <v>50</v>
      </c>
      <c r="J1140" s="212" t="s">
        <v>49</v>
      </c>
      <c r="K1140" s="212"/>
      <c r="L1140" s="212"/>
      <c r="M1140" s="212"/>
      <c r="N1140" s="212"/>
      <c r="O1140" s="213"/>
      <c r="P1140" s="213"/>
      <c r="Q1140" s="132"/>
      <c r="R1140" s="124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 s="141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</row>
    <row r="1141" spans="1:93" s="92" customFormat="1" outlineLevel="1">
      <c r="A1141" s="155"/>
      <c r="B1141" s="499" t="s">
        <v>30</v>
      </c>
      <c r="C1141" s="500" t="s">
        <v>863</v>
      </c>
      <c r="D1141" s="501"/>
      <c r="E1141" s="503">
        <v>13707951001</v>
      </c>
      <c r="F1141" s="504" t="s">
        <v>868</v>
      </c>
      <c r="G1141" s="455"/>
      <c r="H1141" s="387" t="s">
        <v>28</v>
      </c>
      <c r="I1141" s="387">
        <v>15</v>
      </c>
      <c r="J1141" s="212" t="s">
        <v>49</v>
      </c>
      <c r="K1141" s="212"/>
      <c r="L1141" s="212"/>
      <c r="M1141" s="212"/>
      <c r="N1141" s="212"/>
      <c r="O1141" s="213"/>
      <c r="P1141" s="213"/>
      <c r="Q1141" s="132"/>
      <c r="R1141" s="124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 s="141">
        <f t="shared" ref="AK1141:AK1145" si="1012">K1141*$AK$11*(1-$AK$10)</f>
        <v>0</v>
      </c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</row>
    <row r="1142" spans="1:93" s="92" customFormat="1" outlineLevel="1">
      <c r="A1142" s="155"/>
      <c r="B1142" s="499" t="s">
        <v>30</v>
      </c>
      <c r="C1142" s="500" t="s">
        <v>863</v>
      </c>
      <c r="D1142" s="501"/>
      <c r="E1142" s="503">
        <v>11095881001</v>
      </c>
      <c r="F1142" s="504" t="s">
        <v>869</v>
      </c>
      <c r="G1142" s="455"/>
      <c r="H1142" s="387" t="s">
        <v>28</v>
      </c>
      <c r="I1142" s="387">
        <v>10</v>
      </c>
      <c r="J1142" s="212" t="s">
        <v>49</v>
      </c>
      <c r="K1142" s="212"/>
      <c r="L1142" s="212"/>
      <c r="M1142" s="212"/>
      <c r="N1142" s="212"/>
      <c r="O1142" s="213"/>
      <c r="P1142" s="213"/>
      <c r="Q1142" s="132"/>
      <c r="R1142" s="124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 s="141">
        <f t="shared" si="1012"/>
        <v>0</v>
      </c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</row>
    <row r="1143" spans="1:93" s="92" customFormat="1" outlineLevel="1">
      <c r="A1143" s="155"/>
      <c r="B1143" s="499" t="s">
        <v>30</v>
      </c>
      <c r="C1143" s="500" t="s">
        <v>863</v>
      </c>
      <c r="D1143" s="501"/>
      <c r="E1143" s="503">
        <v>13707871001</v>
      </c>
      <c r="F1143" s="504" t="s">
        <v>870</v>
      </c>
      <c r="G1143" s="455"/>
      <c r="H1143" s="387" t="s">
        <v>28</v>
      </c>
      <c r="I1143" s="387">
        <v>5</v>
      </c>
      <c r="J1143" s="212" t="s">
        <v>49</v>
      </c>
      <c r="K1143" s="212"/>
      <c r="L1143" s="212"/>
      <c r="M1143" s="212"/>
      <c r="N1143" s="212"/>
      <c r="O1143" s="213"/>
      <c r="P1143" s="213"/>
      <c r="Q1143" s="132"/>
      <c r="R1143" s="124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 s="141">
        <f t="shared" si="1012"/>
        <v>0</v>
      </c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</row>
    <row r="1144" spans="1:93" s="92" customFormat="1" outlineLevel="1">
      <c r="A1144" s="155"/>
      <c r="B1144" s="499" t="s">
        <v>30</v>
      </c>
      <c r="C1144" s="500" t="s">
        <v>863</v>
      </c>
      <c r="D1144" s="501"/>
      <c r="E1144" s="503">
        <v>13707881001</v>
      </c>
      <c r="F1144" s="504" t="s">
        <v>871</v>
      </c>
      <c r="G1144" s="455"/>
      <c r="H1144" s="387" t="s">
        <v>28</v>
      </c>
      <c r="I1144" s="387">
        <v>5</v>
      </c>
      <c r="J1144" s="212" t="s">
        <v>49</v>
      </c>
      <c r="K1144" s="212"/>
      <c r="L1144" s="212"/>
      <c r="M1144" s="212"/>
      <c r="N1144" s="212"/>
      <c r="O1144" s="213"/>
      <c r="P1144" s="213"/>
      <c r="Q1144" s="132"/>
      <c r="R1144" s="12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 s="141">
        <f t="shared" si="1012"/>
        <v>0</v>
      </c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</row>
    <row r="1145" spans="1:93" s="92" customFormat="1" outlineLevel="1">
      <c r="A1145" s="155"/>
      <c r="B1145" s="499" t="s">
        <v>30</v>
      </c>
      <c r="C1145" s="500" t="s">
        <v>863</v>
      </c>
      <c r="D1145" s="501"/>
      <c r="E1145" s="503">
        <v>13707891001</v>
      </c>
      <c r="F1145" s="504" t="s">
        <v>872</v>
      </c>
      <c r="G1145" s="455"/>
      <c r="H1145" s="387" t="s">
        <v>28</v>
      </c>
      <c r="I1145" s="387">
        <v>5</v>
      </c>
      <c r="J1145" s="212" t="s">
        <v>49</v>
      </c>
      <c r="K1145" s="212"/>
      <c r="L1145" s="212"/>
      <c r="M1145" s="212"/>
      <c r="N1145" s="212"/>
      <c r="O1145" s="213"/>
      <c r="P1145" s="213"/>
      <c r="Q1145" s="132"/>
      <c r="R1145" s="124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 s="141">
        <f t="shared" si="1012"/>
        <v>0</v>
      </c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</row>
    <row r="1146" spans="1:93" s="92" customFormat="1" outlineLevel="1">
      <c r="A1146" s="155"/>
      <c r="B1146" s="499" t="s">
        <v>30</v>
      </c>
      <c r="C1146" s="500" t="s">
        <v>863</v>
      </c>
      <c r="D1146" s="501"/>
      <c r="E1146" s="503">
        <v>13707901001</v>
      </c>
      <c r="F1146" s="504" t="s">
        <v>873</v>
      </c>
      <c r="G1146" s="455"/>
      <c r="H1146" s="387" t="s">
        <v>28</v>
      </c>
      <c r="I1146" s="387">
        <v>5</v>
      </c>
      <c r="J1146" s="212" t="s">
        <v>49</v>
      </c>
      <c r="K1146" s="212"/>
      <c r="L1146" s="212"/>
      <c r="M1146" s="212"/>
      <c r="N1146" s="212"/>
      <c r="O1146" s="213"/>
      <c r="P1146" s="213"/>
      <c r="Q1146" s="132"/>
      <c r="R1146" s="124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 s="141">
        <f>K1146*$AK$11*(1-$AK$10)</f>
        <v>0</v>
      </c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</row>
    <row r="1147" spans="1:93" s="92" customFormat="1" outlineLevel="1">
      <c r="A1147" s="155"/>
      <c r="B1147" s="499" t="s">
        <v>30</v>
      </c>
      <c r="C1147" s="500" t="s">
        <v>863</v>
      </c>
      <c r="D1147" s="501"/>
      <c r="E1147" s="503">
        <v>13707911001</v>
      </c>
      <c r="F1147" s="504" t="s">
        <v>874</v>
      </c>
      <c r="G1147" s="455"/>
      <c r="H1147" s="387" t="s">
        <v>28</v>
      </c>
      <c r="I1147" s="387">
        <v>5</v>
      </c>
      <c r="J1147" s="212" t="s">
        <v>49</v>
      </c>
      <c r="K1147" s="212"/>
      <c r="L1147" s="212"/>
      <c r="M1147" s="212"/>
      <c r="N1147" s="212"/>
      <c r="O1147" s="213"/>
      <c r="P1147" s="213"/>
      <c r="Q1147" s="132"/>
      <c r="R1147" s="124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 s="141">
        <f t="shared" ref="AK1147:AK1148" si="1013">K1147*$AK$11*(1-$AK$10)</f>
        <v>0</v>
      </c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</row>
    <row r="1148" spans="1:93" s="92" customFormat="1" outlineLevel="1">
      <c r="A1148" s="155"/>
      <c r="B1148" s="499" t="s">
        <v>30</v>
      </c>
      <c r="C1148" s="500" t="s">
        <v>863</v>
      </c>
      <c r="D1148" s="501"/>
      <c r="E1148" s="503">
        <v>13707941001</v>
      </c>
      <c r="F1148" s="504" t="s">
        <v>875</v>
      </c>
      <c r="G1148" s="455"/>
      <c r="H1148" s="387" t="s">
        <v>28</v>
      </c>
      <c r="I1148" s="387">
        <v>5</v>
      </c>
      <c r="J1148" s="212" t="s">
        <v>49</v>
      </c>
      <c r="K1148" s="212"/>
      <c r="L1148" s="212"/>
      <c r="M1148" s="212"/>
      <c r="N1148" s="212"/>
      <c r="O1148" s="213"/>
      <c r="P1148" s="213"/>
      <c r="Q1148" s="132"/>
      <c r="R1148" s="124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 s="141">
        <f t="shared" si="1013"/>
        <v>0</v>
      </c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</row>
    <row r="1149" spans="1:93" s="92" customFormat="1" outlineLevel="1">
      <c r="A1149" s="155"/>
      <c r="B1149" s="499"/>
      <c r="C1149" s="500"/>
      <c r="D1149" s="501"/>
      <c r="E1149" s="505"/>
      <c r="F1149" s="506"/>
      <c r="G1149" s="455"/>
      <c r="H1149" s="501"/>
      <c r="I1149" s="501"/>
      <c r="J1149" s="507"/>
      <c r="K1149" s="507"/>
      <c r="L1149" s="508"/>
      <c r="M1149" s="509"/>
      <c r="N1149" s="509"/>
      <c r="O1149" s="333"/>
      <c r="P1149" s="333"/>
      <c r="Q1149" s="132"/>
      <c r="R1149" s="94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 s="141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</row>
    <row r="1150" spans="1:93" outlineLevel="1">
      <c r="A1150" s="36"/>
      <c r="B1150" s="510"/>
      <c r="C1150" s="487" t="s">
        <v>863</v>
      </c>
      <c r="D1150" s="488"/>
      <c r="E1150" s="511"/>
      <c r="F1150" s="490" t="s">
        <v>876</v>
      </c>
      <c r="G1150" s="512"/>
      <c r="H1150" s="513"/>
      <c r="I1150" s="513"/>
      <c r="J1150" s="418"/>
      <c r="K1150" s="418"/>
      <c r="L1150" s="493"/>
      <c r="M1150" s="494"/>
      <c r="N1150" s="494"/>
      <c r="O1150" s="495"/>
      <c r="P1150" s="496"/>
      <c r="Q1150" s="132"/>
      <c r="R1150" s="94"/>
      <c r="AK1150" s="141"/>
    </row>
    <row r="1151" spans="1:93" s="74" customFormat="1" outlineLevel="1">
      <c r="A1151" s="156"/>
      <c r="B1151" s="225" t="s">
        <v>52</v>
      </c>
      <c r="C1151" s="514" t="s">
        <v>863</v>
      </c>
      <c r="D1151" s="515"/>
      <c r="E1151" s="225">
        <v>11319201005</v>
      </c>
      <c r="F1151" s="516" t="s">
        <v>877</v>
      </c>
      <c r="G1151" s="502"/>
      <c r="H1151" s="515" t="s">
        <v>28</v>
      </c>
      <c r="I1151" s="515">
        <v>5</v>
      </c>
      <c r="J1151" s="229" t="s">
        <v>49</v>
      </c>
      <c r="K1151" s="229"/>
      <c r="L1151" s="517"/>
      <c r="M1151" s="229"/>
      <c r="N1151" s="229"/>
      <c r="O1151" s="230"/>
      <c r="P1151" s="230"/>
      <c r="Q1151" s="132"/>
      <c r="R1151" s="94"/>
      <c r="AK1151" s="143"/>
    </row>
    <row r="1152" spans="1:93" s="74" customFormat="1" outlineLevel="1">
      <c r="A1152" s="156"/>
      <c r="B1152" s="225" t="s">
        <v>52</v>
      </c>
      <c r="C1152" s="514" t="s">
        <v>863</v>
      </c>
      <c r="D1152" s="515"/>
      <c r="E1152" s="225">
        <v>11319201100</v>
      </c>
      <c r="F1152" s="516" t="s">
        <v>878</v>
      </c>
      <c r="G1152" s="502"/>
      <c r="H1152" s="515" t="s">
        <v>28</v>
      </c>
      <c r="I1152" s="515">
        <v>100</v>
      </c>
      <c r="J1152" s="229" t="s">
        <v>49</v>
      </c>
      <c r="K1152" s="229"/>
      <c r="L1152" s="517"/>
      <c r="M1152" s="229"/>
      <c r="N1152" s="229"/>
      <c r="O1152" s="230"/>
      <c r="P1152" s="230"/>
      <c r="Q1152" s="132"/>
      <c r="R1152" s="94"/>
      <c r="AK1152" s="143"/>
    </row>
    <row r="1153" spans="1:37" s="74" customFormat="1" outlineLevel="1">
      <c r="A1153" s="156"/>
      <c r="B1153" s="225" t="s">
        <v>52</v>
      </c>
      <c r="C1153" s="514" t="s">
        <v>863</v>
      </c>
      <c r="D1153" s="515"/>
      <c r="E1153" s="225">
        <v>11319301005</v>
      </c>
      <c r="F1153" s="516" t="s">
        <v>879</v>
      </c>
      <c r="G1153" s="502"/>
      <c r="H1153" s="515" t="s">
        <v>28</v>
      </c>
      <c r="I1153" s="515">
        <v>5</v>
      </c>
      <c r="J1153" s="229" t="s">
        <v>49</v>
      </c>
      <c r="K1153" s="229"/>
      <c r="L1153" s="517"/>
      <c r="M1153" s="229"/>
      <c r="N1153" s="229"/>
      <c r="O1153" s="230"/>
      <c r="P1153" s="230"/>
      <c r="Q1153" s="132"/>
      <c r="R1153" s="94"/>
      <c r="AK1153" s="143"/>
    </row>
    <row r="1154" spans="1:37" s="74" customFormat="1" outlineLevel="1">
      <c r="A1154" s="156"/>
      <c r="B1154" s="225" t="s">
        <v>52</v>
      </c>
      <c r="C1154" s="514" t="s">
        <v>863</v>
      </c>
      <c r="D1154" s="515"/>
      <c r="E1154" s="225">
        <v>11319301100</v>
      </c>
      <c r="F1154" s="516" t="s">
        <v>880</v>
      </c>
      <c r="G1154" s="502"/>
      <c r="H1154" s="515" t="s">
        <v>28</v>
      </c>
      <c r="I1154" s="515">
        <v>100</v>
      </c>
      <c r="J1154" s="229" t="s">
        <v>49</v>
      </c>
      <c r="K1154" s="229"/>
      <c r="L1154" s="517"/>
      <c r="M1154" s="229"/>
      <c r="N1154" s="229"/>
      <c r="O1154" s="230"/>
      <c r="P1154" s="230"/>
      <c r="Q1154" s="132"/>
      <c r="R1154" s="94"/>
      <c r="AK1154" s="143"/>
    </row>
    <row r="1155" spans="1:37" s="74" customFormat="1" outlineLevel="1">
      <c r="A1155" s="156"/>
      <c r="B1155" s="225" t="s">
        <v>52</v>
      </c>
      <c r="C1155" s="514" t="s">
        <v>863</v>
      </c>
      <c r="D1155" s="515"/>
      <c r="E1155" s="225">
        <v>11319401005</v>
      </c>
      <c r="F1155" s="516" t="s">
        <v>881</v>
      </c>
      <c r="G1155" s="502"/>
      <c r="H1155" s="515" t="s">
        <v>28</v>
      </c>
      <c r="I1155" s="515">
        <v>5</v>
      </c>
      <c r="J1155" s="229" t="s">
        <v>49</v>
      </c>
      <c r="K1155" s="229"/>
      <c r="L1155" s="517"/>
      <c r="M1155" s="229"/>
      <c r="N1155" s="229"/>
      <c r="O1155" s="230"/>
      <c r="P1155" s="230"/>
      <c r="Q1155" s="132"/>
      <c r="R1155" s="94"/>
      <c r="AK1155" s="143"/>
    </row>
    <row r="1156" spans="1:37" s="74" customFormat="1" outlineLevel="1">
      <c r="A1156" s="156"/>
      <c r="B1156" s="225" t="s">
        <v>52</v>
      </c>
      <c r="C1156" s="514" t="s">
        <v>863</v>
      </c>
      <c r="D1156" s="515"/>
      <c r="E1156" s="225">
        <v>11319401100</v>
      </c>
      <c r="F1156" s="516" t="s">
        <v>882</v>
      </c>
      <c r="G1156" s="502"/>
      <c r="H1156" s="515" t="s">
        <v>28</v>
      </c>
      <c r="I1156" s="515">
        <v>100</v>
      </c>
      <c r="J1156" s="229" t="s">
        <v>49</v>
      </c>
      <c r="K1156" s="229"/>
      <c r="L1156" s="517"/>
      <c r="M1156" s="229"/>
      <c r="N1156" s="229"/>
      <c r="O1156" s="230"/>
      <c r="P1156" s="230"/>
      <c r="Q1156" s="132"/>
      <c r="R1156" s="94"/>
      <c r="AK1156" s="143"/>
    </row>
    <row r="1157" spans="1:37" s="74" customFormat="1" outlineLevel="1">
      <c r="A1157" s="156"/>
      <c r="B1157" s="225" t="s">
        <v>52</v>
      </c>
      <c r="C1157" s="514" t="s">
        <v>863</v>
      </c>
      <c r="D1157" s="515"/>
      <c r="E1157" s="225">
        <v>11319501005</v>
      </c>
      <c r="F1157" s="516" t="s">
        <v>883</v>
      </c>
      <c r="G1157" s="502"/>
      <c r="H1157" s="515" t="s">
        <v>28</v>
      </c>
      <c r="I1157" s="515">
        <v>5</v>
      </c>
      <c r="J1157" s="229" t="s">
        <v>49</v>
      </c>
      <c r="K1157" s="229"/>
      <c r="L1157" s="517"/>
      <c r="M1157" s="229"/>
      <c r="N1157" s="229"/>
      <c r="O1157" s="230"/>
      <c r="P1157" s="230"/>
      <c r="Q1157" s="132"/>
      <c r="R1157" s="94"/>
      <c r="AK1157" s="143"/>
    </row>
    <row r="1158" spans="1:37" s="74" customFormat="1" outlineLevel="1">
      <c r="A1158" s="156"/>
      <c r="B1158" s="225" t="s">
        <v>52</v>
      </c>
      <c r="C1158" s="514" t="s">
        <v>863</v>
      </c>
      <c r="D1158" s="515"/>
      <c r="E1158" s="225">
        <v>11319601005</v>
      </c>
      <c r="F1158" s="516" t="s">
        <v>884</v>
      </c>
      <c r="G1158" s="502"/>
      <c r="H1158" s="515" t="s">
        <v>28</v>
      </c>
      <c r="I1158" s="515">
        <v>5</v>
      </c>
      <c r="J1158" s="229" t="s">
        <v>49</v>
      </c>
      <c r="K1158" s="229"/>
      <c r="L1158" s="517"/>
      <c r="M1158" s="229"/>
      <c r="N1158" s="229"/>
      <c r="O1158" s="230"/>
      <c r="P1158" s="230"/>
      <c r="Q1158" s="132"/>
      <c r="R1158" s="94"/>
      <c r="AK1158" s="143"/>
    </row>
    <row r="1159" spans="1:37" s="74" customFormat="1" outlineLevel="1">
      <c r="A1159" s="156"/>
      <c r="B1159" s="225" t="s">
        <v>52</v>
      </c>
      <c r="C1159" s="514" t="s">
        <v>863</v>
      </c>
      <c r="D1159" s="515"/>
      <c r="E1159" s="225">
        <v>11319701005</v>
      </c>
      <c r="F1159" s="516" t="s">
        <v>885</v>
      </c>
      <c r="G1159" s="502"/>
      <c r="H1159" s="515" t="s">
        <v>28</v>
      </c>
      <c r="I1159" s="515">
        <v>5</v>
      </c>
      <c r="J1159" s="229" t="s">
        <v>49</v>
      </c>
      <c r="K1159" s="229"/>
      <c r="L1159" s="517"/>
      <c r="M1159" s="229"/>
      <c r="N1159" s="229"/>
      <c r="O1159" s="230"/>
      <c r="P1159" s="230"/>
      <c r="Q1159" s="132"/>
      <c r="R1159" s="94"/>
      <c r="AK1159" s="143"/>
    </row>
    <row r="1160" spans="1:37" s="74" customFormat="1" outlineLevel="1">
      <c r="A1160" s="156"/>
      <c r="B1160" s="225" t="s">
        <v>52</v>
      </c>
      <c r="C1160" s="514" t="s">
        <v>863</v>
      </c>
      <c r="D1160" s="515"/>
      <c r="E1160" s="225">
        <v>11319701100</v>
      </c>
      <c r="F1160" s="516" t="s">
        <v>886</v>
      </c>
      <c r="G1160" s="502"/>
      <c r="H1160" s="515" t="s">
        <v>28</v>
      </c>
      <c r="I1160" s="515">
        <v>100</v>
      </c>
      <c r="J1160" s="229" t="s">
        <v>49</v>
      </c>
      <c r="K1160" s="229"/>
      <c r="L1160" s="517"/>
      <c r="M1160" s="229"/>
      <c r="N1160" s="229"/>
      <c r="O1160" s="230"/>
      <c r="P1160" s="230"/>
      <c r="Q1160" s="132"/>
      <c r="R1160" s="94"/>
      <c r="AK1160" s="143"/>
    </row>
    <row r="1161" spans="1:37" s="74" customFormat="1" outlineLevel="1">
      <c r="A1161" s="156"/>
      <c r="B1161" s="225" t="s">
        <v>52</v>
      </c>
      <c r="C1161" s="514" t="s">
        <v>863</v>
      </c>
      <c r="D1161" s="515"/>
      <c r="E1161" s="225">
        <v>11363121005</v>
      </c>
      <c r="F1161" s="516" t="s">
        <v>887</v>
      </c>
      <c r="G1161" s="502"/>
      <c r="H1161" s="515" t="s">
        <v>28</v>
      </c>
      <c r="I1161" s="515">
        <v>5</v>
      </c>
      <c r="J1161" s="229" t="s">
        <v>49</v>
      </c>
      <c r="K1161" s="229"/>
      <c r="L1161" s="517"/>
      <c r="M1161" s="229"/>
      <c r="N1161" s="229"/>
      <c r="O1161" s="230"/>
      <c r="P1161" s="230"/>
      <c r="Q1161" s="132"/>
      <c r="R1161" s="94"/>
      <c r="AK1161" s="143"/>
    </row>
    <row r="1162" spans="1:37" s="74" customFormat="1" outlineLevel="1">
      <c r="A1162" s="156"/>
      <c r="B1162" s="225" t="s">
        <v>52</v>
      </c>
      <c r="C1162" s="514" t="s">
        <v>863</v>
      </c>
      <c r="D1162" s="515"/>
      <c r="E1162" s="225">
        <v>11363221005</v>
      </c>
      <c r="F1162" s="516" t="s">
        <v>888</v>
      </c>
      <c r="G1162" s="502"/>
      <c r="H1162" s="515" t="s">
        <v>28</v>
      </c>
      <c r="I1162" s="515">
        <v>5</v>
      </c>
      <c r="J1162" s="229" t="s">
        <v>49</v>
      </c>
      <c r="K1162" s="229"/>
      <c r="L1162" s="517"/>
      <c r="M1162" s="229"/>
      <c r="N1162" s="229"/>
      <c r="O1162" s="230"/>
      <c r="P1162" s="230"/>
      <c r="Q1162" s="132"/>
      <c r="R1162" s="94"/>
      <c r="AK1162" s="143"/>
    </row>
    <row r="1163" spans="1:37" s="74" customFormat="1" outlineLevel="1">
      <c r="A1163" s="156"/>
      <c r="B1163" s="225" t="s">
        <v>52</v>
      </c>
      <c r="C1163" s="514" t="s">
        <v>863</v>
      </c>
      <c r="D1163" s="515"/>
      <c r="E1163" s="225">
        <v>11363321005</v>
      </c>
      <c r="F1163" s="516" t="s">
        <v>889</v>
      </c>
      <c r="G1163" s="502"/>
      <c r="H1163" s="515" t="s">
        <v>28</v>
      </c>
      <c r="I1163" s="515">
        <v>5</v>
      </c>
      <c r="J1163" s="229" t="s">
        <v>49</v>
      </c>
      <c r="K1163" s="229"/>
      <c r="L1163" s="517"/>
      <c r="M1163" s="229"/>
      <c r="N1163" s="229"/>
      <c r="O1163" s="230"/>
      <c r="P1163" s="230"/>
      <c r="Q1163" s="132"/>
      <c r="R1163" s="97"/>
      <c r="AK1163" s="143"/>
    </row>
    <row r="1164" spans="1:37" s="74" customFormat="1" outlineLevel="1">
      <c r="A1164" s="156"/>
      <c r="B1164" s="225" t="s">
        <v>52</v>
      </c>
      <c r="C1164" s="514" t="s">
        <v>863</v>
      </c>
      <c r="D1164" s="515"/>
      <c r="E1164" s="225">
        <v>11045411005</v>
      </c>
      <c r="F1164" s="516" t="s">
        <v>890</v>
      </c>
      <c r="G1164" s="502"/>
      <c r="H1164" s="515" t="s">
        <v>28</v>
      </c>
      <c r="I1164" s="515">
        <v>5</v>
      </c>
      <c r="J1164" s="229" t="s">
        <v>49</v>
      </c>
      <c r="K1164" s="229"/>
      <c r="L1164" s="517"/>
      <c r="M1164" s="229"/>
      <c r="N1164" s="229"/>
      <c r="O1164" s="230"/>
      <c r="P1164" s="230"/>
      <c r="Q1164" s="132"/>
      <c r="R1164" s="100"/>
      <c r="AK1164" s="143"/>
    </row>
    <row r="1165" spans="1:37" s="74" customFormat="1" outlineLevel="1">
      <c r="A1165" s="156"/>
      <c r="B1165" s="225" t="s">
        <v>52</v>
      </c>
      <c r="C1165" s="514" t="s">
        <v>863</v>
      </c>
      <c r="D1165" s="515"/>
      <c r="E1165" s="225">
        <v>11364921005</v>
      </c>
      <c r="F1165" s="516" t="s">
        <v>891</v>
      </c>
      <c r="G1165" s="502"/>
      <c r="H1165" s="515" t="s">
        <v>28</v>
      </c>
      <c r="I1165" s="515">
        <v>5</v>
      </c>
      <c r="J1165" s="229" t="s">
        <v>49</v>
      </c>
      <c r="K1165" s="229"/>
      <c r="L1165" s="517"/>
      <c r="M1165" s="229"/>
      <c r="N1165" s="229"/>
      <c r="O1165" s="230"/>
      <c r="P1165" s="230"/>
      <c r="Q1165" s="132"/>
      <c r="R1165" s="94"/>
      <c r="AK1165" s="143"/>
    </row>
    <row r="1166" spans="1:37" outlineLevel="1">
      <c r="A1166" s="36"/>
      <c r="B1166" s="456"/>
      <c r="C1166" s="500"/>
      <c r="D1166" s="387"/>
      <c r="E1166" s="188"/>
      <c r="F1166" s="388"/>
      <c r="G1166" s="455"/>
      <c r="H1166" s="387"/>
      <c r="I1166" s="387"/>
      <c r="J1166" s="212"/>
      <c r="K1166" s="212"/>
      <c r="L1166" s="392"/>
      <c r="M1166" s="279"/>
      <c r="N1166" s="279"/>
      <c r="O1166" s="333"/>
      <c r="P1166" s="333"/>
      <c r="Q1166" s="132"/>
      <c r="R1166" s="97"/>
      <c r="AK1166" s="141"/>
    </row>
    <row r="1167" spans="1:37" outlineLevel="1">
      <c r="A1167" s="36"/>
      <c r="B1167" s="510"/>
      <c r="C1167" s="487" t="s">
        <v>863</v>
      </c>
      <c r="D1167" s="488"/>
      <c r="E1167" s="489"/>
      <c r="F1167" s="490" t="s">
        <v>892</v>
      </c>
      <c r="G1167" s="512"/>
      <c r="H1167" s="513"/>
      <c r="I1167" s="513"/>
      <c r="J1167" s="418"/>
      <c r="K1167" s="418"/>
      <c r="L1167" s="493"/>
      <c r="M1167" s="494"/>
      <c r="N1167" s="494"/>
      <c r="O1167" s="495"/>
      <c r="P1167" s="496"/>
      <c r="Q1167" s="132"/>
      <c r="R1167" s="94"/>
      <c r="AK1167" s="141"/>
    </row>
    <row r="1168" spans="1:37" s="74" customFormat="1" outlineLevel="1">
      <c r="A1168" s="156"/>
      <c r="B1168" s="225" t="s">
        <v>52</v>
      </c>
      <c r="C1168" s="514" t="s">
        <v>863</v>
      </c>
      <c r="D1168" s="515"/>
      <c r="E1168" s="225">
        <v>11350541005</v>
      </c>
      <c r="F1168" s="516" t="s">
        <v>893</v>
      </c>
      <c r="G1168" s="502"/>
      <c r="H1168" s="515" t="s">
        <v>28</v>
      </c>
      <c r="I1168" s="515">
        <v>5</v>
      </c>
      <c r="J1168" s="229" t="s">
        <v>49</v>
      </c>
      <c r="K1168" s="229"/>
      <c r="L1168" s="517"/>
      <c r="M1168" s="229"/>
      <c r="N1168" s="229"/>
      <c r="O1168" s="230"/>
      <c r="P1168" s="230"/>
      <c r="Q1168" s="132"/>
      <c r="R1168" s="94"/>
      <c r="AK1168" s="143"/>
    </row>
    <row r="1169" spans="1:37" s="74" customFormat="1" outlineLevel="1">
      <c r="A1169" s="156"/>
      <c r="B1169" s="225" t="s">
        <v>52</v>
      </c>
      <c r="C1169" s="514" t="s">
        <v>863</v>
      </c>
      <c r="D1169" s="515"/>
      <c r="E1169" s="225">
        <v>11350541100</v>
      </c>
      <c r="F1169" s="516" t="s">
        <v>894</v>
      </c>
      <c r="G1169" s="502"/>
      <c r="H1169" s="515" t="s">
        <v>28</v>
      </c>
      <c r="I1169" s="515">
        <v>100</v>
      </c>
      <c r="J1169" s="229" t="s">
        <v>895</v>
      </c>
      <c r="K1169" s="229"/>
      <c r="L1169" s="517"/>
      <c r="M1169" s="229"/>
      <c r="N1169" s="229"/>
      <c r="O1169" s="230"/>
      <c r="P1169" s="230"/>
      <c r="Q1169" s="132"/>
      <c r="R1169" s="94"/>
      <c r="AK1169" s="143"/>
    </row>
    <row r="1170" spans="1:37" s="74" customFormat="1" outlineLevel="1">
      <c r="A1170" s="156"/>
      <c r="B1170" s="225" t="s">
        <v>52</v>
      </c>
      <c r="C1170" s="514" t="s">
        <v>863</v>
      </c>
      <c r="D1170" s="515"/>
      <c r="E1170" s="225">
        <v>11350641005</v>
      </c>
      <c r="F1170" s="516" t="s">
        <v>896</v>
      </c>
      <c r="G1170" s="502"/>
      <c r="H1170" s="515" t="s">
        <v>28</v>
      </c>
      <c r="I1170" s="515">
        <v>5</v>
      </c>
      <c r="J1170" s="229" t="s">
        <v>49</v>
      </c>
      <c r="K1170" s="229"/>
      <c r="L1170" s="517"/>
      <c r="M1170" s="229"/>
      <c r="N1170" s="229"/>
      <c r="O1170" s="230"/>
      <c r="P1170" s="230"/>
      <c r="Q1170" s="132"/>
      <c r="R1170" s="94"/>
      <c r="AK1170" s="143"/>
    </row>
    <row r="1171" spans="1:37" s="74" customFormat="1" outlineLevel="1">
      <c r="A1171" s="156"/>
      <c r="B1171" s="225" t="s">
        <v>52</v>
      </c>
      <c r="C1171" s="514" t="s">
        <v>863</v>
      </c>
      <c r="D1171" s="515"/>
      <c r="E1171" s="225">
        <v>11350641100</v>
      </c>
      <c r="F1171" s="516" t="s">
        <v>897</v>
      </c>
      <c r="G1171" s="502"/>
      <c r="H1171" s="515" t="s">
        <v>28</v>
      </c>
      <c r="I1171" s="515">
        <v>100</v>
      </c>
      <c r="J1171" s="229" t="s">
        <v>49</v>
      </c>
      <c r="K1171" s="229"/>
      <c r="L1171" s="517"/>
      <c r="M1171" s="229"/>
      <c r="N1171" s="229"/>
      <c r="O1171" s="230"/>
      <c r="P1171" s="230"/>
      <c r="Q1171" s="132"/>
      <c r="R1171" s="94"/>
      <c r="AK1171" s="143"/>
    </row>
    <row r="1172" spans="1:37" s="74" customFormat="1" outlineLevel="1">
      <c r="A1172" s="156"/>
      <c r="B1172" s="225" t="s">
        <v>52</v>
      </c>
      <c r="C1172" s="514" t="s">
        <v>863</v>
      </c>
      <c r="D1172" s="515"/>
      <c r="E1172" s="225">
        <v>11350741005</v>
      </c>
      <c r="F1172" s="516" t="s">
        <v>898</v>
      </c>
      <c r="G1172" s="502"/>
      <c r="H1172" s="515" t="s">
        <v>28</v>
      </c>
      <c r="I1172" s="515">
        <v>5</v>
      </c>
      <c r="J1172" s="229" t="s">
        <v>49</v>
      </c>
      <c r="K1172" s="229"/>
      <c r="L1172" s="517"/>
      <c r="M1172" s="229"/>
      <c r="N1172" s="229"/>
      <c r="O1172" s="230"/>
      <c r="P1172" s="230"/>
      <c r="Q1172" s="132"/>
      <c r="R1172" s="94"/>
      <c r="AK1172" s="143"/>
    </row>
    <row r="1173" spans="1:37" s="74" customFormat="1" outlineLevel="1">
      <c r="A1173" s="156"/>
      <c r="B1173" s="225" t="s">
        <v>52</v>
      </c>
      <c r="C1173" s="514" t="s">
        <v>863</v>
      </c>
      <c r="D1173" s="515"/>
      <c r="E1173" s="225">
        <v>11350841005</v>
      </c>
      <c r="F1173" s="516" t="s">
        <v>899</v>
      </c>
      <c r="G1173" s="502"/>
      <c r="H1173" s="515" t="s">
        <v>28</v>
      </c>
      <c r="I1173" s="515">
        <v>5</v>
      </c>
      <c r="J1173" s="229" t="s">
        <v>49</v>
      </c>
      <c r="K1173" s="229"/>
      <c r="L1173" s="517"/>
      <c r="M1173" s="229"/>
      <c r="N1173" s="229"/>
      <c r="O1173" s="230"/>
      <c r="P1173" s="230"/>
      <c r="Q1173" s="132"/>
      <c r="R1173" s="94"/>
      <c r="AK1173" s="143"/>
    </row>
    <row r="1174" spans="1:37" s="74" customFormat="1" outlineLevel="1">
      <c r="A1174" s="156"/>
      <c r="B1174" s="225" t="s">
        <v>52</v>
      </c>
      <c r="C1174" s="514" t="s">
        <v>863</v>
      </c>
      <c r="D1174" s="515"/>
      <c r="E1174" s="225">
        <v>11350941005</v>
      </c>
      <c r="F1174" s="516" t="s">
        <v>900</v>
      </c>
      <c r="G1174" s="502"/>
      <c r="H1174" s="515" t="s">
        <v>28</v>
      </c>
      <c r="I1174" s="515">
        <v>5</v>
      </c>
      <c r="J1174" s="229" t="s">
        <v>49</v>
      </c>
      <c r="K1174" s="229"/>
      <c r="L1174" s="517"/>
      <c r="M1174" s="229"/>
      <c r="N1174" s="229"/>
      <c r="O1174" s="230"/>
      <c r="P1174" s="230"/>
      <c r="Q1174" s="132"/>
      <c r="R1174" s="94"/>
      <c r="AK1174" s="143"/>
    </row>
    <row r="1175" spans="1:37" s="74" customFormat="1" outlineLevel="1">
      <c r="A1175" s="156"/>
      <c r="B1175" s="225" t="s">
        <v>52</v>
      </c>
      <c r="C1175" s="514" t="s">
        <v>863</v>
      </c>
      <c r="D1175" s="515"/>
      <c r="E1175" s="225">
        <v>11351041005</v>
      </c>
      <c r="F1175" s="516" t="s">
        <v>901</v>
      </c>
      <c r="G1175" s="502"/>
      <c r="H1175" s="515" t="s">
        <v>28</v>
      </c>
      <c r="I1175" s="515">
        <v>5</v>
      </c>
      <c r="J1175" s="229" t="s">
        <v>49</v>
      </c>
      <c r="K1175" s="229"/>
      <c r="L1175" s="517"/>
      <c r="M1175" s="229"/>
      <c r="N1175" s="229"/>
      <c r="O1175" s="230"/>
      <c r="P1175" s="230"/>
      <c r="Q1175" s="132"/>
      <c r="R1175" s="94"/>
      <c r="AK1175" s="143"/>
    </row>
    <row r="1176" spans="1:37" s="74" customFormat="1" outlineLevel="1">
      <c r="A1176" s="156"/>
      <c r="B1176" s="225" t="s">
        <v>52</v>
      </c>
      <c r="C1176" s="514" t="s">
        <v>863</v>
      </c>
      <c r="D1176" s="515"/>
      <c r="E1176" s="225">
        <v>11351141005</v>
      </c>
      <c r="F1176" s="516" t="s">
        <v>902</v>
      </c>
      <c r="G1176" s="502"/>
      <c r="H1176" s="515" t="s">
        <v>28</v>
      </c>
      <c r="I1176" s="515">
        <v>5</v>
      </c>
      <c r="J1176" s="229" t="s">
        <v>49</v>
      </c>
      <c r="K1176" s="229"/>
      <c r="L1176" s="517"/>
      <c r="M1176" s="229"/>
      <c r="N1176" s="229"/>
      <c r="O1176" s="230"/>
      <c r="P1176" s="230"/>
      <c r="Q1176" s="132"/>
      <c r="R1176" s="94"/>
      <c r="AK1176" s="143"/>
    </row>
    <row r="1177" spans="1:37" s="74" customFormat="1" outlineLevel="1">
      <c r="A1177" s="156"/>
      <c r="B1177" s="225" t="s">
        <v>52</v>
      </c>
      <c r="C1177" s="514" t="s">
        <v>863</v>
      </c>
      <c r="D1177" s="515"/>
      <c r="E1177" s="225">
        <v>11351241005</v>
      </c>
      <c r="F1177" s="516" t="s">
        <v>903</v>
      </c>
      <c r="G1177" s="502"/>
      <c r="H1177" s="515" t="s">
        <v>28</v>
      </c>
      <c r="I1177" s="515">
        <v>5</v>
      </c>
      <c r="J1177" s="229" t="s">
        <v>49</v>
      </c>
      <c r="K1177" s="229"/>
      <c r="L1177" s="517"/>
      <c r="M1177" s="229"/>
      <c r="N1177" s="229"/>
      <c r="O1177" s="230"/>
      <c r="P1177" s="230"/>
      <c r="Q1177" s="132"/>
      <c r="R1177" s="94"/>
      <c r="AK1177" s="143"/>
    </row>
    <row r="1178" spans="1:37" s="74" customFormat="1" outlineLevel="1">
      <c r="A1178" s="156"/>
      <c r="B1178" s="225" t="s">
        <v>52</v>
      </c>
      <c r="C1178" s="514" t="s">
        <v>863</v>
      </c>
      <c r="D1178" s="515"/>
      <c r="E1178" s="225">
        <v>11351341005</v>
      </c>
      <c r="F1178" s="516" t="s">
        <v>904</v>
      </c>
      <c r="G1178" s="502"/>
      <c r="H1178" s="515" t="s">
        <v>28</v>
      </c>
      <c r="I1178" s="515">
        <v>5</v>
      </c>
      <c r="J1178" s="229" t="s">
        <v>49</v>
      </c>
      <c r="K1178" s="229"/>
      <c r="L1178" s="517"/>
      <c r="M1178" s="229"/>
      <c r="N1178" s="229"/>
      <c r="O1178" s="230"/>
      <c r="P1178" s="230"/>
      <c r="Q1178" s="132"/>
      <c r="R1178" s="97"/>
      <c r="AK1178" s="143"/>
    </row>
    <row r="1179" spans="1:37" s="74" customFormat="1" outlineLevel="1">
      <c r="A1179" s="156"/>
      <c r="B1179" s="225" t="s">
        <v>52</v>
      </c>
      <c r="C1179" s="514" t="s">
        <v>863</v>
      </c>
      <c r="D1179" s="515"/>
      <c r="E1179" s="225">
        <v>11045511005</v>
      </c>
      <c r="F1179" s="516" t="s">
        <v>905</v>
      </c>
      <c r="G1179" s="502"/>
      <c r="H1179" s="515" t="s">
        <v>28</v>
      </c>
      <c r="I1179" s="515">
        <v>5</v>
      </c>
      <c r="J1179" s="229" t="s">
        <v>49</v>
      </c>
      <c r="K1179" s="229"/>
      <c r="L1179" s="517"/>
      <c r="M1179" s="229"/>
      <c r="N1179" s="229"/>
      <c r="O1179" s="230"/>
      <c r="P1179" s="230"/>
      <c r="Q1179" s="132"/>
      <c r="R1179" s="123"/>
      <c r="AK1179" s="143"/>
    </row>
    <row r="1180" spans="1:37" s="74" customFormat="1" outlineLevel="1">
      <c r="A1180" s="156"/>
      <c r="B1180" s="225" t="s">
        <v>52</v>
      </c>
      <c r="C1180" s="514" t="s">
        <v>863</v>
      </c>
      <c r="D1180" s="515"/>
      <c r="E1180" s="225">
        <v>11351441005</v>
      </c>
      <c r="F1180" s="516" t="s">
        <v>906</v>
      </c>
      <c r="G1180" s="502"/>
      <c r="H1180" s="515" t="s">
        <v>28</v>
      </c>
      <c r="I1180" s="515">
        <v>5</v>
      </c>
      <c r="J1180" s="229" t="s">
        <v>49</v>
      </c>
      <c r="K1180" s="229"/>
      <c r="L1180" s="517"/>
      <c r="M1180" s="229"/>
      <c r="N1180" s="229"/>
      <c r="O1180" s="230"/>
      <c r="P1180" s="230"/>
      <c r="Q1180" s="132"/>
      <c r="R1180" s="94"/>
      <c r="AK1180" s="143"/>
    </row>
    <row r="1181" spans="1:37" outlineLevel="1">
      <c r="A1181" s="36"/>
      <c r="B1181" s="456"/>
      <c r="C1181" s="500"/>
      <c r="D1181" s="387"/>
      <c r="E1181" s="188"/>
      <c r="F1181" s="388"/>
      <c r="G1181" s="455"/>
      <c r="H1181" s="387"/>
      <c r="I1181" s="387"/>
      <c r="J1181" s="212"/>
      <c r="K1181" s="212"/>
      <c r="L1181" s="392"/>
      <c r="M1181" s="279"/>
      <c r="N1181" s="279"/>
      <c r="O1181" s="333"/>
      <c r="P1181" s="333"/>
      <c r="Q1181" s="132"/>
      <c r="R1181" s="94"/>
      <c r="AK1181" s="141"/>
    </row>
    <row r="1182" spans="1:37" outlineLevel="1">
      <c r="A1182" s="36"/>
      <c r="B1182" s="486"/>
      <c r="C1182" s="487" t="s">
        <v>863</v>
      </c>
      <c r="D1182" s="488"/>
      <c r="E1182" s="511"/>
      <c r="F1182" s="490" t="s">
        <v>907</v>
      </c>
      <c r="G1182" s="518"/>
      <c r="H1182" s="492"/>
      <c r="I1182" s="492"/>
      <c r="J1182" s="418"/>
      <c r="K1182" s="418"/>
      <c r="L1182" s="493"/>
      <c r="M1182" s="494"/>
      <c r="N1182" s="494"/>
      <c r="O1182" s="495"/>
      <c r="P1182" s="496"/>
      <c r="Q1182" s="132"/>
      <c r="R1182" s="94"/>
      <c r="AK1182" s="141"/>
    </row>
    <row r="1183" spans="1:37" s="74" customFormat="1" outlineLevel="1">
      <c r="A1183" s="156"/>
      <c r="B1183" s="225" t="s">
        <v>52</v>
      </c>
      <c r="C1183" s="514" t="s">
        <v>863</v>
      </c>
      <c r="D1183" s="515"/>
      <c r="E1183" s="225">
        <v>11351541005</v>
      </c>
      <c r="F1183" s="516" t="s">
        <v>908</v>
      </c>
      <c r="G1183" s="502"/>
      <c r="H1183" s="515" t="s">
        <v>28</v>
      </c>
      <c r="I1183" s="515">
        <v>5</v>
      </c>
      <c r="J1183" s="229" t="s">
        <v>49</v>
      </c>
      <c r="K1183" s="229"/>
      <c r="L1183" s="517"/>
      <c r="M1183" s="229"/>
      <c r="N1183" s="229"/>
      <c r="O1183" s="230"/>
      <c r="P1183" s="230"/>
      <c r="Q1183" s="132"/>
      <c r="R1183" s="94"/>
      <c r="AK1183" s="143"/>
    </row>
    <row r="1184" spans="1:37" s="74" customFormat="1" outlineLevel="1">
      <c r="A1184" s="156"/>
      <c r="B1184" s="225" t="s">
        <v>52</v>
      </c>
      <c r="C1184" s="514" t="s">
        <v>863</v>
      </c>
      <c r="D1184" s="515"/>
      <c r="E1184" s="225">
        <v>11351541100</v>
      </c>
      <c r="F1184" s="516" t="s">
        <v>909</v>
      </c>
      <c r="G1184" s="502"/>
      <c r="H1184" s="515" t="s">
        <v>28</v>
      </c>
      <c r="I1184" s="515">
        <v>100</v>
      </c>
      <c r="J1184" s="229" t="s">
        <v>49</v>
      </c>
      <c r="K1184" s="229"/>
      <c r="L1184" s="517"/>
      <c r="M1184" s="229"/>
      <c r="N1184" s="229"/>
      <c r="O1184" s="230"/>
      <c r="P1184" s="230"/>
      <c r="Q1184" s="132"/>
      <c r="R1184" s="94"/>
      <c r="AK1184" s="143"/>
    </row>
    <row r="1185" spans="1:37" s="74" customFormat="1" outlineLevel="1">
      <c r="A1185" s="156"/>
      <c r="B1185" s="225" t="s">
        <v>52</v>
      </c>
      <c r="C1185" s="514" t="s">
        <v>863</v>
      </c>
      <c r="D1185" s="515"/>
      <c r="E1185" s="225">
        <v>11351641005</v>
      </c>
      <c r="F1185" s="516" t="s">
        <v>910</v>
      </c>
      <c r="G1185" s="502"/>
      <c r="H1185" s="515" t="s">
        <v>28</v>
      </c>
      <c r="I1185" s="515">
        <v>5</v>
      </c>
      <c r="J1185" s="229" t="s">
        <v>49</v>
      </c>
      <c r="K1185" s="229"/>
      <c r="L1185" s="517"/>
      <c r="M1185" s="229"/>
      <c r="N1185" s="229"/>
      <c r="O1185" s="230"/>
      <c r="P1185" s="230"/>
      <c r="Q1185" s="132"/>
      <c r="R1185" s="94"/>
      <c r="AK1185" s="143"/>
    </row>
    <row r="1186" spans="1:37" s="74" customFormat="1" outlineLevel="1">
      <c r="A1186" s="156"/>
      <c r="B1186" s="225" t="s">
        <v>52</v>
      </c>
      <c r="C1186" s="514" t="s">
        <v>863</v>
      </c>
      <c r="D1186" s="515"/>
      <c r="E1186" s="225">
        <v>11351641100</v>
      </c>
      <c r="F1186" s="516" t="s">
        <v>911</v>
      </c>
      <c r="G1186" s="502"/>
      <c r="H1186" s="515" t="s">
        <v>28</v>
      </c>
      <c r="I1186" s="515">
        <v>100</v>
      </c>
      <c r="J1186" s="229" t="s">
        <v>49</v>
      </c>
      <c r="K1186" s="229"/>
      <c r="L1186" s="517"/>
      <c r="M1186" s="229"/>
      <c r="N1186" s="229"/>
      <c r="O1186" s="230"/>
      <c r="P1186" s="230"/>
      <c r="Q1186" s="132"/>
      <c r="R1186" s="94"/>
      <c r="AK1186" s="143"/>
    </row>
    <row r="1187" spans="1:37" s="74" customFormat="1" outlineLevel="1">
      <c r="A1187" s="156"/>
      <c r="B1187" s="225" t="s">
        <v>52</v>
      </c>
      <c r="C1187" s="514" t="s">
        <v>863</v>
      </c>
      <c r="D1187" s="515"/>
      <c r="E1187" s="225">
        <v>11351741005</v>
      </c>
      <c r="F1187" s="516" t="s">
        <v>912</v>
      </c>
      <c r="G1187" s="502"/>
      <c r="H1187" s="515" t="s">
        <v>28</v>
      </c>
      <c r="I1187" s="515">
        <v>5</v>
      </c>
      <c r="J1187" s="229" t="s">
        <v>49</v>
      </c>
      <c r="K1187" s="229"/>
      <c r="L1187" s="517"/>
      <c r="M1187" s="229"/>
      <c r="N1187" s="229"/>
      <c r="O1187" s="230"/>
      <c r="P1187" s="230"/>
      <c r="Q1187" s="132"/>
      <c r="R1187" s="94"/>
      <c r="AK1187" s="143"/>
    </row>
    <row r="1188" spans="1:37" s="74" customFormat="1" outlineLevel="1">
      <c r="A1188" s="156"/>
      <c r="B1188" s="225" t="s">
        <v>52</v>
      </c>
      <c r="C1188" s="514" t="s">
        <v>863</v>
      </c>
      <c r="D1188" s="515"/>
      <c r="E1188" s="225">
        <v>11351841005</v>
      </c>
      <c r="F1188" s="516" t="s">
        <v>913</v>
      </c>
      <c r="G1188" s="502"/>
      <c r="H1188" s="515" t="s">
        <v>28</v>
      </c>
      <c r="I1188" s="515">
        <v>5</v>
      </c>
      <c r="J1188" s="229" t="s">
        <v>49</v>
      </c>
      <c r="K1188" s="229"/>
      <c r="L1188" s="517"/>
      <c r="M1188" s="229"/>
      <c r="N1188" s="229"/>
      <c r="O1188" s="230"/>
      <c r="P1188" s="230"/>
      <c r="Q1188" s="132"/>
      <c r="R1188" s="94"/>
      <c r="AK1188" s="143"/>
    </row>
    <row r="1189" spans="1:37" s="74" customFormat="1" outlineLevel="1">
      <c r="A1189" s="156"/>
      <c r="B1189" s="225" t="s">
        <v>52</v>
      </c>
      <c r="C1189" s="514" t="s">
        <v>863</v>
      </c>
      <c r="D1189" s="515"/>
      <c r="E1189" s="225">
        <v>11351941005</v>
      </c>
      <c r="F1189" s="516" t="s">
        <v>914</v>
      </c>
      <c r="G1189" s="502"/>
      <c r="H1189" s="515" t="s">
        <v>28</v>
      </c>
      <c r="I1189" s="515">
        <v>5</v>
      </c>
      <c r="J1189" s="229" t="s">
        <v>49</v>
      </c>
      <c r="K1189" s="229"/>
      <c r="L1189" s="517"/>
      <c r="M1189" s="229"/>
      <c r="N1189" s="229"/>
      <c r="O1189" s="230"/>
      <c r="P1189" s="230"/>
      <c r="Q1189" s="132"/>
      <c r="R1189" s="94"/>
      <c r="AK1189" s="143"/>
    </row>
    <row r="1190" spans="1:37" s="74" customFormat="1" outlineLevel="1">
      <c r="A1190" s="156"/>
      <c r="B1190" s="225" t="s">
        <v>52</v>
      </c>
      <c r="C1190" s="514" t="s">
        <v>863</v>
      </c>
      <c r="D1190" s="515"/>
      <c r="E1190" s="225">
        <v>11352041005</v>
      </c>
      <c r="F1190" s="516" t="s">
        <v>915</v>
      </c>
      <c r="G1190" s="502"/>
      <c r="H1190" s="515" t="s">
        <v>28</v>
      </c>
      <c r="I1190" s="515">
        <v>5</v>
      </c>
      <c r="J1190" s="229" t="s">
        <v>49</v>
      </c>
      <c r="K1190" s="229"/>
      <c r="L1190" s="517"/>
      <c r="M1190" s="229"/>
      <c r="N1190" s="229"/>
      <c r="O1190" s="230"/>
      <c r="P1190" s="230"/>
      <c r="Q1190" s="132"/>
      <c r="R1190" s="94"/>
      <c r="AK1190" s="143"/>
    </row>
    <row r="1191" spans="1:37" s="74" customFormat="1" outlineLevel="1">
      <c r="A1191" s="156"/>
      <c r="B1191" s="225" t="s">
        <v>52</v>
      </c>
      <c r="C1191" s="514" t="s">
        <v>863</v>
      </c>
      <c r="D1191" s="515"/>
      <c r="E1191" s="225">
        <v>11352141005</v>
      </c>
      <c r="F1191" s="516" t="s">
        <v>916</v>
      </c>
      <c r="G1191" s="502"/>
      <c r="H1191" s="515" t="s">
        <v>28</v>
      </c>
      <c r="I1191" s="515">
        <v>5</v>
      </c>
      <c r="J1191" s="229" t="s">
        <v>49</v>
      </c>
      <c r="K1191" s="229"/>
      <c r="L1191" s="517"/>
      <c r="M1191" s="229"/>
      <c r="N1191" s="229"/>
      <c r="O1191" s="230"/>
      <c r="P1191" s="230"/>
      <c r="Q1191" s="132"/>
      <c r="R1191" s="94"/>
      <c r="AK1191" s="143"/>
    </row>
    <row r="1192" spans="1:37" s="74" customFormat="1" outlineLevel="1">
      <c r="A1192" s="156"/>
      <c r="B1192" s="225" t="s">
        <v>52</v>
      </c>
      <c r="C1192" s="514" t="s">
        <v>863</v>
      </c>
      <c r="D1192" s="515"/>
      <c r="E1192" s="225">
        <v>11352241005</v>
      </c>
      <c r="F1192" s="516" t="s">
        <v>917</v>
      </c>
      <c r="G1192" s="502"/>
      <c r="H1192" s="515" t="s">
        <v>28</v>
      </c>
      <c r="I1192" s="515">
        <v>5</v>
      </c>
      <c r="J1192" s="229" t="s">
        <v>49</v>
      </c>
      <c r="K1192" s="229"/>
      <c r="L1192" s="517"/>
      <c r="M1192" s="229"/>
      <c r="N1192" s="229"/>
      <c r="O1192" s="230"/>
      <c r="P1192" s="230"/>
      <c r="Q1192" s="132"/>
      <c r="R1192" s="94"/>
      <c r="AK1192" s="143"/>
    </row>
    <row r="1193" spans="1:37" s="74" customFormat="1" outlineLevel="1">
      <c r="A1193" s="156"/>
      <c r="B1193" s="225" t="s">
        <v>52</v>
      </c>
      <c r="C1193" s="514" t="s">
        <v>863</v>
      </c>
      <c r="D1193" s="515"/>
      <c r="E1193" s="225">
        <v>11352341005</v>
      </c>
      <c r="F1193" s="516" t="s">
        <v>918</v>
      </c>
      <c r="G1193" s="502"/>
      <c r="H1193" s="515" t="s">
        <v>28</v>
      </c>
      <c r="I1193" s="515">
        <v>5</v>
      </c>
      <c r="J1193" s="229" t="s">
        <v>49</v>
      </c>
      <c r="K1193" s="229"/>
      <c r="L1193" s="517"/>
      <c r="M1193" s="229"/>
      <c r="N1193" s="229"/>
      <c r="O1193" s="230"/>
      <c r="P1193" s="230"/>
      <c r="Q1193" s="132"/>
      <c r="R1193" s="97"/>
      <c r="AK1193" s="143"/>
    </row>
    <row r="1194" spans="1:37" s="74" customFormat="1" outlineLevel="1">
      <c r="A1194" s="156"/>
      <c r="B1194" s="225" t="s">
        <v>52</v>
      </c>
      <c r="C1194" s="514" t="s">
        <v>863</v>
      </c>
      <c r="D1194" s="515"/>
      <c r="E1194" s="225">
        <v>11045611005</v>
      </c>
      <c r="F1194" s="516" t="s">
        <v>919</v>
      </c>
      <c r="G1194" s="502"/>
      <c r="H1194" s="515" t="s">
        <v>28</v>
      </c>
      <c r="I1194" s="515">
        <v>5</v>
      </c>
      <c r="J1194" s="229" t="s">
        <v>49</v>
      </c>
      <c r="K1194" s="229"/>
      <c r="L1194" s="517"/>
      <c r="M1194" s="229"/>
      <c r="N1194" s="229"/>
      <c r="O1194" s="230"/>
      <c r="P1194" s="230"/>
      <c r="Q1194" s="132"/>
      <c r="R1194" s="123"/>
      <c r="AK1194" s="143"/>
    </row>
    <row r="1195" spans="1:37" s="74" customFormat="1" outlineLevel="1">
      <c r="A1195" s="156"/>
      <c r="B1195" s="225" t="s">
        <v>52</v>
      </c>
      <c r="C1195" s="514" t="s">
        <v>863</v>
      </c>
      <c r="D1195" s="515"/>
      <c r="E1195" s="225">
        <v>11352441005</v>
      </c>
      <c r="F1195" s="516" t="s">
        <v>920</v>
      </c>
      <c r="G1195" s="502"/>
      <c r="H1195" s="515" t="s">
        <v>28</v>
      </c>
      <c r="I1195" s="515">
        <v>5</v>
      </c>
      <c r="J1195" s="229" t="s">
        <v>49</v>
      </c>
      <c r="K1195" s="229"/>
      <c r="L1195" s="517"/>
      <c r="M1195" s="229"/>
      <c r="N1195" s="229"/>
      <c r="O1195" s="230"/>
      <c r="P1195" s="230"/>
      <c r="Q1195" s="132"/>
      <c r="R1195" s="94"/>
      <c r="AK1195" s="143"/>
    </row>
    <row r="1196" spans="1:37" outlineLevel="1">
      <c r="A1196" s="36"/>
      <c r="B1196" s="456"/>
      <c r="C1196" s="500"/>
      <c r="D1196" s="387"/>
      <c r="E1196" s="188"/>
      <c r="F1196" s="388"/>
      <c r="G1196" s="455"/>
      <c r="H1196" s="387"/>
      <c r="I1196" s="387"/>
      <c r="J1196" s="212"/>
      <c r="K1196" s="212"/>
      <c r="L1196" s="392"/>
      <c r="M1196" s="279"/>
      <c r="N1196" s="279"/>
      <c r="O1196" s="333"/>
      <c r="P1196" s="333"/>
      <c r="Q1196" s="132"/>
      <c r="R1196" s="94"/>
      <c r="AK1196" s="141"/>
    </row>
    <row r="1197" spans="1:37" outlineLevel="1">
      <c r="A1197" s="36"/>
      <c r="B1197" s="486"/>
      <c r="C1197" s="487" t="s">
        <v>863</v>
      </c>
      <c r="D1197" s="488"/>
      <c r="E1197" s="511"/>
      <c r="F1197" s="490" t="s">
        <v>921</v>
      </c>
      <c r="G1197" s="518"/>
      <c r="H1197" s="492"/>
      <c r="I1197" s="492"/>
      <c r="J1197" s="418"/>
      <c r="K1197" s="418"/>
      <c r="L1197" s="493"/>
      <c r="M1197" s="494"/>
      <c r="N1197" s="494"/>
      <c r="O1197" s="495"/>
      <c r="P1197" s="496"/>
      <c r="Q1197" s="132"/>
      <c r="R1197" s="94"/>
      <c r="AK1197" s="141"/>
    </row>
    <row r="1198" spans="1:37" s="74" customFormat="1" outlineLevel="1">
      <c r="A1198" s="156"/>
      <c r="B1198" s="225" t="s">
        <v>52</v>
      </c>
      <c r="C1198" s="514" t="s">
        <v>863</v>
      </c>
      <c r="D1198" s="515"/>
      <c r="E1198" s="225">
        <v>11043411005</v>
      </c>
      <c r="F1198" s="516" t="s">
        <v>922</v>
      </c>
      <c r="G1198" s="502"/>
      <c r="H1198" s="515" t="s">
        <v>28</v>
      </c>
      <c r="I1198" s="515">
        <v>5</v>
      </c>
      <c r="J1198" s="229" t="s">
        <v>49</v>
      </c>
      <c r="K1198" s="229"/>
      <c r="L1198" s="517"/>
      <c r="M1198" s="229"/>
      <c r="N1198" s="229"/>
      <c r="O1198" s="230"/>
      <c r="P1198" s="230"/>
      <c r="Q1198" s="132"/>
      <c r="R1198" s="94"/>
      <c r="AK1198" s="143"/>
    </row>
    <row r="1199" spans="1:37" s="74" customFormat="1" outlineLevel="1">
      <c r="A1199" s="156"/>
      <c r="B1199" s="225" t="s">
        <v>52</v>
      </c>
      <c r="C1199" s="514" t="s">
        <v>863</v>
      </c>
      <c r="D1199" s="515"/>
      <c r="E1199" s="225">
        <v>11043411100</v>
      </c>
      <c r="F1199" s="516" t="s">
        <v>923</v>
      </c>
      <c r="G1199" s="502"/>
      <c r="H1199" s="515" t="s">
        <v>28</v>
      </c>
      <c r="I1199" s="515">
        <v>100</v>
      </c>
      <c r="J1199" s="229" t="s">
        <v>49</v>
      </c>
      <c r="K1199" s="229"/>
      <c r="L1199" s="517"/>
      <c r="M1199" s="229"/>
      <c r="N1199" s="229"/>
      <c r="O1199" s="230"/>
      <c r="P1199" s="230"/>
      <c r="Q1199" s="132"/>
      <c r="R1199" s="94"/>
      <c r="AK1199" s="143"/>
    </row>
    <row r="1200" spans="1:37" s="74" customFormat="1" outlineLevel="1">
      <c r="A1200" s="156"/>
      <c r="B1200" s="225" t="s">
        <v>52</v>
      </c>
      <c r="C1200" s="514" t="s">
        <v>863</v>
      </c>
      <c r="D1200" s="515"/>
      <c r="E1200" s="225">
        <v>11043511005</v>
      </c>
      <c r="F1200" s="516" t="s">
        <v>924</v>
      </c>
      <c r="G1200" s="502"/>
      <c r="H1200" s="515" t="s">
        <v>28</v>
      </c>
      <c r="I1200" s="515">
        <v>5</v>
      </c>
      <c r="J1200" s="229" t="s">
        <v>49</v>
      </c>
      <c r="K1200" s="229"/>
      <c r="L1200" s="517"/>
      <c r="M1200" s="229"/>
      <c r="N1200" s="229"/>
      <c r="O1200" s="230"/>
      <c r="P1200" s="230"/>
      <c r="Q1200" s="132"/>
      <c r="R1200" s="94"/>
      <c r="AK1200" s="143"/>
    </row>
    <row r="1201" spans="1:37" s="74" customFormat="1" outlineLevel="1">
      <c r="A1201" s="156"/>
      <c r="B1201" s="225" t="s">
        <v>52</v>
      </c>
      <c r="C1201" s="514" t="s">
        <v>863</v>
      </c>
      <c r="D1201" s="515"/>
      <c r="E1201" s="225">
        <v>11043511100</v>
      </c>
      <c r="F1201" s="516" t="s">
        <v>925</v>
      </c>
      <c r="G1201" s="502"/>
      <c r="H1201" s="515" t="s">
        <v>28</v>
      </c>
      <c r="I1201" s="515">
        <v>100</v>
      </c>
      <c r="J1201" s="229" t="s">
        <v>49</v>
      </c>
      <c r="K1201" s="229"/>
      <c r="L1201" s="517"/>
      <c r="M1201" s="229"/>
      <c r="N1201" s="229"/>
      <c r="O1201" s="230"/>
      <c r="P1201" s="230"/>
      <c r="Q1201" s="132"/>
      <c r="R1201" s="94"/>
      <c r="AK1201" s="143"/>
    </row>
    <row r="1202" spans="1:37" s="74" customFormat="1" outlineLevel="1">
      <c r="A1202" s="156"/>
      <c r="B1202" s="225" t="s">
        <v>52</v>
      </c>
      <c r="C1202" s="514" t="s">
        <v>863</v>
      </c>
      <c r="D1202" s="515"/>
      <c r="E1202" s="225">
        <v>11043611005</v>
      </c>
      <c r="F1202" s="516" t="s">
        <v>926</v>
      </c>
      <c r="G1202" s="502"/>
      <c r="H1202" s="515" t="s">
        <v>28</v>
      </c>
      <c r="I1202" s="515">
        <v>5</v>
      </c>
      <c r="J1202" s="229" t="s">
        <v>49</v>
      </c>
      <c r="K1202" s="229"/>
      <c r="L1202" s="517"/>
      <c r="M1202" s="229"/>
      <c r="N1202" s="229"/>
      <c r="O1202" s="230"/>
      <c r="P1202" s="230"/>
      <c r="Q1202" s="132"/>
      <c r="R1202" s="94"/>
      <c r="AK1202" s="143"/>
    </row>
    <row r="1203" spans="1:37" s="74" customFormat="1" outlineLevel="1">
      <c r="A1203" s="156"/>
      <c r="B1203" s="225" t="s">
        <v>52</v>
      </c>
      <c r="C1203" s="514" t="s">
        <v>863</v>
      </c>
      <c r="D1203" s="515"/>
      <c r="E1203" s="225">
        <v>11043711005</v>
      </c>
      <c r="F1203" s="516" t="s">
        <v>927</v>
      </c>
      <c r="G1203" s="502"/>
      <c r="H1203" s="515" t="s">
        <v>28</v>
      </c>
      <c r="I1203" s="515">
        <v>5</v>
      </c>
      <c r="J1203" s="229" t="s">
        <v>49</v>
      </c>
      <c r="K1203" s="229"/>
      <c r="L1203" s="517"/>
      <c r="M1203" s="229"/>
      <c r="N1203" s="229"/>
      <c r="O1203" s="230"/>
      <c r="P1203" s="230"/>
      <c r="Q1203" s="132"/>
      <c r="R1203" s="94"/>
      <c r="AK1203" s="143"/>
    </row>
    <row r="1204" spans="1:37" s="74" customFormat="1" outlineLevel="1">
      <c r="A1204" s="156"/>
      <c r="B1204" s="225" t="s">
        <v>52</v>
      </c>
      <c r="C1204" s="514" t="s">
        <v>863</v>
      </c>
      <c r="D1204" s="515"/>
      <c r="E1204" s="225">
        <v>11043811005</v>
      </c>
      <c r="F1204" s="516" t="s">
        <v>928</v>
      </c>
      <c r="G1204" s="502"/>
      <c r="H1204" s="515" t="s">
        <v>28</v>
      </c>
      <c r="I1204" s="515">
        <v>5</v>
      </c>
      <c r="J1204" s="229" t="s">
        <v>49</v>
      </c>
      <c r="K1204" s="229"/>
      <c r="L1204" s="517"/>
      <c r="M1204" s="229"/>
      <c r="N1204" s="229"/>
      <c r="O1204" s="230"/>
      <c r="P1204" s="230"/>
      <c r="Q1204" s="132"/>
      <c r="R1204" s="94"/>
      <c r="AK1204" s="143"/>
    </row>
    <row r="1205" spans="1:37" s="74" customFormat="1" outlineLevel="1">
      <c r="A1205" s="156"/>
      <c r="B1205" s="225" t="s">
        <v>52</v>
      </c>
      <c r="C1205" s="514" t="s">
        <v>863</v>
      </c>
      <c r="D1205" s="515"/>
      <c r="E1205" s="225">
        <v>11043911005</v>
      </c>
      <c r="F1205" s="516" t="s">
        <v>929</v>
      </c>
      <c r="G1205" s="502"/>
      <c r="H1205" s="515" t="s">
        <v>28</v>
      </c>
      <c r="I1205" s="515">
        <v>5</v>
      </c>
      <c r="J1205" s="229" t="s">
        <v>49</v>
      </c>
      <c r="K1205" s="229"/>
      <c r="L1205" s="517"/>
      <c r="M1205" s="229"/>
      <c r="N1205" s="229"/>
      <c r="O1205" s="230"/>
      <c r="P1205" s="230"/>
      <c r="Q1205" s="132"/>
      <c r="R1205" s="94"/>
      <c r="AK1205" s="143"/>
    </row>
    <row r="1206" spans="1:37" s="74" customFormat="1" outlineLevel="1">
      <c r="A1206" s="156"/>
      <c r="B1206" s="225" t="s">
        <v>52</v>
      </c>
      <c r="C1206" s="514" t="s">
        <v>863</v>
      </c>
      <c r="D1206" s="515"/>
      <c r="E1206" s="225">
        <v>11044011005</v>
      </c>
      <c r="F1206" s="516" t="s">
        <v>930</v>
      </c>
      <c r="G1206" s="502"/>
      <c r="H1206" s="515" t="s">
        <v>28</v>
      </c>
      <c r="I1206" s="515">
        <v>5</v>
      </c>
      <c r="J1206" s="229" t="s">
        <v>49</v>
      </c>
      <c r="K1206" s="229"/>
      <c r="L1206" s="517"/>
      <c r="M1206" s="229"/>
      <c r="N1206" s="229"/>
      <c r="O1206" s="230"/>
      <c r="P1206" s="230"/>
      <c r="Q1206" s="132"/>
      <c r="R1206" s="94"/>
      <c r="AK1206" s="143"/>
    </row>
    <row r="1207" spans="1:37" s="74" customFormat="1" outlineLevel="1">
      <c r="A1207" s="156"/>
      <c r="B1207" s="225" t="s">
        <v>52</v>
      </c>
      <c r="C1207" s="514" t="s">
        <v>863</v>
      </c>
      <c r="D1207" s="515"/>
      <c r="E1207" s="225">
        <v>11044111005</v>
      </c>
      <c r="F1207" s="516" t="s">
        <v>931</v>
      </c>
      <c r="G1207" s="502"/>
      <c r="H1207" s="515" t="s">
        <v>28</v>
      </c>
      <c r="I1207" s="515">
        <v>5</v>
      </c>
      <c r="J1207" s="229" t="s">
        <v>49</v>
      </c>
      <c r="K1207" s="229"/>
      <c r="L1207" s="517"/>
      <c r="M1207" s="229"/>
      <c r="N1207" s="229"/>
      <c r="O1207" s="230"/>
      <c r="P1207" s="230"/>
      <c r="Q1207" s="132"/>
      <c r="R1207" s="94"/>
      <c r="AK1207" s="143"/>
    </row>
    <row r="1208" spans="1:37" s="74" customFormat="1" outlineLevel="1">
      <c r="A1208" s="156"/>
      <c r="B1208" s="225" t="s">
        <v>52</v>
      </c>
      <c r="C1208" s="514" t="s">
        <v>863</v>
      </c>
      <c r="D1208" s="515"/>
      <c r="E1208" s="225">
        <v>11044211005</v>
      </c>
      <c r="F1208" s="516" t="s">
        <v>932</v>
      </c>
      <c r="G1208" s="502"/>
      <c r="H1208" s="515" t="s">
        <v>28</v>
      </c>
      <c r="I1208" s="515">
        <v>5</v>
      </c>
      <c r="J1208" s="229" t="s">
        <v>49</v>
      </c>
      <c r="K1208" s="229"/>
      <c r="L1208" s="517"/>
      <c r="M1208" s="229"/>
      <c r="N1208" s="229"/>
      <c r="O1208" s="230"/>
      <c r="P1208" s="230"/>
      <c r="Q1208" s="132"/>
      <c r="R1208" s="97"/>
      <c r="AK1208" s="143"/>
    </row>
    <row r="1209" spans="1:37" s="74" customFormat="1" outlineLevel="1">
      <c r="A1209" s="156"/>
      <c r="B1209" s="225" t="s">
        <v>52</v>
      </c>
      <c r="C1209" s="514" t="s">
        <v>863</v>
      </c>
      <c r="D1209" s="515"/>
      <c r="E1209" s="225">
        <v>11045711005</v>
      </c>
      <c r="F1209" s="516" t="s">
        <v>933</v>
      </c>
      <c r="G1209" s="502"/>
      <c r="H1209" s="515" t="s">
        <v>28</v>
      </c>
      <c r="I1209" s="515">
        <v>5</v>
      </c>
      <c r="J1209" s="229" t="s">
        <v>49</v>
      </c>
      <c r="K1209" s="229"/>
      <c r="L1209" s="517"/>
      <c r="M1209" s="229"/>
      <c r="N1209" s="229"/>
      <c r="O1209" s="230"/>
      <c r="P1209" s="230"/>
      <c r="Q1209" s="132"/>
      <c r="R1209" s="123"/>
      <c r="AK1209" s="143"/>
    </row>
    <row r="1210" spans="1:37" s="74" customFormat="1" outlineLevel="1">
      <c r="A1210" s="156"/>
      <c r="B1210" s="225" t="s">
        <v>52</v>
      </c>
      <c r="C1210" s="514" t="s">
        <v>863</v>
      </c>
      <c r="D1210" s="515"/>
      <c r="E1210" s="225">
        <v>11044311005</v>
      </c>
      <c r="F1210" s="516" t="s">
        <v>934</v>
      </c>
      <c r="G1210" s="502"/>
      <c r="H1210" s="515" t="s">
        <v>28</v>
      </c>
      <c r="I1210" s="515">
        <v>5</v>
      </c>
      <c r="J1210" s="229" t="s">
        <v>49</v>
      </c>
      <c r="K1210" s="229"/>
      <c r="L1210" s="517"/>
      <c r="M1210" s="229"/>
      <c r="N1210" s="229"/>
      <c r="O1210" s="230"/>
      <c r="P1210" s="230"/>
      <c r="Q1210" s="132"/>
      <c r="R1210" s="94"/>
      <c r="AK1210" s="143"/>
    </row>
    <row r="1211" spans="1:37" outlineLevel="1">
      <c r="A1211" s="36"/>
      <c r="B1211" s="456"/>
      <c r="C1211" s="500"/>
      <c r="D1211" s="387"/>
      <c r="E1211" s="188"/>
      <c r="F1211" s="388"/>
      <c r="G1211" s="455"/>
      <c r="H1211" s="387"/>
      <c r="I1211" s="387"/>
      <c r="J1211" s="212"/>
      <c r="K1211" s="212"/>
      <c r="L1211" s="392"/>
      <c r="M1211" s="279"/>
      <c r="N1211" s="279"/>
      <c r="O1211" s="333"/>
      <c r="P1211" s="333"/>
      <c r="Q1211" s="132"/>
      <c r="R1211" s="94"/>
      <c r="AK1211" s="141"/>
    </row>
    <row r="1212" spans="1:37" outlineLevel="1">
      <c r="A1212" s="36"/>
      <c r="B1212" s="486"/>
      <c r="C1212" s="487" t="s">
        <v>863</v>
      </c>
      <c r="D1212" s="488"/>
      <c r="E1212" s="511"/>
      <c r="F1212" s="490" t="s">
        <v>935</v>
      </c>
      <c r="G1212" s="518"/>
      <c r="H1212" s="492"/>
      <c r="I1212" s="492"/>
      <c r="J1212" s="418"/>
      <c r="K1212" s="418"/>
      <c r="L1212" s="493"/>
      <c r="M1212" s="494"/>
      <c r="N1212" s="494"/>
      <c r="O1212" s="495"/>
      <c r="P1212" s="496"/>
      <c r="Q1212" s="132"/>
      <c r="R1212" s="94"/>
      <c r="AK1212" s="141"/>
    </row>
    <row r="1213" spans="1:37" s="74" customFormat="1" outlineLevel="1">
      <c r="A1213" s="156"/>
      <c r="B1213" s="225" t="s">
        <v>52</v>
      </c>
      <c r="C1213" s="514" t="s">
        <v>863</v>
      </c>
      <c r="D1213" s="515"/>
      <c r="E1213" s="225">
        <v>11366921005</v>
      </c>
      <c r="F1213" s="516" t="s">
        <v>936</v>
      </c>
      <c r="G1213" s="502"/>
      <c r="H1213" s="515" t="s">
        <v>28</v>
      </c>
      <c r="I1213" s="515">
        <v>5</v>
      </c>
      <c r="J1213" s="229" t="s">
        <v>49</v>
      </c>
      <c r="K1213" s="229"/>
      <c r="L1213" s="517"/>
      <c r="M1213" s="229"/>
      <c r="N1213" s="229"/>
      <c r="O1213" s="230"/>
      <c r="P1213" s="230"/>
      <c r="Q1213" s="132"/>
      <c r="R1213" s="94"/>
      <c r="AK1213" s="143"/>
    </row>
    <row r="1214" spans="1:37" s="74" customFormat="1" outlineLevel="1">
      <c r="A1214" s="156"/>
      <c r="B1214" s="225" t="s">
        <v>52</v>
      </c>
      <c r="C1214" s="514" t="s">
        <v>863</v>
      </c>
      <c r="D1214" s="515"/>
      <c r="E1214" s="225">
        <v>11367021005</v>
      </c>
      <c r="F1214" s="516" t="s">
        <v>937</v>
      </c>
      <c r="G1214" s="502"/>
      <c r="H1214" s="515" t="s">
        <v>28</v>
      </c>
      <c r="I1214" s="515">
        <v>5</v>
      </c>
      <c r="J1214" s="229" t="s">
        <v>49</v>
      </c>
      <c r="K1214" s="229"/>
      <c r="L1214" s="517"/>
      <c r="M1214" s="229"/>
      <c r="N1214" s="229"/>
      <c r="O1214" s="230"/>
      <c r="P1214" s="230"/>
      <c r="Q1214" s="132"/>
      <c r="R1214" s="94"/>
      <c r="AK1214" s="143"/>
    </row>
    <row r="1215" spans="1:37" s="74" customFormat="1" outlineLevel="1">
      <c r="A1215" s="156"/>
      <c r="B1215" s="225" t="s">
        <v>52</v>
      </c>
      <c r="C1215" s="514" t="s">
        <v>863</v>
      </c>
      <c r="D1215" s="515"/>
      <c r="E1215" s="225">
        <v>11365021005</v>
      </c>
      <c r="F1215" s="516" t="s">
        <v>938</v>
      </c>
      <c r="G1215" s="502"/>
      <c r="H1215" s="515" t="s">
        <v>28</v>
      </c>
      <c r="I1215" s="515">
        <v>5</v>
      </c>
      <c r="J1215" s="229" t="s">
        <v>49</v>
      </c>
      <c r="K1215" s="229"/>
      <c r="L1215" s="517"/>
      <c r="M1215" s="229"/>
      <c r="N1215" s="229"/>
      <c r="O1215" s="230"/>
      <c r="P1215" s="230"/>
      <c r="Q1215" s="132"/>
      <c r="R1215" s="94"/>
      <c r="AK1215" s="143"/>
    </row>
    <row r="1216" spans="1:37" s="74" customFormat="1" outlineLevel="1">
      <c r="A1216" s="156"/>
      <c r="B1216" s="225" t="s">
        <v>52</v>
      </c>
      <c r="C1216" s="514" t="s">
        <v>863</v>
      </c>
      <c r="D1216" s="515"/>
      <c r="E1216" s="225">
        <v>11365121005</v>
      </c>
      <c r="F1216" s="516" t="s">
        <v>939</v>
      </c>
      <c r="G1216" s="502"/>
      <c r="H1216" s="515" t="s">
        <v>28</v>
      </c>
      <c r="I1216" s="515">
        <v>5</v>
      </c>
      <c r="J1216" s="229" t="s">
        <v>49</v>
      </c>
      <c r="K1216" s="229"/>
      <c r="L1216" s="517"/>
      <c r="M1216" s="229"/>
      <c r="N1216" s="229"/>
      <c r="O1216" s="230"/>
      <c r="P1216" s="230"/>
      <c r="Q1216" s="132"/>
      <c r="R1216" s="94"/>
      <c r="AK1216" s="143"/>
    </row>
    <row r="1217" spans="1:38" s="74" customFormat="1" outlineLevel="1">
      <c r="A1217" s="156"/>
      <c r="B1217" s="225" t="s">
        <v>52</v>
      </c>
      <c r="C1217" s="514" t="s">
        <v>863</v>
      </c>
      <c r="D1217" s="515"/>
      <c r="E1217" s="225">
        <v>11365221005</v>
      </c>
      <c r="F1217" s="516" t="s">
        <v>940</v>
      </c>
      <c r="G1217" s="502"/>
      <c r="H1217" s="515" t="s">
        <v>28</v>
      </c>
      <c r="I1217" s="515">
        <v>5</v>
      </c>
      <c r="J1217" s="229" t="s">
        <v>49</v>
      </c>
      <c r="K1217" s="229"/>
      <c r="L1217" s="517"/>
      <c r="M1217" s="229"/>
      <c r="N1217" s="229"/>
      <c r="O1217" s="230"/>
      <c r="P1217" s="230"/>
      <c r="Q1217" s="132"/>
      <c r="R1217" s="94"/>
      <c r="AK1217" s="143"/>
    </row>
    <row r="1218" spans="1:38" s="74" customFormat="1" outlineLevel="1">
      <c r="A1218" s="156"/>
      <c r="B1218" s="225" t="s">
        <v>52</v>
      </c>
      <c r="C1218" s="514" t="s">
        <v>863</v>
      </c>
      <c r="D1218" s="515"/>
      <c r="E1218" s="225">
        <v>11365321005</v>
      </c>
      <c r="F1218" s="516" t="s">
        <v>941</v>
      </c>
      <c r="G1218" s="502"/>
      <c r="H1218" s="515" t="s">
        <v>28</v>
      </c>
      <c r="I1218" s="515">
        <v>5</v>
      </c>
      <c r="J1218" s="229" t="s">
        <v>49</v>
      </c>
      <c r="K1218" s="229"/>
      <c r="L1218" s="517"/>
      <c r="M1218" s="229"/>
      <c r="N1218" s="229"/>
      <c r="O1218" s="230"/>
      <c r="P1218" s="230"/>
      <c r="Q1218" s="132"/>
      <c r="R1218" s="94"/>
      <c r="AK1218" s="143"/>
    </row>
    <row r="1219" spans="1:38" s="74" customFormat="1" outlineLevel="1">
      <c r="A1219" s="156"/>
      <c r="B1219" s="225" t="s">
        <v>52</v>
      </c>
      <c r="C1219" s="514" t="s">
        <v>863</v>
      </c>
      <c r="D1219" s="515"/>
      <c r="E1219" s="225">
        <v>11365421005</v>
      </c>
      <c r="F1219" s="516" t="s">
        <v>942</v>
      </c>
      <c r="G1219" s="502"/>
      <c r="H1219" s="515" t="s">
        <v>28</v>
      </c>
      <c r="I1219" s="515">
        <v>5</v>
      </c>
      <c r="J1219" s="229" t="s">
        <v>49</v>
      </c>
      <c r="K1219" s="229"/>
      <c r="L1219" s="517"/>
      <c r="M1219" s="229"/>
      <c r="N1219" s="229"/>
      <c r="O1219" s="230"/>
      <c r="P1219" s="230"/>
      <c r="Q1219" s="132"/>
      <c r="R1219" s="94"/>
      <c r="AK1219" s="143"/>
    </row>
    <row r="1220" spans="1:38" s="74" customFormat="1" outlineLevel="1">
      <c r="A1220" s="156"/>
      <c r="B1220" s="225" t="s">
        <v>52</v>
      </c>
      <c r="C1220" s="514" t="s">
        <v>863</v>
      </c>
      <c r="D1220" s="515"/>
      <c r="E1220" s="225">
        <v>11365521005</v>
      </c>
      <c r="F1220" s="516" t="s">
        <v>943</v>
      </c>
      <c r="G1220" s="502"/>
      <c r="H1220" s="515" t="s">
        <v>28</v>
      </c>
      <c r="I1220" s="515">
        <v>5</v>
      </c>
      <c r="J1220" s="229" t="s">
        <v>49</v>
      </c>
      <c r="K1220" s="229"/>
      <c r="L1220" s="517"/>
      <c r="M1220" s="229"/>
      <c r="N1220" s="229"/>
      <c r="O1220" s="230"/>
      <c r="P1220" s="230"/>
      <c r="Q1220" s="132"/>
      <c r="R1220" s="97"/>
      <c r="AK1220" s="143"/>
    </row>
    <row r="1221" spans="1:38" s="74" customFormat="1" outlineLevel="1">
      <c r="A1221" s="156"/>
      <c r="B1221" s="225" t="s">
        <v>52</v>
      </c>
      <c r="C1221" s="514" t="s">
        <v>863</v>
      </c>
      <c r="D1221" s="515"/>
      <c r="E1221" s="225">
        <v>11364041005</v>
      </c>
      <c r="F1221" s="516" t="s">
        <v>944</v>
      </c>
      <c r="G1221" s="502"/>
      <c r="H1221" s="515" t="s">
        <v>28</v>
      </c>
      <c r="I1221" s="515">
        <v>5</v>
      </c>
      <c r="J1221" s="229" t="s">
        <v>49</v>
      </c>
      <c r="K1221" s="229"/>
      <c r="L1221" s="517"/>
      <c r="M1221" s="229"/>
      <c r="N1221" s="229"/>
      <c r="O1221" s="230"/>
      <c r="P1221" s="230"/>
      <c r="Q1221" s="132"/>
      <c r="R1221" s="94"/>
      <c r="AK1221" s="143"/>
    </row>
    <row r="1222" spans="1:38" s="74" customFormat="1" outlineLevel="1">
      <c r="A1222" s="156"/>
      <c r="B1222" s="225" t="s">
        <v>52</v>
      </c>
      <c r="C1222" s="514" t="s">
        <v>863</v>
      </c>
      <c r="D1222" s="515"/>
      <c r="E1222" s="225">
        <v>11366521005</v>
      </c>
      <c r="F1222" s="516" t="s">
        <v>945</v>
      </c>
      <c r="G1222" s="502"/>
      <c r="H1222" s="515" t="s">
        <v>28</v>
      </c>
      <c r="I1222" s="515">
        <v>5</v>
      </c>
      <c r="J1222" s="229" t="s">
        <v>49</v>
      </c>
      <c r="K1222" s="229"/>
      <c r="L1222" s="517"/>
      <c r="M1222" s="229"/>
      <c r="N1222" s="229"/>
      <c r="O1222" s="230"/>
      <c r="P1222" s="230"/>
      <c r="Q1222" s="132"/>
      <c r="R1222" s="94"/>
      <c r="AK1222" s="143"/>
    </row>
    <row r="1223" spans="1:38" outlineLevel="1">
      <c r="A1223" s="36"/>
      <c r="B1223" s="456"/>
      <c r="C1223" s="500"/>
      <c r="D1223" s="387"/>
      <c r="E1223" s="188"/>
      <c r="F1223" s="388"/>
      <c r="G1223" s="455"/>
      <c r="H1223" s="387"/>
      <c r="I1223" s="387"/>
      <c r="J1223" s="212"/>
      <c r="K1223" s="212"/>
      <c r="L1223" s="392"/>
      <c r="M1223" s="279"/>
      <c r="N1223" s="279"/>
      <c r="O1223" s="333"/>
      <c r="P1223" s="333"/>
      <c r="Q1223" s="132"/>
      <c r="R1223" s="94"/>
      <c r="AK1223" s="141"/>
      <c r="AL1223" s="74"/>
    </row>
    <row r="1224" spans="1:38" s="74" customFormat="1" outlineLevel="1">
      <c r="A1224" s="156"/>
      <c r="B1224" s="225" t="s">
        <v>52</v>
      </c>
      <c r="C1224" s="514" t="s">
        <v>863</v>
      </c>
      <c r="D1224" s="515"/>
      <c r="E1224" s="225">
        <v>12434831002</v>
      </c>
      <c r="F1224" s="516" t="s">
        <v>946</v>
      </c>
      <c r="G1224" s="502"/>
      <c r="H1224" s="226" t="s">
        <v>65</v>
      </c>
      <c r="I1224" s="515">
        <v>10</v>
      </c>
      <c r="J1224" s="229" t="s">
        <v>49</v>
      </c>
      <c r="K1224" s="229"/>
      <c r="L1224" s="517"/>
      <c r="M1224" s="229"/>
      <c r="N1224" s="229"/>
      <c r="O1224" s="230"/>
      <c r="P1224" s="230"/>
      <c r="Q1224" s="132"/>
      <c r="R1224" s="94"/>
      <c r="AK1224" s="141"/>
    </row>
    <row r="1225" spans="1:38" s="74" customFormat="1" outlineLevel="1">
      <c r="A1225" s="156"/>
      <c r="B1225" s="225" t="s">
        <v>52</v>
      </c>
      <c r="C1225" s="514" t="s">
        <v>863</v>
      </c>
      <c r="D1225" s="515"/>
      <c r="E1225" s="225">
        <v>12434931002</v>
      </c>
      <c r="F1225" s="516" t="s">
        <v>947</v>
      </c>
      <c r="G1225" s="502"/>
      <c r="H1225" s="226" t="s">
        <v>65</v>
      </c>
      <c r="I1225" s="515">
        <v>10</v>
      </c>
      <c r="J1225" s="229" t="s">
        <v>49</v>
      </c>
      <c r="K1225" s="229"/>
      <c r="L1225" s="517"/>
      <c r="M1225" s="229"/>
      <c r="N1225" s="229"/>
      <c r="O1225" s="230"/>
      <c r="P1225" s="230"/>
      <c r="Q1225" s="132"/>
      <c r="R1225" s="94"/>
      <c r="AK1225" s="141"/>
    </row>
    <row r="1226" spans="1:38" s="74" customFormat="1" outlineLevel="1">
      <c r="A1226" s="156"/>
      <c r="B1226" s="225" t="s">
        <v>52</v>
      </c>
      <c r="C1226" s="514" t="s">
        <v>863</v>
      </c>
      <c r="D1226" s="515"/>
      <c r="E1226" s="225">
        <v>12435031002</v>
      </c>
      <c r="F1226" s="516" t="s">
        <v>948</v>
      </c>
      <c r="G1226" s="502"/>
      <c r="H1226" s="226" t="s">
        <v>65</v>
      </c>
      <c r="I1226" s="515">
        <v>10</v>
      </c>
      <c r="J1226" s="229" t="s">
        <v>49</v>
      </c>
      <c r="K1226" s="229"/>
      <c r="L1226" s="517"/>
      <c r="M1226" s="229"/>
      <c r="N1226" s="229"/>
      <c r="O1226" s="230"/>
      <c r="P1226" s="230"/>
      <c r="Q1226" s="132"/>
      <c r="R1226" s="94"/>
      <c r="AK1226" s="141"/>
    </row>
    <row r="1227" spans="1:38" s="74" customFormat="1" outlineLevel="1">
      <c r="A1227" s="156"/>
      <c r="B1227" s="225" t="s">
        <v>52</v>
      </c>
      <c r="C1227" s="514" t="s">
        <v>863</v>
      </c>
      <c r="D1227" s="515"/>
      <c r="E1227" s="225">
        <v>12435131002</v>
      </c>
      <c r="F1227" s="516" t="s">
        <v>949</v>
      </c>
      <c r="G1227" s="502"/>
      <c r="H1227" s="226" t="s">
        <v>65</v>
      </c>
      <c r="I1227" s="515">
        <v>5</v>
      </c>
      <c r="J1227" s="229" t="s">
        <v>49</v>
      </c>
      <c r="K1227" s="229"/>
      <c r="L1227" s="517"/>
      <c r="M1227" s="229"/>
      <c r="N1227" s="229"/>
      <c r="O1227" s="230"/>
      <c r="P1227" s="230"/>
      <c r="Q1227" s="132"/>
      <c r="R1227" s="94"/>
      <c r="AK1227" s="141"/>
    </row>
    <row r="1228" spans="1:38" s="74" customFormat="1" outlineLevel="1">
      <c r="A1228" s="156"/>
      <c r="B1228" s="225" t="s">
        <v>52</v>
      </c>
      <c r="C1228" s="514" t="s">
        <v>863</v>
      </c>
      <c r="D1228" s="515"/>
      <c r="E1228" s="225">
        <v>12435231002</v>
      </c>
      <c r="F1228" s="516" t="s">
        <v>950</v>
      </c>
      <c r="G1228" s="502"/>
      <c r="H1228" s="226" t="s">
        <v>65</v>
      </c>
      <c r="I1228" s="515">
        <v>5</v>
      </c>
      <c r="J1228" s="229" t="s">
        <v>49</v>
      </c>
      <c r="K1228" s="229"/>
      <c r="L1228" s="517"/>
      <c r="M1228" s="229"/>
      <c r="N1228" s="229"/>
      <c r="O1228" s="230"/>
      <c r="P1228" s="230"/>
      <c r="Q1228" s="132"/>
      <c r="R1228" s="94"/>
      <c r="AK1228" s="141"/>
    </row>
    <row r="1229" spans="1:38" s="74" customFormat="1" outlineLevel="1">
      <c r="A1229" s="156"/>
      <c r="B1229" s="225" t="s">
        <v>52</v>
      </c>
      <c r="C1229" s="514" t="s">
        <v>863</v>
      </c>
      <c r="D1229" s="515"/>
      <c r="E1229" s="225">
        <v>12435331002</v>
      </c>
      <c r="F1229" s="516" t="s">
        <v>951</v>
      </c>
      <c r="G1229" s="502"/>
      <c r="H1229" s="226" t="s">
        <v>65</v>
      </c>
      <c r="I1229" s="515">
        <v>5</v>
      </c>
      <c r="J1229" s="229" t="s">
        <v>49</v>
      </c>
      <c r="K1229" s="229"/>
      <c r="L1229" s="517"/>
      <c r="M1229" s="229"/>
      <c r="N1229" s="229"/>
      <c r="O1229" s="230"/>
      <c r="P1229" s="230"/>
      <c r="Q1229" s="132"/>
      <c r="R1229" s="94"/>
      <c r="AK1229" s="141"/>
    </row>
    <row r="1230" spans="1:38" s="74" customFormat="1" outlineLevel="1">
      <c r="A1230" s="156"/>
      <c r="B1230" s="225" t="s">
        <v>52</v>
      </c>
      <c r="C1230" s="514" t="s">
        <v>863</v>
      </c>
      <c r="D1230" s="515"/>
      <c r="E1230" s="225">
        <v>12228551001</v>
      </c>
      <c r="F1230" s="516" t="s">
        <v>952</v>
      </c>
      <c r="G1230" s="502"/>
      <c r="H1230" s="515" t="s">
        <v>65</v>
      </c>
      <c r="I1230" s="515">
        <v>1</v>
      </c>
      <c r="J1230" s="229" t="s">
        <v>49</v>
      </c>
      <c r="K1230" s="229"/>
      <c r="L1230" s="517"/>
      <c r="M1230" s="229"/>
      <c r="N1230" s="229"/>
      <c r="O1230" s="230"/>
      <c r="P1230" s="230"/>
      <c r="Q1230" s="132"/>
      <c r="R1230" s="94"/>
      <c r="AK1230" s="141"/>
    </row>
    <row r="1231" spans="1:38" s="74" customFormat="1" outlineLevel="1">
      <c r="A1231" s="156"/>
      <c r="B1231" s="225" t="s">
        <v>52</v>
      </c>
      <c r="C1231" s="514" t="s">
        <v>863</v>
      </c>
      <c r="D1231" s="515"/>
      <c r="E1231" s="225">
        <v>12228561001</v>
      </c>
      <c r="F1231" s="516" t="s">
        <v>953</v>
      </c>
      <c r="G1231" s="502"/>
      <c r="H1231" s="515" t="s">
        <v>65</v>
      </c>
      <c r="I1231" s="515">
        <v>1</v>
      </c>
      <c r="J1231" s="229" t="s">
        <v>49</v>
      </c>
      <c r="K1231" s="229"/>
      <c r="L1231" s="517"/>
      <c r="M1231" s="229"/>
      <c r="N1231" s="229"/>
      <c r="O1231" s="230"/>
      <c r="P1231" s="230"/>
      <c r="Q1231" s="132"/>
      <c r="R1231" s="94"/>
      <c r="AK1231" s="141"/>
    </row>
    <row r="1232" spans="1:38" s="74" customFormat="1" outlineLevel="1">
      <c r="A1232" s="156"/>
      <c r="B1232" s="225" t="s">
        <v>52</v>
      </c>
      <c r="C1232" s="514" t="s">
        <v>863</v>
      </c>
      <c r="D1232" s="515"/>
      <c r="E1232" s="225">
        <v>12228571001</v>
      </c>
      <c r="F1232" s="516" t="s">
        <v>954</v>
      </c>
      <c r="G1232" s="502"/>
      <c r="H1232" s="515" t="s">
        <v>65</v>
      </c>
      <c r="I1232" s="515">
        <v>1</v>
      </c>
      <c r="J1232" s="229" t="s">
        <v>49</v>
      </c>
      <c r="K1232" s="229"/>
      <c r="L1232" s="517"/>
      <c r="M1232" s="229"/>
      <c r="N1232" s="229"/>
      <c r="O1232" s="230"/>
      <c r="P1232" s="230"/>
      <c r="Q1232" s="132"/>
      <c r="R1232" s="97"/>
      <c r="AK1232" s="141"/>
      <c r="AL1232"/>
    </row>
    <row r="1233" spans="1:38" s="74" customFormat="1" outlineLevel="1">
      <c r="A1233" s="156"/>
      <c r="B1233" s="225" t="s">
        <v>52</v>
      </c>
      <c r="C1233" s="514" t="s">
        <v>863</v>
      </c>
      <c r="D1233" s="515"/>
      <c r="E1233" s="225">
        <v>12316661001</v>
      </c>
      <c r="F1233" s="516" t="s">
        <v>955</v>
      </c>
      <c r="G1233" s="502"/>
      <c r="H1233" s="515" t="s">
        <v>65</v>
      </c>
      <c r="I1233" s="515">
        <v>1</v>
      </c>
      <c r="J1233" s="229" t="s">
        <v>49</v>
      </c>
      <c r="K1233" s="229"/>
      <c r="L1233" s="517"/>
      <c r="M1233" s="229"/>
      <c r="N1233" s="229"/>
      <c r="O1233" s="230"/>
      <c r="P1233" s="230"/>
      <c r="Q1233" s="132"/>
      <c r="R1233" s="123"/>
      <c r="AK1233" s="141"/>
      <c r="AL1233"/>
    </row>
    <row r="1234" spans="1:38" s="74" customFormat="1" outlineLevel="1">
      <c r="A1234" s="156"/>
      <c r="B1234" s="225" t="s">
        <v>52</v>
      </c>
      <c r="C1234" s="514" t="s">
        <v>863</v>
      </c>
      <c r="D1234" s="515"/>
      <c r="E1234" s="225">
        <v>12346001001</v>
      </c>
      <c r="F1234" s="516" t="s">
        <v>956</v>
      </c>
      <c r="G1234" s="502"/>
      <c r="H1234" s="515" t="s">
        <v>65</v>
      </c>
      <c r="I1234" s="515">
        <v>1</v>
      </c>
      <c r="J1234" s="229" t="s">
        <v>49</v>
      </c>
      <c r="K1234" s="229"/>
      <c r="L1234" s="517"/>
      <c r="M1234" s="229"/>
      <c r="N1234" s="229"/>
      <c r="O1234" s="230"/>
      <c r="P1234" s="230"/>
      <c r="Q1234" s="132"/>
      <c r="R1234" s="94"/>
      <c r="AK1234" s="141"/>
    </row>
    <row r="1235" spans="1:38" outlineLevel="1">
      <c r="A1235" s="36"/>
      <c r="B1235" s="456"/>
      <c r="C1235" s="500"/>
      <c r="D1235" s="387"/>
      <c r="E1235" s="188"/>
      <c r="F1235" s="388"/>
      <c r="G1235" s="455"/>
      <c r="H1235" s="387"/>
      <c r="I1235" s="387"/>
      <c r="J1235" s="212"/>
      <c r="K1235" s="212"/>
      <c r="L1235" s="392"/>
      <c r="M1235" s="279"/>
      <c r="N1235" s="279"/>
      <c r="O1235" s="333"/>
      <c r="P1235" s="333"/>
      <c r="Q1235" s="132"/>
      <c r="R1235" s="94"/>
      <c r="AK1235" s="141"/>
      <c r="AL1235" s="74"/>
    </row>
    <row r="1236" spans="1:38" outlineLevel="1">
      <c r="A1236" s="36"/>
      <c r="B1236" s="486"/>
      <c r="C1236" s="487" t="s">
        <v>863</v>
      </c>
      <c r="D1236" s="488"/>
      <c r="E1236" s="511"/>
      <c r="F1236" s="490" t="s">
        <v>957</v>
      </c>
      <c r="G1236" s="518"/>
      <c r="H1236" s="492"/>
      <c r="I1236" s="488"/>
      <c r="J1236" s="418"/>
      <c r="K1236" s="418"/>
      <c r="L1236" s="493"/>
      <c r="M1236" s="494"/>
      <c r="N1236" s="494"/>
      <c r="O1236" s="495"/>
      <c r="P1236" s="496"/>
      <c r="Q1236" s="132"/>
      <c r="R1236" s="94"/>
      <c r="AK1236" s="141"/>
      <c r="AL1236" s="74"/>
    </row>
    <row r="1237" spans="1:38" s="74" customFormat="1" outlineLevel="1">
      <c r="A1237" s="156"/>
      <c r="B1237" s="225" t="s">
        <v>52</v>
      </c>
      <c r="C1237" s="514" t="s">
        <v>863</v>
      </c>
      <c r="D1237" s="515"/>
      <c r="E1237" s="225">
        <v>11395621001</v>
      </c>
      <c r="F1237" s="516" t="s">
        <v>958</v>
      </c>
      <c r="G1237" s="502"/>
      <c r="H1237" s="515" t="s">
        <v>65</v>
      </c>
      <c r="I1237" s="515">
        <v>100</v>
      </c>
      <c r="J1237" s="229" t="s">
        <v>49</v>
      </c>
      <c r="K1237" s="229"/>
      <c r="L1237" s="517"/>
      <c r="M1237" s="229"/>
      <c r="N1237" s="229"/>
      <c r="O1237" s="230"/>
      <c r="P1237" s="230"/>
      <c r="Q1237" s="132"/>
      <c r="R1237" s="94"/>
      <c r="AK1237" s="141"/>
    </row>
    <row r="1238" spans="1:38" s="74" customFormat="1" outlineLevel="1">
      <c r="A1238" s="156"/>
      <c r="B1238" s="225" t="s">
        <v>52</v>
      </c>
      <c r="C1238" s="514" t="s">
        <v>863</v>
      </c>
      <c r="D1238" s="515"/>
      <c r="E1238" s="225">
        <v>11395721001</v>
      </c>
      <c r="F1238" s="516" t="s">
        <v>959</v>
      </c>
      <c r="G1238" s="502"/>
      <c r="H1238" s="515" t="s">
        <v>65</v>
      </c>
      <c r="I1238" s="515">
        <v>50</v>
      </c>
      <c r="J1238" s="229" t="s">
        <v>49</v>
      </c>
      <c r="K1238" s="229"/>
      <c r="L1238" s="517"/>
      <c r="M1238" s="229"/>
      <c r="N1238" s="229"/>
      <c r="O1238" s="230"/>
      <c r="P1238" s="230"/>
      <c r="Q1238" s="132"/>
      <c r="R1238" s="94"/>
      <c r="AK1238" s="141"/>
    </row>
    <row r="1239" spans="1:38" s="74" customFormat="1" outlineLevel="1">
      <c r="A1239" s="156"/>
      <c r="B1239" s="225" t="s">
        <v>52</v>
      </c>
      <c r="C1239" s="514" t="s">
        <v>863</v>
      </c>
      <c r="D1239" s="515"/>
      <c r="E1239" s="225">
        <v>11394921001</v>
      </c>
      <c r="F1239" s="516" t="s">
        <v>960</v>
      </c>
      <c r="G1239" s="502"/>
      <c r="H1239" s="515" t="s">
        <v>65</v>
      </c>
      <c r="I1239" s="515">
        <v>50</v>
      </c>
      <c r="J1239" s="229" t="s">
        <v>49</v>
      </c>
      <c r="K1239" s="229"/>
      <c r="L1239" s="517"/>
      <c r="M1239" s="229"/>
      <c r="N1239" s="229"/>
      <c r="O1239" s="230"/>
      <c r="P1239" s="230"/>
      <c r="Q1239" s="132"/>
      <c r="R1239" s="94"/>
      <c r="AK1239" s="141"/>
    </row>
    <row r="1240" spans="1:38" s="74" customFormat="1" outlineLevel="1">
      <c r="A1240" s="156"/>
      <c r="B1240" s="225" t="s">
        <v>52</v>
      </c>
      <c r="C1240" s="514" t="s">
        <v>863</v>
      </c>
      <c r="D1240" s="515"/>
      <c r="E1240" s="225">
        <v>11386831001</v>
      </c>
      <c r="F1240" s="516" t="s">
        <v>961</v>
      </c>
      <c r="G1240" s="502"/>
      <c r="H1240" s="515" t="s">
        <v>65</v>
      </c>
      <c r="I1240" s="515">
        <v>25</v>
      </c>
      <c r="J1240" s="229" t="s">
        <v>49</v>
      </c>
      <c r="K1240" s="229"/>
      <c r="L1240" s="517"/>
      <c r="M1240" s="229"/>
      <c r="N1240" s="229"/>
      <c r="O1240" s="230"/>
      <c r="P1240" s="230"/>
      <c r="Q1240" s="132"/>
      <c r="R1240" s="94"/>
      <c r="AK1240" s="141"/>
    </row>
    <row r="1241" spans="1:38" s="74" customFormat="1" outlineLevel="1">
      <c r="A1241" s="156"/>
      <c r="B1241" s="225" t="s">
        <v>52</v>
      </c>
      <c r="C1241" s="514" t="s">
        <v>863</v>
      </c>
      <c r="D1241" s="515"/>
      <c r="E1241" s="225">
        <v>11386931001</v>
      </c>
      <c r="F1241" s="516" t="s">
        <v>962</v>
      </c>
      <c r="G1241" s="502"/>
      <c r="H1241" s="515" t="s">
        <v>65</v>
      </c>
      <c r="I1241" s="515">
        <v>25</v>
      </c>
      <c r="J1241" s="229" t="s">
        <v>49</v>
      </c>
      <c r="K1241" s="229"/>
      <c r="L1241" s="517"/>
      <c r="M1241" s="229"/>
      <c r="N1241" s="229"/>
      <c r="O1241" s="230"/>
      <c r="P1241" s="230"/>
      <c r="Q1241" s="132"/>
      <c r="R1241" s="94"/>
      <c r="AK1241" s="141"/>
    </row>
    <row r="1242" spans="1:38" s="74" customFormat="1" outlineLevel="1">
      <c r="A1242" s="156"/>
      <c r="B1242" s="225" t="s">
        <v>52</v>
      </c>
      <c r="C1242" s="514" t="s">
        <v>863</v>
      </c>
      <c r="D1242" s="515"/>
      <c r="E1242" s="225">
        <v>11387031001</v>
      </c>
      <c r="F1242" s="516" t="s">
        <v>963</v>
      </c>
      <c r="G1242" s="502"/>
      <c r="H1242" s="515" t="s">
        <v>65</v>
      </c>
      <c r="I1242" s="515">
        <v>25</v>
      </c>
      <c r="J1242" s="229" t="s">
        <v>49</v>
      </c>
      <c r="K1242" s="229"/>
      <c r="L1242" s="517"/>
      <c r="M1242" s="229"/>
      <c r="N1242" s="229"/>
      <c r="O1242" s="230"/>
      <c r="P1242" s="230"/>
      <c r="Q1242" s="132"/>
      <c r="R1242" s="94"/>
      <c r="AK1242" s="141"/>
    </row>
    <row r="1243" spans="1:38" s="74" customFormat="1" outlineLevel="1">
      <c r="A1243" s="156"/>
      <c r="B1243" s="225" t="s">
        <v>52</v>
      </c>
      <c r="C1243" s="514" t="s">
        <v>863</v>
      </c>
      <c r="D1243" s="226">
        <v>12676711001</v>
      </c>
      <c r="E1243" s="519">
        <v>12676711002</v>
      </c>
      <c r="F1243" s="516" t="s">
        <v>964</v>
      </c>
      <c r="G1243" s="502"/>
      <c r="H1243" s="515" t="s">
        <v>65</v>
      </c>
      <c r="I1243" s="515">
        <v>1</v>
      </c>
      <c r="J1243" s="229" t="s">
        <v>49</v>
      </c>
      <c r="K1243" s="229"/>
      <c r="L1243" s="517"/>
      <c r="M1243" s="229"/>
      <c r="N1243" s="229"/>
      <c r="O1243" s="230"/>
      <c r="P1243" s="230"/>
      <c r="Q1243" s="132"/>
      <c r="R1243" s="94"/>
      <c r="AK1243" s="141"/>
    </row>
    <row r="1244" spans="1:38" s="74" customFormat="1" outlineLevel="1">
      <c r="A1244" s="156"/>
      <c r="B1244" s="225" t="s">
        <v>52</v>
      </c>
      <c r="C1244" s="514" t="s">
        <v>863</v>
      </c>
      <c r="D1244" s="226">
        <v>12676811001</v>
      </c>
      <c r="E1244" s="225">
        <v>12676811002</v>
      </c>
      <c r="F1244" s="516" t="s">
        <v>965</v>
      </c>
      <c r="G1244" s="502"/>
      <c r="H1244" s="515" t="s">
        <v>65</v>
      </c>
      <c r="I1244" s="515">
        <v>1</v>
      </c>
      <c r="J1244" s="229" t="s">
        <v>49</v>
      </c>
      <c r="K1244" s="229"/>
      <c r="L1244" s="517"/>
      <c r="M1244" s="229"/>
      <c r="N1244" s="229"/>
      <c r="O1244" s="230"/>
      <c r="P1244" s="230"/>
      <c r="Q1244" s="132"/>
      <c r="R1244" s="97"/>
      <c r="AK1244" s="141"/>
      <c r="AL1244"/>
    </row>
    <row r="1245" spans="1:38" s="74" customFormat="1" outlineLevel="1">
      <c r="A1245" s="156"/>
      <c r="B1245" s="225" t="s">
        <v>52</v>
      </c>
      <c r="C1245" s="514" t="s">
        <v>863</v>
      </c>
      <c r="D1245" s="226">
        <v>12676911001</v>
      </c>
      <c r="E1245" s="225">
        <v>12676911002</v>
      </c>
      <c r="F1245" s="516" t="s">
        <v>966</v>
      </c>
      <c r="G1245" s="502"/>
      <c r="H1245" s="515" t="s">
        <v>65</v>
      </c>
      <c r="I1245" s="515">
        <v>1</v>
      </c>
      <c r="J1245" s="229" t="s">
        <v>49</v>
      </c>
      <c r="K1245" s="229"/>
      <c r="L1245" s="517"/>
      <c r="M1245" s="229"/>
      <c r="N1245" s="229"/>
      <c r="O1245" s="230"/>
      <c r="P1245" s="230"/>
      <c r="Q1245" s="132"/>
      <c r="R1245" s="94"/>
      <c r="AK1245" s="141"/>
    </row>
    <row r="1246" spans="1:38" s="74" customFormat="1" outlineLevel="1">
      <c r="A1246" s="156"/>
      <c r="B1246" s="225" t="s">
        <v>52</v>
      </c>
      <c r="C1246" s="514" t="s">
        <v>863</v>
      </c>
      <c r="D1246" s="226">
        <v>12352291001</v>
      </c>
      <c r="E1246" s="225">
        <v>12352291002</v>
      </c>
      <c r="F1246" s="516" t="s">
        <v>967</v>
      </c>
      <c r="G1246" s="502"/>
      <c r="H1246" s="515" t="s">
        <v>65</v>
      </c>
      <c r="I1246" s="515">
        <v>1</v>
      </c>
      <c r="J1246" s="229" t="s">
        <v>49</v>
      </c>
      <c r="K1246" s="229"/>
      <c r="L1246" s="517"/>
      <c r="M1246" s="229"/>
      <c r="N1246" s="229"/>
      <c r="O1246" s="230"/>
      <c r="P1246" s="230"/>
      <c r="Q1246" s="132"/>
      <c r="R1246" s="97"/>
      <c r="AK1246" s="141"/>
      <c r="AL1246"/>
    </row>
    <row r="1247" spans="1:38" outlineLevel="1">
      <c r="A1247" s="36"/>
      <c r="B1247" s="520" t="s">
        <v>52</v>
      </c>
      <c r="C1247" s="514" t="s">
        <v>863</v>
      </c>
      <c r="D1247" s="226">
        <v>12062561001</v>
      </c>
      <c r="E1247" s="225">
        <v>12062561002</v>
      </c>
      <c r="F1247" s="516" t="s">
        <v>968</v>
      </c>
      <c r="G1247" s="502"/>
      <c r="H1247" s="515" t="s">
        <v>65</v>
      </c>
      <c r="I1247" s="515">
        <v>1</v>
      </c>
      <c r="J1247" s="229" t="s">
        <v>895</v>
      </c>
      <c r="K1247" s="229"/>
      <c r="L1247" s="517"/>
      <c r="M1247" s="229"/>
      <c r="N1247" s="229"/>
      <c r="O1247" s="230"/>
      <c r="P1247" s="230"/>
      <c r="Q1247" s="132"/>
      <c r="R1247" s="94"/>
      <c r="AK1247" s="141"/>
      <c r="AL1247" s="74"/>
    </row>
    <row r="1248" spans="1:38" s="74" customFormat="1" outlineLevel="1">
      <c r="A1248" s="156"/>
      <c r="B1248" s="520" t="s">
        <v>52</v>
      </c>
      <c r="C1248" s="514" t="s">
        <v>863</v>
      </c>
      <c r="D1248" s="226">
        <v>12343241001</v>
      </c>
      <c r="E1248" s="225">
        <v>12343241002</v>
      </c>
      <c r="F1248" s="516" t="s">
        <v>969</v>
      </c>
      <c r="G1248" s="502"/>
      <c r="H1248" s="515" t="s">
        <v>65</v>
      </c>
      <c r="I1248" s="515">
        <v>1</v>
      </c>
      <c r="J1248" s="229" t="s">
        <v>49</v>
      </c>
      <c r="K1248" s="229"/>
      <c r="L1248" s="517"/>
      <c r="M1248" s="229"/>
      <c r="N1248" s="229"/>
      <c r="O1248" s="230"/>
      <c r="P1248" s="230"/>
      <c r="Q1248" s="132"/>
      <c r="R1248" s="94"/>
      <c r="AK1248" s="141"/>
    </row>
    <row r="1249" spans="1:38" outlineLevel="1">
      <c r="A1249" s="36"/>
      <c r="B1249" s="521"/>
      <c r="C1249" s="500"/>
      <c r="D1249" s="190"/>
      <c r="E1249" s="188"/>
      <c r="F1249" s="388"/>
      <c r="G1249" s="455"/>
      <c r="H1249" s="387"/>
      <c r="I1249" s="387"/>
      <c r="J1249" s="212"/>
      <c r="K1249" s="212"/>
      <c r="L1249" s="392"/>
      <c r="M1249" s="279"/>
      <c r="N1249" s="279"/>
      <c r="O1249" s="333"/>
      <c r="P1249" s="333"/>
      <c r="Q1249" s="132"/>
      <c r="R1249" s="94"/>
      <c r="AK1249" s="141"/>
      <c r="AL1249" s="74"/>
    </row>
    <row r="1250" spans="1:38" s="74" customFormat="1" outlineLevel="1">
      <c r="A1250" s="156"/>
      <c r="B1250" s="225" t="s">
        <v>52</v>
      </c>
      <c r="C1250" s="514" t="s">
        <v>863</v>
      </c>
      <c r="D1250" s="515"/>
      <c r="E1250" s="225">
        <v>11690081001</v>
      </c>
      <c r="F1250" s="516" t="s">
        <v>970</v>
      </c>
      <c r="G1250" s="502"/>
      <c r="H1250" s="515" t="s">
        <v>65</v>
      </c>
      <c r="I1250" s="515">
        <v>10</v>
      </c>
      <c r="J1250" s="229" t="s">
        <v>49</v>
      </c>
      <c r="K1250" s="229"/>
      <c r="L1250" s="517"/>
      <c r="M1250" s="229"/>
      <c r="N1250" s="229"/>
      <c r="O1250" s="230"/>
      <c r="P1250" s="230"/>
      <c r="Q1250" s="132"/>
      <c r="R1250" s="94"/>
      <c r="AK1250" s="141"/>
    </row>
    <row r="1251" spans="1:38" s="74" customFormat="1" outlineLevel="1">
      <c r="A1251" s="156"/>
      <c r="B1251" s="225" t="s">
        <v>52</v>
      </c>
      <c r="C1251" s="514" t="s">
        <v>863</v>
      </c>
      <c r="D1251" s="515"/>
      <c r="E1251" s="225">
        <v>11690101001</v>
      </c>
      <c r="F1251" s="516" t="s">
        <v>971</v>
      </c>
      <c r="G1251" s="502"/>
      <c r="H1251" s="515" t="s">
        <v>65</v>
      </c>
      <c r="I1251" s="515">
        <v>10</v>
      </c>
      <c r="J1251" s="229" t="s">
        <v>49</v>
      </c>
      <c r="K1251" s="229"/>
      <c r="L1251" s="517"/>
      <c r="M1251" s="229"/>
      <c r="N1251" s="229"/>
      <c r="O1251" s="230"/>
      <c r="P1251" s="230"/>
      <c r="Q1251" s="132"/>
      <c r="R1251" s="94"/>
      <c r="AK1251" s="141"/>
    </row>
    <row r="1252" spans="1:38" s="74" customFormat="1" outlineLevel="1">
      <c r="A1252" s="156"/>
      <c r="B1252" s="225" t="s">
        <v>52</v>
      </c>
      <c r="C1252" s="514" t="s">
        <v>863</v>
      </c>
      <c r="D1252" s="515"/>
      <c r="E1252" s="225">
        <v>11690131001</v>
      </c>
      <c r="F1252" s="516" t="s">
        <v>972</v>
      </c>
      <c r="G1252" s="502"/>
      <c r="H1252" s="515" t="s">
        <v>65</v>
      </c>
      <c r="I1252" s="515">
        <v>3</v>
      </c>
      <c r="J1252" s="229" t="s">
        <v>49</v>
      </c>
      <c r="K1252" s="229"/>
      <c r="L1252" s="517"/>
      <c r="M1252" s="229"/>
      <c r="N1252" s="229"/>
      <c r="O1252" s="230"/>
      <c r="P1252" s="230"/>
      <c r="Q1252" s="132"/>
      <c r="R1252" s="94"/>
      <c r="AK1252" s="141"/>
    </row>
    <row r="1253" spans="1:38" s="74" customFormat="1" outlineLevel="1">
      <c r="A1253" s="156"/>
      <c r="B1253" s="225" t="s">
        <v>52</v>
      </c>
      <c r="C1253" s="514" t="s">
        <v>863</v>
      </c>
      <c r="D1253" s="515"/>
      <c r="E1253" s="225">
        <v>11690151001</v>
      </c>
      <c r="F1253" s="516" t="s">
        <v>973</v>
      </c>
      <c r="G1253" s="502"/>
      <c r="H1253" s="515" t="s">
        <v>65</v>
      </c>
      <c r="I1253" s="515">
        <v>5</v>
      </c>
      <c r="J1253" s="229" t="s">
        <v>49</v>
      </c>
      <c r="K1253" s="229"/>
      <c r="L1253" s="517"/>
      <c r="M1253" s="229"/>
      <c r="N1253" s="229"/>
      <c r="O1253" s="230"/>
      <c r="P1253" s="230"/>
      <c r="Q1253" s="132"/>
      <c r="R1253" s="94"/>
      <c r="AK1253" s="141"/>
    </row>
    <row r="1254" spans="1:38" s="74" customFormat="1" outlineLevel="1">
      <c r="A1254" s="156"/>
      <c r="B1254" s="225" t="s">
        <v>52</v>
      </c>
      <c r="C1254" s="514" t="s">
        <v>863</v>
      </c>
      <c r="D1254" s="515"/>
      <c r="E1254" s="225">
        <v>11691441001</v>
      </c>
      <c r="F1254" s="516" t="s">
        <v>974</v>
      </c>
      <c r="G1254" s="502"/>
      <c r="H1254" s="515" t="s">
        <v>65</v>
      </c>
      <c r="I1254" s="515">
        <v>1</v>
      </c>
      <c r="J1254" s="229" t="s">
        <v>49</v>
      </c>
      <c r="K1254" s="229"/>
      <c r="L1254" s="517"/>
      <c r="M1254" s="229"/>
      <c r="N1254" s="229"/>
      <c r="O1254" s="230"/>
      <c r="P1254" s="230"/>
      <c r="Q1254" s="132"/>
      <c r="R1254" s="94"/>
      <c r="AK1254" s="141"/>
    </row>
    <row r="1255" spans="1:38" s="74" customFormat="1" outlineLevel="1">
      <c r="A1255" s="156"/>
      <c r="B1255" s="225" t="s">
        <v>52</v>
      </c>
      <c r="C1255" s="514" t="s">
        <v>863</v>
      </c>
      <c r="D1255" s="515"/>
      <c r="E1255" s="225">
        <v>11691421001</v>
      </c>
      <c r="F1255" s="516" t="s">
        <v>975</v>
      </c>
      <c r="G1255" s="502"/>
      <c r="H1255" s="515" t="s">
        <v>65</v>
      </c>
      <c r="I1255" s="515">
        <v>1</v>
      </c>
      <c r="J1255" s="229" t="s">
        <v>49</v>
      </c>
      <c r="K1255" s="229"/>
      <c r="L1255" s="517"/>
      <c r="M1255" s="229"/>
      <c r="N1255" s="229"/>
      <c r="O1255" s="230"/>
      <c r="P1255" s="230"/>
      <c r="Q1255" s="132"/>
      <c r="R1255" s="94"/>
      <c r="AK1255" s="141"/>
    </row>
    <row r="1256" spans="1:38" s="74" customFormat="1" outlineLevel="1">
      <c r="A1256" s="156"/>
      <c r="B1256" s="225" t="s">
        <v>52</v>
      </c>
      <c r="C1256" s="514" t="s">
        <v>863</v>
      </c>
      <c r="D1256" s="515"/>
      <c r="E1256" s="225">
        <v>12676111001</v>
      </c>
      <c r="F1256" s="516" t="s">
        <v>976</v>
      </c>
      <c r="G1256" s="502"/>
      <c r="H1256" s="515" t="s">
        <v>65</v>
      </c>
      <c r="I1256" s="515">
        <v>1</v>
      </c>
      <c r="J1256" s="229" t="s">
        <v>49</v>
      </c>
      <c r="K1256" s="229"/>
      <c r="L1256" s="517"/>
      <c r="M1256" s="229"/>
      <c r="N1256" s="229"/>
      <c r="O1256" s="230"/>
      <c r="P1256" s="230"/>
      <c r="Q1256" s="132"/>
      <c r="R1256" s="94"/>
      <c r="AK1256" s="141"/>
    </row>
    <row r="1257" spans="1:38" s="74" customFormat="1" outlineLevel="1">
      <c r="A1257" s="156"/>
      <c r="B1257" s="225" t="s">
        <v>52</v>
      </c>
      <c r="C1257" s="514" t="s">
        <v>863</v>
      </c>
      <c r="D1257" s="515"/>
      <c r="E1257" s="225">
        <v>12676211001</v>
      </c>
      <c r="F1257" s="516" t="s">
        <v>977</v>
      </c>
      <c r="G1257" s="502"/>
      <c r="H1257" s="515" t="s">
        <v>65</v>
      </c>
      <c r="I1257" s="515">
        <v>1</v>
      </c>
      <c r="J1257" s="229" t="s">
        <v>49</v>
      </c>
      <c r="K1257" s="229"/>
      <c r="L1257" s="517"/>
      <c r="M1257" s="229"/>
      <c r="N1257" s="229"/>
      <c r="O1257" s="230"/>
      <c r="P1257" s="230"/>
      <c r="Q1257" s="132"/>
      <c r="R1257" s="94"/>
      <c r="AK1257" s="141"/>
    </row>
    <row r="1258" spans="1:38" s="74" customFormat="1" outlineLevel="1">
      <c r="A1258" s="156"/>
      <c r="B1258" s="225" t="s">
        <v>52</v>
      </c>
      <c r="C1258" s="514" t="s">
        <v>863</v>
      </c>
      <c r="D1258" s="515"/>
      <c r="E1258" s="225">
        <v>12676311001</v>
      </c>
      <c r="F1258" s="516" t="s">
        <v>978</v>
      </c>
      <c r="G1258" s="502"/>
      <c r="H1258" s="515" t="s">
        <v>65</v>
      </c>
      <c r="I1258" s="515">
        <v>1</v>
      </c>
      <c r="J1258" s="229" t="s">
        <v>49</v>
      </c>
      <c r="K1258" s="229"/>
      <c r="L1258" s="517"/>
      <c r="M1258" s="229"/>
      <c r="N1258" s="229"/>
      <c r="O1258" s="230"/>
      <c r="P1258" s="230"/>
      <c r="Q1258" s="132"/>
      <c r="R1258" s="94"/>
      <c r="AK1258" s="141"/>
    </row>
    <row r="1259" spans="1:38" s="74" customFormat="1" outlineLevel="1">
      <c r="A1259" s="156"/>
      <c r="B1259" s="225" t="s">
        <v>52</v>
      </c>
      <c r="C1259" s="514" t="s">
        <v>863</v>
      </c>
      <c r="D1259" s="515"/>
      <c r="E1259" s="225">
        <v>12352191001</v>
      </c>
      <c r="F1259" s="516" t="s">
        <v>979</v>
      </c>
      <c r="G1259" s="502"/>
      <c r="H1259" s="515" t="s">
        <v>65</v>
      </c>
      <c r="I1259" s="515">
        <v>1</v>
      </c>
      <c r="J1259" s="229" t="s">
        <v>49</v>
      </c>
      <c r="K1259" s="229"/>
      <c r="L1259" s="517"/>
      <c r="M1259" s="229"/>
      <c r="N1259" s="229"/>
      <c r="O1259" s="230"/>
      <c r="P1259" s="230"/>
      <c r="Q1259" s="132"/>
      <c r="R1259" s="97"/>
      <c r="AK1259" s="141"/>
      <c r="AL1259"/>
    </row>
    <row r="1260" spans="1:38" s="74" customFormat="1" outlineLevel="1">
      <c r="A1260" s="156"/>
      <c r="B1260" s="225" t="s">
        <v>52</v>
      </c>
      <c r="C1260" s="514" t="s">
        <v>863</v>
      </c>
      <c r="D1260" s="515"/>
      <c r="E1260" s="225">
        <v>12062571001</v>
      </c>
      <c r="F1260" s="516" t="s">
        <v>980</v>
      </c>
      <c r="G1260" s="502"/>
      <c r="H1260" s="515" t="s">
        <v>65</v>
      </c>
      <c r="I1260" s="515">
        <v>1</v>
      </c>
      <c r="J1260" s="229" t="s">
        <v>49</v>
      </c>
      <c r="K1260" s="229"/>
      <c r="L1260" s="517"/>
      <c r="M1260" s="229"/>
      <c r="N1260" s="229"/>
      <c r="O1260" s="230"/>
      <c r="P1260" s="230"/>
      <c r="Q1260" s="132"/>
      <c r="R1260" s="94"/>
      <c r="AK1260" s="141"/>
    </row>
    <row r="1261" spans="1:38" s="74" customFormat="1" outlineLevel="1">
      <c r="A1261" s="156"/>
      <c r="B1261" s="225" t="s">
        <v>52</v>
      </c>
      <c r="C1261" s="514" t="s">
        <v>863</v>
      </c>
      <c r="D1261" s="515"/>
      <c r="E1261" s="225">
        <v>12343341001</v>
      </c>
      <c r="F1261" s="516" t="s">
        <v>981</v>
      </c>
      <c r="G1261" s="502"/>
      <c r="H1261" s="515" t="s">
        <v>65</v>
      </c>
      <c r="I1261" s="515">
        <v>1</v>
      </c>
      <c r="J1261" s="229" t="s">
        <v>49</v>
      </c>
      <c r="K1261" s="229"/>
      <c r="L1261" s="517"/>
      <c r="M1261" s="229"/>
      <c r="N1261" s="229"/>
      <c r="O1261" s="230"/>
      <c r="P1261" s="230"/>
      <c r="Q1261" s="132"/>
      <c r="R1261" s="94"/>
      <c r="AK1261" s="141"/>
    </row>
    <row r="1262" spans="1:38" outlineLevel="1">
      <c r="A1262" s="36"/>
      <c r="B1262" s="456"/>
      <c r="C1262" s="500"/>
      <c r="D1262" s="387"/>
      <c r="E1262" s="188"/>
      <c r="F1262" s="388"/>
      <c r="G1262" s="455"/>
      <c r="H1262" s="387"/>
      <c r="I1262" s="387"/>
      <c r="J1262" s="212"/>
      <c r="K1262" s="212"/>
      <c r="L1262" s="392"/>
      <c r="M1262" s="279"/>
      <c r="N1262" s="279"/>
      <c r="O1262" s="333"/>
      <c r="P1262" s="333"/>
      <c r="Q1262" s="132"/>
      <c r="R1262" s="94"/>
      <c r="AK1262" s="141"/>
      <c r="AL1262" s="74"/>
    </row>
    <row r="1263" spans="1:38" s="74" customFormat="1" outlineLevel="1">
      <c r="A1263" s="156"/>
      <c r="B1263" s="225" t="s">
        <v>52</v>
      </c>
      <c r="C1263" s="514" t="s">
        <v>863</v>
      </c>
      <c r="D1263" s="515"/>
      <c r="E1263" s="225">
        <v>11690121001</v>
      </c>
      <c r="F1263" s="516" t="s">
        <v>982</v>
      </c>
      <c r="G1263" s="502"/>
      <c r="H1263" s="515" t="s">
        <v>65</v>
      </c>
      <c r="I1263" s="515">
        <v>10</v>
      </c>
      <c r="J1263" s="229" t="s">
        <v>49</v>
      </c>
      <c r="K1263" s="229"/>
      <c r="L1263" s="517"/>
      <c r="M1263" s="229"/>
      <c r="N1263" s="229"/>
      <c r="O1263" s="230"/>
      <c r="P1263" s="230"/>
      <c r="Q1263" s="132"/>
      <c r="R1263" s="94"/>
      <c r="AK1263" s="141"/>
    </row>
    <row r="1264" spans="1:38" s="74" customFormat="1" outlineLevel="1">
      <c r="A1264" s="156"/>
      <c r="B1264" s="225" t="s">
        <v>52</v>
      </c>
      <c r="C1264" s="514" t="s">
        <v>863</v>
      </c>
      <c r="D1264" s="515"/>
      <c r="E1264" s="225">
        <v>11690141001</v>
      </c>
      <c r="F1264" s="516" t="s">
        <v>983</v>
      </c>
      <c r="G1264" s="502"/>
      <c r="H1264" s="515" t="s">
        <v>65</v>
      </c>
      <c r="I1264" s="515">
        <v>3</v>
      </c>
      <c r="J1264" s="229" t="s">
        <v>49</v>
      </c>
      <c r="K1264" s="229"/>
      <c r="L1264" s="517"/>
      <c r="M1264" s="229"/>
      <c r="N1264" s="229"/>
      <c r="O1264" s="230"/>
      <c r="P1264" s="230"/>
      <c r="Q1264" s="132"/>
      <c r="R1264" s="94"/>
      <c r="AK1264" s="141"/>
    </row>
    <row r="1265" spans="1:38" s="74" customFormat="1" outlineLevel="1">
      <c r="A1265" s="156"/>
      <c r="B1265" s="225" t="s">
        <v>52</v>
      </c>
      <c r="C1265" s="514" t="s">
        <v>863</v>
      </c>
      <c r="D1265" s="515"/>
      <c r="E1265" s="225">
        <v>11690161001</v>
      </c>
      <c r="F1265" s="516" t="s">
        <v>984</v>
      </c>
      <c r="G1265" s="502"/>
      <c r="H1265" s="515" t="s">
        <v>65</v>
      </c>
      <c r="I1265" s="515">
        <v>5</v>
      </c>
      <c r="J1265" s="229" t="s">
        <v>49</v>
      </c>
      <c r="K1265" s="229"/>
      <c r="L1265" s="517"/>
      <c r="M1265" s="229"/>
      <c r="N1265" s="229"/>
      <c r="O1265" s="230"/>
      <c r="P1265" s="230"/>
      <c r="Q1265" s="132"/>
      <c r="R1265" s="94"/>
      <c r="AK1265" s="141"/>
    </row>
    <row r="1266" spans="1:38" s="74" customFormat="1" outlineLevel="1">
      <c r="A1266" s="156"/>
      <c r="B1266" s="225" t="s">
        <v>52</v>
      </c>
      <c r="C1266" s="514" t="s">
        <v>863</v>
      </c>
      <c r="D1266" s="515"/>
      <c r="E1266" s="225">
        <v>11690171001</v>
      </c>
      <c r="F1266" s="516" t="s">
        <v>985</v>
      </c>
      <c r="G1266" s="502"/>
      <c r="H1266" s="515" t="s">
        <v>65</v>
      </c>
      <c r="I1266" s="515">
        <v>5</v>
      </c>
      <c r="J1266" s="229" t="s">
        <v>49</v>
      </c>
      <c r="K1266" s="229"/>
      <c r="L1266" s="517"/>
      <c r="M1266" s="229"/>
      <c r="N1266" s="229"/>
      <c r="O1266" s="230"/>
      <c r="P1266" s="230"/>
      <c r="Q1266" s="132"/>
      <c r="R1266" s="94"/>
      <c r="AK1266" s="141"/>
    </row>
    <row r="1267" spans="1:38" s="74" customFormat="1" outlineLevel="1">
      <c r="A1267" s="156"/>
      <c r="B1267" s="225" t="s">
        <v>52</v>
      </c>
      <c r="C1267" s="514" t="s">
        <v>863</v>
      </c>
      <c r="D1267" s="515"/>
      <c r="E1267" s="225">
        <v>11691701001</v>
      </c>
      <c r="F1267" s="516" t="s">
        <v>986</v>
      </c>
      <c r="G1267" s="502"/>
      <c r="H1267" s="515" t="s">
        <v>65</v>
      </c>
      <c r="I1267" s="515">
        <v>1</v>
      </c>
      <c r="J1267" s="229" t="s">
        <v>49</v>
      </c>
      <c r="K1267" s="229"/>
      <c r="L1267" s="517"/>
      <c r="M1267" s="229"/>
      <c r="N1267" s="229"/>
      <c r="O1267" s="230"/>
      <c r="P1267" s="230"/>
      <c r="Q1267" s="132"/>
      <c r="R1267" s="94"/>
      <c r="AK1267" s="141"/>
    </row>
    <row r="1268" spans="1:38" s="74" customFormat="1" outlineLevel="1">
      <c r="A1268" s="156"/>
      <c r="B1268" s="225" t="s">
        <v>52</v>
      </c>
      <c r="C1268" s="514" t="s">
        <v>863</v>
      </c>
      <c r="D1268" s="515"/>
      <c r="E1268" s="225">
        <v>11691471001</v>
      </c>
      <c r="F1268" s="516" t="s">
        <v>987</v>
      </c>
      <c r="G1268" s="502"/>
      <c r="H1268" s="515" t="s">
        <v>65</v>
      </c>
      <c r="I1268" s="515">
        <v>1</v>
      </c>
      <c r="J1268" s="229" t="s">
        <v>49</v>
      </c>
      <c r="K1268" s="229"/>
      <c r="L1268" s="517"/>
      <c r="M1268" s="229"/>
      <c r="N1268" s="229"/>
      <c r="O1268" s="230"/>
      <c r="P1268" s="230"/>
      <c r="Q1268" s="132"/>
      <c r="R1268" s="94"/>
      <c r="AK1268" s="141"/>
    </row>
    <row r="1269" spans="1:38" s="74" customFormat="1" outlineLevel="1">
      <c r="A1269" s="156"/>
      <c r="B1269" s="225" t="s">
        <v>52</v>
      </c>
      <c r="C1269" s="514" t="s">
        <v>863</v>
      </c>
      <c r="D1269" s="515"/>
      <c r="E1269" s="225">
        <v>11691481001</v>
      </c>
      <c r="F1269" s="516" t="s">
        <v>988</v>
      </c>
      <c r="G1269" s="502"/>
      <c r="H1269" s="515" t="s">
        <v>65</v>
      </c>
      <c r="I1269" s="515">
        <v>1</v>
      </c>
      <c r="J1269" s="229" t="s">
        <v>49</v>
      </c>
      <c r="K1269" s="229"/>
      <c r="L1269" s="517"/>
      <c r="M1269" s="229"/>
      <c r="N1269" s="229"/>
      <c r="O1269" s="230"/>
      <c r="P1269" s="230"/>
      <c r="Q1269" s="132"/>
      <c r="R1269" s="94"/>
      <c r="AK1269" s="141"/>
    </row>
    <row r="1270" spans="1:38" s="74" customFormat="1" outlineLevel="1">
      <c r="A1270" s="156"/>
      <c r="B1270" s="225" t="s">
        <v>52</v>
      </c>
      <c r="C1270" s="514" t="s">
        <v>863</v>
      </c>
      <c r="D1270" s="515"/>
      <c r="E1270" s="225">
        <v>12676411001</v>
      </c>
      <c r="F1270" s="516" t="s">
        <v>989</v>
      </c>
      <c r="G1270" s="502"/>
      <c r="H1270" s="515" t="s">
        <v>65</v>
      </c>
      <c r="I1270" s="515">
        <v>1</v>
      </c>
      <c r="J1270" s="229" t="s">
        <v>49</v>
      </c>
      <c r="K1270" s="229"/>
      <c r="L1270" s="517"/>
      <c r="M1270" s="229"/>
      <c r="N1270" s="229"/>
      <c r="O1270" s="230"/>
      <c r="P1270" s="230"/>
      <c r="Q1270" s="132"/>
      <c r="R1270" s="97"/>
      <c r="AK1270" s="141"/>
      <c r="AL1270"/>
    </row>
    <row r="1271" spans="1:38" s="74" customFormat="1" outlineLevel="1">
      <c r="A1271" s="156"/>
      <c r="B1271" s="225" t="s">
        <v>52</v>
      </c>
      <c r="C1271" s="514" t="s">
        <v>863</v>
      </c>
      <c r="D1271" s="515"/>
      <c r="E1271" s="225">
        <v>12676511001</v>
      </c>
      <c r="F1271" s="516" t="s">
        <v>990</v>
      </c>
      <c r="G1271" s="502"/>
      <c r="H1271" s="515" t="s">
        <v>65</v>
      </c>
      <c r="I1271" s="515">
        <v>1</v>
      </c>
      <c r="J1271" s="229" t="s">
        <v>49</v>
      </c>
      <c r="K1271" s="229"/>
      <c r="L1271" s="517"/>
      <c r="M1271" s="229"/>
      <c r="N1271" s="229"/>
      <c r="O1271" s="230"/>
      <c r="P1271" s="230"/>
      <c r="Q1271" s="132"/>
      <c r="R1271" s="94"/>
      <c r="AK1271" s="141"/>
    </row>
    <row r="1272" spans="1:38" s="74" customFormat="1" outlineLevel="1">
      <c r="A1272" s="156"/>
      <c r="B1272" s="225" t="s">
        <v>52</v>
      </c>
      <c r="C1272" s="514" t="s">
        <v>863</v>
      </c>
      <c r="D1272" s="515"/>
      <c r="E1272" s="225">
        <v>12676611001</v>
      </c>
      <c r="F1272" s="516" t="s">
        <v>991</v>
      </c>
      <c r="G1272" s="502"/>
      <c r="H1272" s="515" t="s">
        <v>65</v>
      </c>
      <c r="I1272" s="515">
        <v>1</v>
      </c>
      <c r="J1272" s="229" t="s">
        <v>49</v>
      </c>
      <c r="K1272" s="229"/>
      <c r="L1272" s="517"/>
      <c r="M1272" s="229"/>
      <c r="N1272" s="229"/>
      <c r="O1272" s="230"/>
      <c r="P1272" s="230"/>
      <c r="Q1272" s="132"/>
      <c r="R1272" s="94"/>
      <c r="AK1272" s="141"/>
    </row>
    <row r="1273" spans="1:38" outlineLevel="1">
      <c r="A1273" s="36"/>
      <c r="B1273" s="456"/>
      <c r="C1273" s="500"/>
      <c r="D1273" s="387"/>
      <c r="E1273" s="188"/>
      <c r="F1273" s="388"/>
      <c r="G1273" s="455"/>
      <c r="H1273" s="387"/>
      <c r="I1273" s="387"/>
      <c r="J1273" s="212"/>
      <c r="K1273" s="212"/>
      <c r="L1273" s="392"/>
      <c r="M1273" s="279"/>
      <c r="N1273" s="279"/>
      <c r="O1273" s="333"/>
      <c r="P1273" s="333"/>
      <c r="Q1273" s="132"/>
      <c r="R1273" s="94"/>
      <c r="AK1273" s="141"/>
      <c r="AL1273" s="74"/>
    </row>
    <row r="1274" spans="1:38" s="74" customFormat="1" outlineLevel="1">
      <c r="A1274" s="156"/>
      <c r="B1274" s="225" t="s">
        <v>52</v>
      </c>
      <c r="C1274" s="514" t="s">
        <v>863</v>
      </c>
      <c r="D1274" s="515"/>
      <c r="E1274" s="225">
        <v>11690971001</v>
      </c>
      <c r="F1274" s="516" t="s">
        <v>992</v>
      </c>
      <c r="G1274" s="502"/>
      <c r="H1274" s="515" t="s">
        <v>65</v>
      </c>
      <c r="I1274" s="515">
        <v>10</v>
      </c>
      <c r="J1274" s="229" t="s">
        <v>49</v>
      </c>
      <c r="K1274" s="229"/>
      <c r="L1274" s="517"/>
      <c r="M1274" s="229"/>
      <c r="N1274" s="229"/>
      <c r="O1274" s="230"/>
      <c r="P1274" s="230"/>
      <c r="Q1274" s="132"/>
      <c r="R1274" s="94"/>
      <c r="AK1274" s="141"/>
    </row>
    <row r="1275" spans="1:38" s="74" customFormat="1" outlineLevel="1">
      <c r="A1275" s="156"/>
      <c r="B1275" s="225" t="s">
        <v>52</v>
      </c>
      <c r="C1275" s="514" t="s">
        <v>863</v>
      </c>
      <c r="D1275" s="515"/>
      <c r="E1275" s="225">
        <v>11690981001</v>
      </c>
      <c r="F1275" s="516" t="s">
        <v>993</v>
      </c>
      <c r="G1275" s="502"/>
      <c r="H1275" s="515" t="s">
        <v>65</v>
      </c>
      <c r="I1275" s="515">
        <v>10</v>
      </c>
      <c r="J1275" s="229" t="s">
        <v>49</v>
      </c>
      <c r="K1275" s="229"/>
      <c r="L1275" s="517"/>
      <c r="M1275" s="229"/>
      <c r="N1275" s="229"/>
      <c r="O1275" s="230"/>
      <c r="P1275" s="230"/>
      <c r="Q1275" s="132"/>
      <c r="R1275" s="94"/>
      <c r="AK1275" s="141"/>
    </row>
    <row r="1276" spans="1:38" s="74" customFormat="1" outlineLevel="1">
      <c r="A1276" s="156"/>
      <c r="B1276" s="225" t="s">
        <v>52</v>
      </c>
      <c r="C1276" s="514" t="s">
        <v>863</v>
      </c>
      <c r="D1276" s="515"/>
      <c r="E1276" s="225">
        <v>11691051001</v>
      </c>
      <c r="F1276" s="516" t="s">
        <v>994</v>
      </c>
      <c r="G1276" s="502"/>
      <c r="H1276" s="515" t="s">
        <v>65</v>
      </c>
      <c r="I1276" s="515">
        <v>10</v>
      </c>
      <c r="J1276" s="229" t="s">
        <v>49</v>
      </c>
      <c r="K1276" s="229"/>
      <c r="L1276" s="517"/>
      <c r="M1276" s="229"/>
      <c r="N1276" s="229"/>
      <c r="O1276" s="230"/>
      <c r="P1276" s="230"/>
      <c r="Q1276" s="132"/>
      <c r="R1276" s="94"/>
      <c r="AK1276" s="141"/>
    </row>
    <row r="1277" spans="1:38" s="74" customFormat="1" outlineLevel="1">
      <c r="A1277" s="156"/>
      <c r="B1277" s="225" t="s">
        <v>52</v>
      </c>
      <c r="C1277" s="514" t="s">
        <v>863</v>
      </c>
      <c r="D1277" s="515"/>
      <c r="E1277" s="225">
        <v>11691041001</v>
      </c>
      <c r="F1277" s="516" t="s">
        <v>995</v>
      </c>
      <c r="G1277" s="502"/>
      <c r="H1277" s="515" t="s">
        <v>65</v>
      </c>
      <c r="I1277" s="515">
        <v>10</v>
      </c>
      <c r="J1277" s="229" t="s">
        <v>49</v>
      </c>
      <c r="K1277" s="229"/>
      <c r="L1277" s="517"/>
      <c r="M1277" s="229"/>
      <c r="N1277" s="229"/>
      <c r="O1277" s="230"/>
      <c r="P1277" s="230"/>
      <c r="Q1277" s="132"/>
      <c r="R1277" s="94"/>
      <c r="AK1277" s="141"/>
    </row>
    <row r="1278" spans="1:38" s="74" customFormat="1" outlineLevel="1">
      <c r="A1278" s="156"/>
      <c r="B1278" s="225" t="s">
        <v>52</v>
      </c>
      <c r="C1278" s="514" t="s">
        <v>863</v>
      </c>
      <c r="D1278" s="515"/>
      <c r="E1278" s="225">
        <v>11691091001</v>
      </c>
      <c r="F1278" s="516" t="s">
        <v>996</v>
      </c>
      <c r="G1278" s="502"/>
      <c r="H1278" s="515" t="s">
        <v>65</v>
      </c>
      <c r="I1278" s="515">
        <v>3</v>
      </c>
      <c r="J1278" s="229" t="s">
        <v>49</v>
      </c>
      <c r="K1278" s="229"/>
      <c r="L1278" s="517"/>
      <c r="M1278" s="229"/>
      <c r="N1278" s="229"/>
      <c r="O1278" s="230"/>
      <c r="P1278" s="230"/>
      <c r="Q1278" s="132"/>
      <c r="R1278" s="94"/>
      <c r="AK1278" s="141"/>
    </row>
    <row r="1279" spans="1:38" s="74" customFormat="1" outlineLevel="1">
      <c r="A1279" s="156"/>
      <c r="B1279" s="225" t="s">
        <v>52</v>
      </c>
      <c r="C1279" s="514" t="s">
        <v>863</v>
      </c>
      <c r="D1279" s="515"/>
      <c r="E1279" s="225">
        <v>11691111001</v>
      </c>
      <c r="F1279" s="516" t="s">
        <v>997</v>
      </c>
      <c r="G1279" s="502"/>
      <c r="H1279" s="515" t="s">
        <v>65</v>
      </c>
      <c r="I1279" s="515">
        <v>1</v>
      </c>
      <c r="J1279" s="229" t="s">
        <v>49</v>
      </c>
      <c r="K1279" s="229"/>
      <c r="L1279" s="517"/>
      <c r="M1279" s="229"/>
      <c r="N1279" s="229"/>
      <c r="O1279" s="230"/>
      <c r="P1279" s="230"/>
      <c r="Q1279" s="132"/>
      <c r="R1279" s="94"/>
      <c r="AK1279" s="141"/>
    </row>
    <row r="1280" spans="1:38" s="74" customFormat="1" outlineLevel="1">
      <c r="A1280" s="156"/>
      <c r="B1280" s="225" t="s">
        <v>52</v>
      </c>
      <c r="C1280" s="514" t="s">
        <v>863</v>
      </c>
      <c r="D1280" s="515"/>
      <c r="E1280" s="225">
        <v>11691491001</v>
      </c>
      <c r="F1280" s="516" t="s">
        <v>998</v>
      </c>
      <c r="G1280" s="502"/>
      <c r="H1280" s="515" t="s">
        <v>65</v>
      </c>
      <c r="I1280" s="515">
        <v>1</v>
      </c>
      <c r="J1280" s="229" t="s">
        <v>49</v>
      </c>
      <c r="K1280" s="229"/>
      <c r="L1280" s="517"/>
      <c r="M1280" s="229"/>
      <c r="N1280" s="229"/>
      <c r="O1280" s="230"/>
      <c r="P1280" s="230"/>
      <c r="Q1280" s="132"/>
      <c r="R1280" s="94"/>
      <c r="AK1280" s="141"/>
    </row>
    <row r="1281" spans="1:38" s="74" customFormat="1" outlineLevel="1">
      <c r="A1281" s="156"/>
      <c r="B1281" s="225" t="s">
        <v>52</v>
      </c>
      <c r="C1281" s="514" t="s">
        <v>863</v>
      </c>
      <c r="D1281" s="515"/>
      <c r="E1281" s="225">
        <v>11691431001</v>
      </c>
      <c r="F1281" s="516" t="s">
        <v>999</v>
      </c>
      <c r="G1281" s="502"/>
      <c r="H1281" s="515" t="s">
        <v>65</v>
      </c>
      <c r="I1281" s="515">
        <v>1</v>
      </c>
      <c r="J1281" s="229" t="s">
        <v>49</v>
      </c>
      <c r="K1281" s="229"/>
      <c r="L1281" s="517"/>
      <c r="M1281" s="229"/>
      <c r="N1281" s="229"/>
      <c r="O1281" s="230"/>
      <c r="P1281" s="230"/>
      <c r="Q1281" s="132"/>
      <c r="R1281" s="94"/>
      <c r="AK1281" s="141"/>
    </row>
    <row r="1282" spans="1:38" s="74" customFormat="1" outlineLevel="1">
      <c r="A1282" s="156"/>
      <c r="B1282" s="225" t="s">
        <v>52</v>
      </c>
      <c r="C1282" s="514" t="s">
        <v>863</v>
      </c>
      <c r="D1282" s="515"/>
      <c r="E1282" s="225">
        <v>11691411001</v>
      </c>
      <c r="F1282" s="516" t="s">
        <v>1000</v>
      </c>
      <c r="G1282" s="502"/>
      <c r="H1282" s="515" t="s">
        <v>65</v>
      </c>
      <c r="I1282" s="515">
        <v>1</v>
      </c>
      <c r="J1282" s="229" t="s">
        <v>49</v>
      </c>
      <c r="K1282" s="229"/>
      <c r="L1282" s="517"/>
      <c r="M1282" s="229"/>
      <c r="N1282" s="229"/>
      <c r="O1282" s="230"/>
      <c r="P1282" s="230"/>
      <c r="Q1282" s="132"/>
      <c r="R1282" s="94"/>
      <c r="AK1282" s="141"/>
    </row>
    <row r="1283" spans="1:38" s="74" customFormat="1" outlineLevel="1">
      <c r="A1283" s="156"/>
      <c r="B1283" s="225" t="s">
        <v>52</v>
      </c>
      <c r="C1283" s="514" t="s">
        <v>863</v>
      </c>
      <c r="D1283" s="515"/>
      <c r="E1283" s="225">
        <v>12675811001</v>
      </c>
      <c r="F1283" s="516" t="s">
        <v>1001</v>
      </c>
      <c r="G1283" s="502"/>
      <c r="H1283" s="515" t="s">
        <v>65</v>
      </c>
      <c r="I1283" s="515">
        <v>1</v>
      </c>
      <c r="J1283" s="229" t="s">
        <v>49</v>
      </c>
      <c r="K1283" s="229"/>
      <c r="L1283" s="517"/>
      <c r="M1283" s="229"/>
      <c r="N1283" s="229"/>
      <c r="O1283" s="230"/>
      <c r="P1283" s="230"/>
      <c r="Q1283" s="132"/>
      <c r="R1283" s="94"/>
      <c r="AK1283" s="141"/>
    </row>
    <row r="1284" spans="1:38" s="74" customFormat="1" outlineLevel="1">
      <c r="A1284" s="156"/>
      <c r="B1284" s="225" t="s">
        <v>52</v>
      </c>
      <c r="C1284" s="514" t="s">
        <v>863</v>
      </c>
      <c r="D1284" s="515"/>
      <c r="E1284" s="225">
        <v>12675911001</v>
      </c>
      <c r="F1284" s="516" t="s">
        <v>1002</v>
      </c>
      <c r="G1284" s="502"/>
      <c r="H1284" s="515" t="s">
        <v>65</v>
      </c>
      <c r="I1284" s="515">
        <v>1</v>
      </c>
      <c r="J1284" s="229" t="s">
        <v>49</v>
      </c>
      <c r="K1284" s="229"/>
      <c r="L1284" s="517"/>
      <c r="M1284" s="229"/>
      <c r="N1284" s="229"/>
      <c r="O1284" s="230"/>
      <c r="P1284" s="230"/>
      <c r="Q1284" s="132"/>
      <c r="R1284" s="97"/>
      <c r="AK1284" s="141"/>
      <c r="AL1284"/>
    </row>
    <row r="1285" spans="1:38" s="74" customFormat="1" outlineLevel="1">
      <c r="A1285" s="156"/>
      <c r="B1285" s="225" t="s">
        <v>52</v>
      </c>
      <c r="C1285" s="514" t="s">
        <v>863</v>
      </c>
      <c r="D1285" s="515"/>
      <c r="E1285" s="225">
        <v>12676011001</v>
      </c>
      <c r="F1285" s="516" t="s">
        <v>1003</v>
      </c>
      <c r="G1285" s="502"/>
      <c r="H1285" s="515" t="s">
        <v>65</v>
      </c>
      <c r="I1285" s="515">
        <v>1</v>
      </c>
      <c r="J1285" s="229" t="s">
        <v>49</v>
      </c>
      <c r="K1285" s="229"/>
      <c r="L1285" s="517"/>
      <c r="M1285" s="229"/>
      <c r="N1285" s="229"/>
      <c r="O1285" s="230"/>
      <c r="P1285" s="230"/>
      <c r="Q1285" s="132"/>
      <c r="R1285" s="94"/>
      <c r="AK1285" s="141"/>
    </row>
    <row r="1286" spans="1:38" s="74" customFormat="1" outlineLevel="1">
      <c r="A1286" s="156"/>
      <c r="B1286" s="225" t="s">
        <v>52</v>
      </c>
      <c r="C1286" s="514" t="s">
        <v>863</v>
      </c>
      <c r="D1286" s="515"/>
      <c r="E1286" s="225">
        <v>12352391001</v>
      </c>
      <c r="F1286" s="516" t="s">
        <v>1004</v>
      </c>
      <c r="G1286" s="502"/>
      <c r="H1286" s="515" t="s">
        <v>65</v>
      </c>
      <c r="I1286" s="515">
        <v>1</v>
      </c>
      <c r="J1286" s="229" t="s">
        <v>49</v>
      </c>
      <c r="K1286" s="229"/>
      <c r="L1286" s="517"/>
      <c r="M1286" s="229"/>
      <c r="N1286" s="229"/>
      <c r="O1286" s="230"/>
      <c r="P1286" s="230"/>
      <c r="Q1286" s="132"/>
      <c r="R1286" s="123"/>
      <c r="AK1286" s="141"/>
      <c r="AL1286"/>
    </row>
    <row r="1287" spans="1:38" outlineLevel="1">
      <c r="A1287" s="36"/>
      <c r="B1287" s="456"/>
      <c r="C1287" s="500"/>
      <c r="D1287" s="387"/>
      <c r="E1287" s="188"/>
      <c r="F1287" s="388"/>
      <c r="G1287" s="455"/>
      <c r="H1287" s="387"/>
      <c r="I1287" s="387"/>
      <c r="J1287" s="212"/>
      <c r="K1287" s="212"/>
      <c r="L1287" s="392"/>
      <c r="M1287" s="279"/>
      <c r="N1287" s="279"/>
      <c r="O1287" s="333"/>
      <c r="P1287" s="333"/>
      <c r="Q1287" s="132"/>
      <c r="R1287" s="94"/>
      <c r="AK1287" s="141"/>
      <c r="AL1287" s="74"/>
    </row>
    <row r="1288" spans="1:38" s="74" customFormat="1" outlineLevel="1">
      <c r="A1288" s="156"/>
      <c r="B1288" s="225" t="s">
        <v>52</v>
      </c>
      <c r="C1288" s="514" t="s">
        <v>863</v>
      </c>
      <c r="D1288" s="515"/>
      <c r="E1288" s="225">
        <v>13045731001</v>
      </c>
      <c r="F1288" s="516" t="s">
        <v>1005</v>
      </c>
      <c r="G1288" s="502"/>
      <c r="H1288" s="515" t="s">
        <v>65</v>
      </c>
      <c r="I1288" s="515">
        <v>1</v>
      </c>
      <c r="J1288" s="229" t="s">
        <v>49</v>
      </c>
      <c r="K1288" s="229"/>
      <c r="L1288" s="517"/>
      <c r="M1288" s="229"/>
      <c r="N1288" s="229"/>
      <c r="O1288" s="230"/>
      <c r="P1288" s="230"/>
      <c r="Q1288" s="132"/>
      <c r="R1288" s="94"/>
      <c r="AK1288" s="141"/>
    </row>
    <row r="1289" spans="1:38" outlineLevel="1">
      <c r="A1289" s="36"/>
      <c r="B1289" s="486"/>
      <c r="C1289" s="500"/>
      <c r="D1289" s="387"/>
      <c r="E1289" s="188"/>
      <c r="F1289" s="388"/>
      <c r="G1289" s="455"/>
      <c r="H1289" s="387"/>
      <c r="I1289" s="387"/>
      <c r="J1289" s="212"/>
      <c r="K1289" s="212"/>
      <c r="L1289" s="392"/>
      <c r="M1289" s="279"/>
      <c r="N1289" s="279"/>
      <c r="O1289" s="333"/>
      <c r="P1289" s="333"/>
      <c r="Q1289" s="132"/>
      <c r="R1289" s="98"/>
      <c r="AK1289" s="141"/>
    </row>
    <row r="1290" spans="1:38" s="74" customFormat="1" outlineLevel="1">
      <c r="A1290" s="156"/>
      <c r="B1290" s="225" t="s">
        <v>52</v>
      </c>
      <c r="C1290" s="514" t="s">
        <v>863</v>
      </c>
      <c r="D1290" s="515"/>
      <c r="E1290" s="225">
        <v>11691681001</v>
      </c>
      <c r="F1290" s="516" t="s">
        <v>1006</v>
      </c>
      <c r="G1290" s="502"/>
      <c r="H1290" s="515" t="s">
        <v>65</v>
      </c>
      <c r="I1290" s="515">
        <v>10</v>
      </c>
      <c r="J1290" s="229" t="s">
        <v>49</v>
      </c>
      <c r="K1290" s="229"/>
      <c r="L1290" s="517"/>
      <c r="M1290" s="229"/>
      <c r="N1290" s="229"/>
      <c r="O1290" s="230"/>
      <c r="P1290" s="230"/>
      <c r="Q1290" s="132"/>
      <c r="R1290" s="94"/>
      <c r="AK1290" s="141"/>
    </row>
    <row r="1291" spans="1:38" s="74" customFormat="1" outlineLevel="1">
      <c r="A1291" s="156"/>
      <c r="B1291" s="225" t="s">
        <v>52</v>
      </c>
      <c r="C1291" s="514" t="s">
        <v>863</v>
      </c>
      <c r="D1291" s="515"/>
      <c r="E1291" s="225">
        <v>13213461001</v>
      </c>
      <c r="F1291" s="516" t="s">
        <v>1007</v>
      </c>
      <c r="G1291" s="502"/>
      <c r="H1291" s="515" t="s">
        <v>65</v>
      </c>
      <c r="I1291" s="515">
        <v>10</v>
      </c>
      <c r="J1291" s="229" t="s">
        <v>49</v>
      </c>
      <c r="K1291" s="229"/>
      <c r="L1291" s="517"/>
      <c r="M1291" s="229"/>
      <c r="N1291" s="229"/>
      <c r="O1291" s="230"/>
      <c r="P1291" s="230"/>
      <c r="Q1291" s="132"/>
      <c r="R1291" s="94"/>
      <c r="AK1291" s="141"/>
    </row>
    <row r="1292" spans="1:38" outlineLevel="1">
      <c r="A1292" s="36"/>
      <c r="B1292" s="486"/>
      <c r="C1292" s="500"/>
      <c r="D1292" s="387"/>
      <c r="E1292" s="188"/>
      <c r="F1292" s="388"/>
      <c r="G1292" s="455"/>
      <c r="H1292" s="387"/>
      <c r="I1292" s="387"/>
      <c r="J1292" s="212"/>
      <c r="K1292" s="212"/>
      <c r="L1292" s="392"/>
      <c r="M1292" s="279"/>
      <c r="N1292" s="279"/>
      <c r="O1292" s="333"/>
      <c r="P1292" s="333"/>
      <c r="Q1292" s="132"/>
      <c r="R1292" s="94"/>
      <c r="AK1292" s="141"/>
      <c r="AL1292" s="74"/>
    </row>
    <row r="1293" spans="1:38" s="74" customFormat="1" outlineLevel="1">
      <c r="A1293" s="156"/>
      <c r="B1293" s="225" t="s">
        <v>52</v>
      </c>
      <c r="C1293" s="514" t="s">
        <v>863</v>
      </c>
      <c r="D1293" s="515"/>
      <c r="E1293" s="225">
        <v>11690991001</v>
      </c>
      <c r="F1293" s="516" t="s">
        <v>1008</v>
      </c>
      <c r="G1293" s="502"/>
      <c r="H1293" s="515" t="s">
        <v>65</v>
      </c>
      <c r="I1293" s="515">
        <v>10</v>
      </c>
      <c r="J1293" s="229" t="s">
        <v>49</v>
      </c>
      <c r="K1293" s="229"/>
      <c r="L1293" s="517"/>
      <c r="M1293" s="229"/>
      <c r="N1293" s="229"/>
      <c r="O1293" s="230"/>
      <c r="P1293" s="230"/>
      <c r="Q1293" s="132"/>
      <c r="R1293" s="94"/>
      <c r="AK1293" s="141"/>
    </row>
    <row r="1294" spans="1:38" s="74" customFormat="1" outlineLevel="1">
      <c r="A1294" s="156"/>
      <c r="B1294" s="225" t="s">
        <v>52</v>
      </c>
      <c r="C1294" s="514" t="s">
        <v>863</v>
      </c>
      <c r="D1294" s="515"/>
      <c r="E1294" s="225">
        <v>11691001001</v>
      </c>
      <c r="F1294" s="516" t="s">
        <v>1009</v>
      </c>
      <c r="G1294" s="502"/>
      <c r="H1294" s="515" t="s">
        <v>65</v>
      </c>
      <c r="I1294" s="515">
        <v>10</v>
      </c>
      <c r="J1294" s="229" t="s">
        <v>49</v>
      </c>
      <c r="K1294" s="229"/>
      <c r="L1294" s="517"/>
      <c r="M1294" s="229"/>
      <c r="N1294" s="229"/>
      <c r="O1294" s="230"/>
      <c r="P1294" s="230"/>
      <c r="Q1294" s="132"/>
      <c r="R1294" s="94"/>
      <c r="AK1294" s="141"/>
    </row>
    <row r="1295" spans="1:38" s="74" customFormat="1" outlineLevel="1">
      <c r="A1295" s="156"/>
      <c r="B1295" s="225" t="s">
        <v>52</v>
      </c>
      <c r="C1295" s="514" t="s">
        <v>863</v>
      </c>
      <c r="D1295" s="515"/>
      <c r="E1295" s="225">
        <v>11691071001</v>
      </c>
      <c r="F1295" s="516" t="s">
        <v>1010</v>
      </c>
      <c r="G1295" s="502"/>
      <c r="H1295" s="515" t="s">
        <v>65</v>
      </c>
      <c r="I1295" s="515">
        <v>10</v>
      </c>
      <c r="J1295" s="229" t="s">
        <v>49</v>
      </c>
      <c r="K1295" s="229"/>
      <c r="L1295" s="517"/>
      <c r="M1295" s="229"/>
      <c r="N1295" s="229"/>
      <c r="O1295" s="230"/>
      <c r="P1295" s="230"/>
      <c r="Q1295" s="132"/>
      <c r="R1295" s="97"/>
      <c r="AK1295" s="141"/>
      <c r="AL1295"/>
    </row>
    <row r="1296" spans="1:38" s="74" customFormat="1" outlineLevel="1">
      <c r="A1296" s="156"/>
      <c r="B1296" s="225" t="s">
        <v>52</v>
      </c>
      <c r="C1296" s="514" t="s">
        <v>863</v>
      </c>
      <c r="D1296" s="515"/>
      <c r="E1296" s="225">
        <v>11691061001</v>
      </c>
      <c r="F1296" s="516" t="s">
        <v>1011</v>
      </c>
      <c r="G1296" s="502"/>
      <c r="H1296" s="515" t="s">
        <v>65</v>
      </c>
      <c r="I1296" s="515">
        <v>10</v>
      </c>
      <c r="J1296" s="229" t="s">
        <v>49</v>
      </c>
      <c r="K1296" s="229"/>
      <c r="L1296" s="517"/>
      <c r="M1296" s="229"/>
      <c r="N1296" s="229"/>
      <c r="O1296" s="230"/>
      <c r="P1296" s="230"/>
      <c r="Q1296" s="132"/>
      <c r="R1296" s="94"/>
      <c r="AK1296" s="141"/>
    </row>
    <row r="1297" spans="1:38" s="74" customFormat="1" outlineLevel="1">
      <c r="A1297" s="156"/>
      <c r="B1297" s="225" t="s">
        <v>52</v>
      </c>
      <c r="C1297" s="514" t="s">
        <v>863</v>
      </c>
      <c r="D1297" s="515"/>
      <c r="E1297" s="225">
        <v>11691101001</v>
      </c>
      <c r="F1297" s="516" t="s">
        <v>1012</v>
      </c>
      <c r="G1297" s="502"/>
      <c r="H1297" s="515" t="s">
        <v>65</v>
      </c>
      <c r="I1297" s="515">
        <v>3</v>
      </c>
      <c r="J1297" s="229" t="s">
        <v>49</v>
      </c>
      <c r="K1297" s="229"/>
      <c r="L1297" s="517"/>
      <c r="M1297" s="229"/>
      <c r="N1297" s="229"/>
      <c r="O1297" s="230"/>
      <c r="P1297" s="230"/>
      <c r="Q1297" s="132"/>
      <c r="R1297" s="94"/>
      <c r="AK1297" s="141"/>
    </row>
    <row r="1298" spans="1:38" outlineLevel="1">
      <c r="A1298" s="36"/>
      <c r="B1298" s="456"/>
      <c r="C1298" s="500"/>
      <c r="D1298" s="387"/>
      <c r="E1298" s="188"/>
      <c r="F1298" s="388"/>
      <c r="G1298" s="455"/>
      <c r="H1298" s="387"/>
      <c r="I1298" s="387"/>
      <c r="J1298" s="212"/>
      <c r="K1298" s="212"/>
      <c r="L1298" s="392"/>
      <c r="M1298" s="279"/>
      <c r="N1298" s="279"/>
      <c r="O1298" s="333"/>
      <c r="P1298" s="333"/>
      <c r="Q1298" s="132"/>
      <c r="R1298" s="94"/>
      <c r="AK1298" s="141"/>
      <c r="AL1298" s="74"/>
    </row>
    <row r="1299" spans="1:38" s="74" customFormat="1" outlineLevel="1">
      <c r="A1299" s="156"/>
      <c r="B1299" s="225" t="s">
        <v>52</v>
      </c>
      <c r="C1299" s="514" t="s">
        <v>863</v>
      </c>
      <c r="D1299" s="515"/>
      <c r="E1299" s="225">
        <v>12671611001</v>
      </c>
      <c r="F1299" s="516" t="s">
        <v>1013</v>
      </c>
      <c r="G1299" s="502"/>
      <c r="H1299" s="515" t="s">
        <v>65</v>
      </c>
      <c r="I1299" s="515">
        <v>10</v>
      </c>
      <c r="J1299" s="229" t="s">
        <v>49</v>
      </c>
      <c r="K1299" s="229"/>
      <c r="L1299" s="517"/>
      <c r="M1299" s="229"/>
      <c r="N1299" s="229"/>
      <c r="O1299" s="230"/>
      <c r="P1299" s="230"/>
      <c r="Q1299" s="132"/>
      <c r="R1299" s="94"/>
      <c r="AK1299" s="141"/>
    </row>
    <row r="1300" spans="1:38" s="74" customFormat="1" outlineLevel="1">
      <c r="A1300" s="156"/>
      <c r="B1300" s="225" t="s">
        <v>52</v>
      </c>
      <c r="C1300" s="514" t="s">
        <v>863</v>
      </c>
      <c r="D1300" s="515"/>
      <c r="E1300" s="225">
        <v>12671811001</v>
      </c>
      <c r="F1300" s="516" t="s">
        <v>1014</v>
      </c>
      <c r="G1300" s="502"/>
      <c r="H1300" s="515" t="s">
        <v>65</v>
      </c>
      <c r="I1300" s="515">
        <v>3</v>
      </c>
      <c r="J1300" s="229" t="s">
        <v>49</v>
      </c>
      <c r="K1300" s="229"/>
      <c r="L1300" s="517"/>
      <c r="M1300" s="229"/>
      <c r="N1300" s="229"/>
      <c r="O1300" s="230"/>
      <c r="P1300" s="230"/>
      <c r="Q1300" s="132"/>
      <c r="R1300" s="94"/>
      <c r="AK1300" s="141"/>
    </row>
    <row r="1301" spans="1:38" s="74" customFormat="1" outlineLevel="1">
      <c r="A1301" s="156"/>
      <c r="B1301" s="225" t="s">
        <v>52</v>
      </c>
      <c r="C1301" s="514" t="s">
        <v>863</v>
      </c>
      <c r="D1301" s="515"/>
      <c r="E1301" s="225">
        <v>12672011001</v>
      </c>
      <c r="F1301" s="516" t="s">
        <v>1015</v>
      </c>
      <c r="G1301" s="502"/>
      <c r="H1301" s="515" t="s">
        <v>65</v>
      </c>
      <c r="I1301" s="515">
        <v>3</v>
      </c>
      <c r="J1301" s="229" t="s">
        <v>49</v>
      </c>
      <c r="K1301" s="229"/>
      <c r="L1301" s="517"/>
      <c r="M1301" s="229"/>
      <c r="N1301" s="229"/>
      <c r="O1301" s="230"/>
      <c r="P1301" s="230"/>
      <c r="Q1301" s="132"/>
      <c r="R1301" s="94"/>
      <c r="AK1301" s="141"/>
    </row>
    <row r="1302" spans="1:38" s="74" customFormat="1" outlineLevel="1">
      <c r="A1302" s="156"/>
      <c r="B1302" s="225" t="s">
        <v>52</v>
      </c>
      <c r="C1302" s="514" t="s">
        <v>863</v>
      </c>
      <c r="D1302" s="515"/>
      <c r="E1302" s="225">
        <v>12672211001</v>
      </c>
      <c r="F1302" s="516" t="s">
        <v>1016</v>
      </c>
      <c r="G1302" s="502"/>
      <c r="H1302" s="515" t="s">
        <v>65</v>
      </c>
      <c r="I1302" s="515">
        <v>1</v>
      </c>
      <c r="J1302" s="229" t="s">
        <v>49</v>
      </c>
      <c r="K1302" s="229"/>
      <c r="L1302" s="517"/>
      <c r="M1302" s="229"/>
      <c r="N1302" s="229"/>
      <c r="O1302" s="230"/>
      <c r="P1302" s="230"/>
      <c r="Q1302" s="132"/>
      <c r="R1302" s="94"/>
      <c r="AK1302" s="141"/>
    </row>
    <row r="1303" spans="1:38" s="74" customFormat="1" outlineLevel="1">
      <c r="A1303" s="156"/>
      <c r="B1303" s="225" t="s">
        <v>52</v>
      </c>
      <c r="C1303" s="514" t="s">
        <v>863</v>
      </c>
      <c r="D1303" s="515"/>
      <c r="E1303" s="225">
        <v>12672411001</v>
      </c>
      <c r="F1303" s="516" t="s">
        <v>1017</v>
      </c>
      <c r="G1303" s="502"/>
      <c r="H1303" s="515" t="s">
        <v>65</v>
      </c>
      <c r="I1303" s="515">
        <v>1</v>
      </c>
      <c r="J1303" s="229" t="s">
        <v>49</v>
      </c>
      <c r="K1303" s="229"/>
      <c r="L1303" s="517"/>
      <c r="M1303" s="229"/>
      <c r="N1303" s="229"/>
      <c r="O1303" s="230"/>
      <c r="P1303" s="230"/>
      <c r="Q1303" s="132"/>
      <c r="R1303" s="94"/>
      <c r="AK1303" s="141"/>
    </row>
    <row r="1304" spans="1:38" s="74" customFormat="1" outlineLevel="1">
      <c r="A1304" s="156"/>
      <c r="B1304" s="225" t="s">
        <v>52</v>
      </c>
      <c r="C1304" s="514" t="s">
        <v>863</v>
      </c>
      <c r="D1304" s="515"/>
      <c r="E1304" s="225">
        <v>12672611001</v>
      </c>
      <c r="F1304" s="516" t="s">
        <v>1018</v>
      </c>
      <c r="G1304" s="502"/>
      <c r="H1304" s="515" t="s">
        <v>65</v>
      </c>
      <c r="I1304" s="515">
        <v>1</v>
      </c>
      <c r="J1304" s="229" t="s">
        <v>49</v>
      </c>
      <c r="K1304" s="229"/>
      <c r="L1304" s="517"/>
      <c r="M1304" s="229"/>
      <c r="N1304" s="229"/>
      <c r="O1304" s="230"/>
      <c r="P1304" s="230"/>
      <c r="Q1304" s="132"/>
      <c r="R1304" s="94"/>
      <c r="AK1304" s="141"/>
    </row>
    <row r="1305" spans="1:38" s="74" customFormat="1" outlineLevel="1">
      <c r="A1305" s="156"/>
      <c r="B1305" s="225" t="s">
        <v>52</v>
      </c>
      <c r="C1305" s="514" t="s">
        <v>863</v>
      </c>
      <c r="D1305" s="515"/>
      <c r="E1305" s="225">
        <v>12672811001</v>
      </c>
      <c r="F1305" s="516" t="s">
        <v>1019</v>
      </c>
      <c r="G1305" s="502"/>
      <c r="H1305" s="515" t="s">
        <v>65</v>
      </c>
      <c r="I1305" s="515">
        <v>1</v>
      </c>
      <c r="J1305" s="229" t="s">
        <v>49</v>
      </c>
      <c r="K1305" s="229"/>
      <c r="L1305" s="517"/>
      <c r="M1305" s="229"/>
      <c r="N1305" s="229"/>
      <c r="O1305" s="230"/>
      <c r="P1305" s="230"/>
      <c r="Q1305" s="132"/>
      <c r="R1305" s="94"/>
      <c r="AK1305" s="141"/>
    </row>
    <row r="1306" spans="1:38" s="74" customFormat="1" outlineLevel="1">
      <c r="A1306" s="156"/>
      <c r="B1306" s="225" t="s">
        <v>52</v>
      </c>
      <c r="C1306" s="514" t="s">
        <v>863</v>
      </c>
      <c r="D1306" s="515"/>
      <c r="E1306" s="225">
        <v>12673011001</v>
      </c>
      <c r="F1306" s="516" t="s">
        <v>1020</v>
      </c>
      <c r="G1306" s="502"/>
      <c r="H1306" s="515" t="s">
        <v>65</v>
      </c>
      <c r="I1306" s="515">
        <v>1</v>
      </c>
      <c r="J1306" s="229" t="s">
        <v>49</v>
      </c>
      <c r="K1306" s="229"/>
      <c r="L1306" s="517"/>
      <c r="M1306" s="229"/>
      <c r="N1306" s="229"/>
      <c r="O1306" s="230"/>
      <c r="P1306" s="230"/>
      <c r="Q1306" s="132"/>
      <c r="R1306" s="94"/>
      <c r="AK1306" s="141"/>
    </row>
    <row r="1307" spans="1:38" s="74" customFormat="1" outlineLevel="1">
      <c r="A1307" s="156"/>
      <c r="B1307" s="225" t="s">
        <v>52</v>
      </c>
      <c r="C1307" s="514" t="s">
        <v>863</v>
      </c>
      <c r="D1307" s="515"/>
      <c r="E1307" s="225">
        <v>12352091001</v>
      </c>
      <c r="F1307" s="516" t="s">
        <v>1021</v>
      </c>
      <c r="G1307" s="502"/>
      <c r="H1307" s="515" t="s">
        <v>65</v>
      </c>
      <c r="I1307" s="515">
        <v>1</v>
      </c>
      <c r="J1307" s="229" t="s">
        <v>49</v>
      </c>
      <c r="K1307" s="229"/>
      <c r="L1307" s="517"/>
      <c r="M1307" s="229"/>
      <c r="N1307" s="229"/>
      <c r="O1307" s="230"/>
      <c r="P1307" s="230"/>
      <c r="Q1307" s="132"/>
      <c r="R1307" s="97"/>
      <c r="AK1307" s="141"/>
      <c r="AL1307"/>
    </row>
    <row r="1308" spans="1:38" s="74" customFormat="1" outlineLevel="1">
      <c r="A1308" s="156"/>
      <c r="B1308" s="225" t="s">
        <v>52</v>
      </c>
      <c r="C1308" s="514" t="s">
        <v>863</v>
      </c>
      <c r="D1308" s="358"/>
      <c r="E1308" s="225">
        <v>12062531001</v>
      </c>
      <c r="F1308" s="378" t="s">
        <v>1022</v>
      </c>
      <c r="G1308" s="522"/>
      <c r="H1308" s="358" t="s">
        <v>65</v>
      </c>
      <c r="I1308" s="358">
        <v>1</v>
      </c>
      <c r="J1308" s="229" t="s">
        <v>49</v>
      </c>
      <c r="K1308" s="229"/>
      <c r="L1308" s="517"/>
      <c r="M1308" s="229"/>
      <c r="N1308" s="229"/>
      <c r="O1308" s="230"/>
      <c r="P1308" s="230"/>
      <c r="Q1308" s="132"/>
      <c r="R1308" s="94"/>
      <c r="AK1308" s="141"/>
    </row>
    <row r="1309" spans="1:38" s="74" customFormat="1" outlineLevel="1">
      <c r="A1309" s="156"/>
      <c r="B1309" s="225" t="s">
        <v>52</v>
      </c>
      <c r="C1309" s="514" t="s">
        <v>863</v>
      </c>
      <c r="D1309" s="515"/>
      <c r="E1309" s="225">
        <v>12316261001</v>
      </c>
      <c r="F1309" s="516" t="s">
        <v>1023</v>
      </c>
      <c r="G1309" s="502"/>
      <c r="H1309" s="515" t="s">
        <v>65</v>
      </c>
      <c r="I1309" s="515">
        <v>1</v>
      </c>
      <c r="J1309" s="229" t="s">
        <v>49</v>
      </c>
      <c r="K1309" s="229"/>
      <c r="L1309" s="517"/>
      <c r="M1309" s="229"/>
      <c r="N1309" s="229"/>
      <c r="O1309" s="230"/>
      <c r="P1309" s="230"/>
      <c r="Q1309" s="132"/>
      <c r="R1309" s="94"/>
      <c r="AK1309" s="141"/>
    </row>
    <row r="1310" spans="1:38" outlineLevel="1">
      <c r="A1310" s="36"/>
      <c r="B1310" s="456"/>
      <c r="C1310" s="500"/>
      <c r="D1310" s="387"/>
      <c r="E1310" s="188"/>
      <c r="F1310" s="388"/>
      <c r="G1310" s="455"/>
      <c r="H1310" s="387"/>
      <c r="I1310" s="387"/>
      <c r="J1310" s="212"/>
      <c r="K1310" s="212"/>
      <c r="L1310" s="392"/>
      <c r="M1310" s="279"/>
      <c r="N1310" s="279"/>
      <c r="O1310" s="333"/>
      <c r="P1310" s="333"/>
      <c r="Q1310" s="132"/>
      <c r="R1310" s="94"/>
      <c r="AK1310" s="141"/>
      <c r="AL1310" s="74"/>
    </row>
    <row r="1311" spans="1:38" s="74" customFormat="1" outlineLevel="1">
      <c r="A1311" s="156"/>
      <c r="B1311" s="225" t="s">
        <v>52</v>
      </c>
      <c r="C1311" s="514" t="s">
        <v>863</v>
      </c>
      <c r="D1311" s="515"/>
      <c r="E1311" s="225">
        <v>11690451001</v>
      </c>
      <c r="F1311" s="516" t="s">
        <v>1024</v>
      </c>
      <c r="G1311" s="502"/>
      <c r="H1311" s="515" t="s">
        <v>65</v>
      </c>
      <c r="I1311" s="515">
        <v>10</v>
      </c>
      <c r="J1311" s="229" t="s">
        <v>49</v>
      </c>
      <c r="K1311" s="229"/>
      <c r="L1311" s="517"/>
      <c r="M1311" s="229"/>
      <c r="N1311" s="229"/>
      <c r="O1311" s="230"/>
      <c r="P1311" s="230"/>
      <c r="Q1311" s="132"/>
      <c r="R1311" s="94"/>
      <c r="AK1311" s="141"/>
    </row>
    <row r="1312" spans="1:38" s="74" customFormat="1" outlineLevel="1">
      <c r="A1312" s="156"/>
      <c r="B1312" s="225" t="s">
        <v>52</v>
      </c>
      <c r="C1312" s="514" t="s">
        <v>863</v>
      </c>
      <c r="D1312" s="515"/>
      <c r="E1312" s="225">
        <v>11690561001</v>
      </c>
      <c r="F1312" s="516" t="s">
        <v>1025</v>
      </c>
      <c r="G1312" s="502"/>
      <c r="H1312" s="515" t="s">
        <v>65</v>
      </c>
      <c r="I1312" s="515">
        <v>10</v>
      </c>
      <c r="J1312" s="229" t="s">
        <v>49</v>
      </c>
      <c r="K1312" s="229"/>
      <c r="L1312" s="517"/>
      <c r="M1312" s="229"/>
      <c r="N1312" s="229"/>
      <c r="O1312" s="230"/>
      <c r="P1312" s="230"/>
      <c r="Q1312" s="132"/>
      <c r="R1312" s="94"/>
      <c r="AK1312" s="141"/>
    </row>
    <row r="1313" spans="1:38" s="74" customFormat="1" outlineLevel="1">
      <c r="A1313" s="156"/>
      <c r="B1313" s="225" t="s">
        <v>52</v>
      </c>
      <c r="C1313" s="514" t="s">
        <v>863</v>
      </c>
      <c r="D1313" s="515"/>
      <c r="E1313" s="225">
        <v>11690631001</v>
      </c>
      <c r="F1313" s="516" t="s">
        <v>1026</v>
      </c>
      <c r="G1313" s="502"/>
      <c r="H1313" s="515" t="s">
        <v>65</v>
      </c>
      <c r="I1313" s="515">
        <v>3</v>
      </c>
      <c r="J1313" s="229" t="s">
        <v>49</v>
      </c>
      <c r="K1313" s="229"/>
      <c r="L1313" s="517"/>
      <c r="M1313" s="229"/>
      <c r="N1313" s="229"/>
      <c r="O1313" s="230"/>
      <c r="P1313" s="230"/>
      <c r="Q1313" s="132"/>
      <c r="R1313" s="94"/>
      <c r="AK1313" s="141"/>
    </row>
    <row r="1314" spans="1:38" s="74" customFormat="1" outlineLevel="1">
      <c r="A1314" s="156"/>
      <c r="B1314" s="225" t="s">
        <v>52</v>
      </c>
      <c r="C1314" s="514" t="s">
        <v>863</v>
      </c>
      <c r="D1314" s="515"/>
      <c r="E1314" s="225">
        <v>11690721001</v>
      </c>
      <c r="F1314" s="516" t="s">
        <v>1027</v>
      </c>
      <c r="G1314" s="502"/>
      <c r="H1314" s="515" t="s">
        <v>65</v>
      </c>
      <c r="I1314" s="515">
        <v>1</v>
      </c>
      <c r="J1314" s="229" t="s">
        <v>49</v>
      </c>
      <c r="K1314" s="229"/>
      <c r="L1314" s="517"/>
      <c r="M1314" s="229"/>
      <c r="N1314" s="229"/>
      <c r="O1314" s="230"/>
      <c r="P1314" s="230"/>
      <c r="Q1314" s="132"/>
      <c r="R1314" s="94"/>
      <c r="AK1314" s="141"/>
    </row>
    <row r="1315" spans="1:38" s="74" customFormat="1" outlineLevel="1">
      <c r="A1315" s="156"/>
      <c r="B1315" s="225" t="s">
        <v>52</v>
      </c>
      <c r="C1315" s="514" t="s">
        <v>863</v>
      </c>
      <c r="D1315" s="515"/>
      <c r="E1315" s="225">
        <v>11691561001</v>
      </c>
      <c r="F1315" s="516" t="s">
        <v>1028</v>
      </c>
      <c r="G1315" s="502"/>
      <c r="H1315" s="515" t="s">
        <v>65</v>
      </c>
      <c r="I1315" s="515">
        <v>1</v>
      </c>
      <c r="J1315" s="229" t="s">
        <v>49</v>
      </c>
      <c r="K1315" s="229"/>
      <c r="L1315" s="517"/>
      <c r="M1315" s="229"/>
      <c r="N1315" s="229"/>
      <c r="O1315" s="230"/>
      <c r="P1315" s="230"/>
      <c r="Q1315" s="132"/>
      <c r="R1315" s="94"/>
      <c r="AK1315" s="141"/>
    </row>
    <row r="1316" spans="1:38" s="74" customFormat="1" outlineLevel="1">
      <c r="A1316" s="156"/>
      <c r="B1316" s="225" t="s">
        <v>52</v>
      </c>
      <c r="C1316" s="514" t="s">
        <v>863</v>
      </c>
      <c r="D1316" s="515"/>
      <c r="E1316" s="225">
        <v>11691671001</v>
      </c>
      <c r="F1316" s="516" t="s">
        <v>1029</v>
      </c>
      <c r="G1316" s="502"/>
      <c r="H1316" s="515" t="s">
        <v>65</v>
      </c>
      <c r="I1316" s="515">
        <v>1</v>
      </c>
      <c r="J1316" s="229" t="s">
        <v>49</v>
      </c>
      <c r="K1316" s="229"/>
      <c r="L1316" s="517"/>
      <c r="M1316" s="229"/>
      <c r="N1316" s="229"/>
      <c r="O1316" s="230"/>
      <c r="P1316" s="230"/>
      <c r="Q1316" s="132"/>
      <c r="R1316" s="94"/>
      <c r="AK1316" s="141"/>
    </row>
    <row r="1317" spans="1:38" s="74" customFormat="1" outlineLevel="1">
      <c r="A1317" s="156"/>
      <c r="B1317" s="225" t="s">
        <v>52</v>
      </c>
      <c r="C1317" s="514" t="s">
        <v>863</v>
      </c>
      <c r="D1317" s="515"/>
      <c r="E1317" s="225">
        <v>12219461001</v>
      </c>
      <c r="F1317" s="516" t="s">
        <v>1030</v>
      </c>
      <c r="G1317" s="502"/>
      <c r="H1317" s="515" t="s">
        <v>65</v>
      </c>
      <c r="I1317" s="515">
        <v>1</v>
      </c>
      <c r="J1317" s="229" t="s">
        <v>49</v>
      </c>
      <c r="K1317" s="229"/>
      <c r="L1317" s="517"/>
      <c r="M1317" s="229"/>
      <c r="N1317" s="229"/>
      <c r="O1317" s="230"/>
      <c r="P1317" s="230"/>
      <c r="Q1317" s="132"/>
      <c r="R1317" s="97"/>
      <c r="AK1317" s="141"/>
      <c r="AL1317"/>
    </row>
    <row r="1318" spans="1:38" s="74" customFormat="1" outlineLevel="1">
      <c r="A1318" s="156"/>
      <c r="B1318" s="225" t="s">
        <v>52</v>
      </c>
      <c r="C1318" s="514" t="s">
        <v>863</v>
      </c>
      <c r="D1318" s="515"/>
      <c r="E1318" s="225">
        <v>12219481001</v>
      </c>
      <c r="F1318" s="516" t="s">
        <v>1031</v>
      </c>
      <c r="G1318" s="502"/>
      <c r="H1318" s="515" t="s">
        <v>65</v>
      </c>
      <c r="I1318" s="515">
        <v>1</v>
      </c>
      <c r="J1318" s="229" t="s">
        <v>49</v>
      </c>
      <c r="K1318" s="229"/>
      <c r="L1318" s="517"/>
      <c r="M1318" s="229"/>
      <c r="N1318" s="229"/>
      <c r="O1318" s="230"/>
      <c r="P1318" s="230"/>
      <c r="Q1318" s="132"/>
      <c r="R1318" s="94"/>
      <c r="AK1318" s="141"/>
    </row>
    <row r="1319" spans="1:38" s="74" customFormat="1" outlineLevel="1">
      <c r="A1319" s="156"/>
      <c r="B1319" s="225" t="s">
        <v>52</v>
      </c>
      <c r="C1319" s="514" t="s">
        <v>863</v>
      </c>
      <c r="D1319" s="515"/>
      <c r="E1319" s="225">
        <v>12219531001</v>
      </c>
      <c r="F1319" s="516" t="s">
        <v>1032</v>
      </c>
      <c r="G1319" s="502"/>
      <c r="H1319" s="515" t="s">
        <v>65</v>
      </c>
      <c r="I1319" s="515">
        <v>1</v>
      </c>
      <c r="J1319" s="229" t="s">
        <v>49</v>
      </c>
      <c r="K1319" s="229"/>
      <c r="L1319" s="517"/>
      <c r="M1319" s="229"/>
      <c r="N1319" s="229"/>
      <c r="O1319" s="230"/>
      <c r="P1319" s="230"/>
      <c r="Q1319" s="132"/>
      <c r="R1319" s="94"/>
      <c r="AK1319" s="141"/>
    </row>
    <row r="1320" spans="1:38" outlineLevel="1">
      <c r="A1320" s="36"/>
      <c r="B1320" s="456"/>
      <c r="C1320" s="500"/>
      <c r="D1320" s="387"/>
      <c r="E1320" s="188"/>
      <c r="F1320" s="388"/>
      <c r="G1320" s="455"/>
      <c r="H1320" s="387"/>
      <c r="I1320" s="387"/>
      <c r="J1320" s="212"/>
      <c r="K1320" s="212"/>
      <c r="L1320" s="392"/>
      <c r="M1320" s="279"/>
      <c r="N1320" s="279"/>
      <c r="O1320" s="333"/>
      <c r="P1320" s="333"/>
      <c r="Q1320" s="132"/>
      <c r="R1320" s="94"/>
      <c r="AK1320" s="141"/>
      <c r="AL1320" s="74"/>
    </row>
    <row r="1321" spans="1:38" s="74" customFormat="1" outlineLevel="1">
      <c r="A1321" s="156"/>
      <c r="B1321" s="225" t="s">
        <v>52</v>
      </c>
      <c r="C1321" s="514" t="s">
        <v>863</v>
      </c>
      <c r="D1321" s="515"/>
      <c r="E1321" s="225">
        <v>11690491001</v>
      </c>
      <c r="F1321" s="516" t="s">
        <v>1033</v>
      </c>
      <c r="G1321" s="502"/>
      <c r="H1321" s="515" t="s">
        <v>65</v>
      </c>
      <c r="I1321" s="515">
        <v>10</v>
      </c>
      <c r="J1321" s="229" t="s">
        <v>49</v>
      </c>
      <c r="K1321" s="229"/>
      <c r="L1321" s="517"/>
      <c r="M1321" s="229"/>
      <c r="N1321" s="229"/>
      <c r="O1321" s="230"/>
      <c r="P1321" s="230"/>
      <c r="Q1321" s="132"/>
      <c r="R1321" s="94"/>
      <c r="AK1321" s="141"/>
    </row>
    <row r="1322" spans="1:38" s="74" customFormat="1" outlineLevel="1">
      <c r="A1322" s="156"/>
      <c r="B1322" s="225" t="s">
        <v>52</v>
      </c>
      <c r="C1322" s="514" t="s">
        <v>863</v>
      </c>
      <c r="D1322" s="515"/>
      <c r="E1322" s="225">
        <v>11690601001</v>
      </c>
      <c r="F1322" s="516" t="s">
        <v>1034</v>
      </c>
      <c r="G1322" s="502"/>
      <c r="H1322" s="515" t="s">
        <v>65</v>
      </c>
      <c r="I1322" s="515">
        <v>3</v>
      </c>
      <c r="J1322" s="229" t="s">
        <v>49</v>
      </c>
      <c r="K1322" s="229"/>
      <c r="L1322" s="517"/>
      <c r="M1322" s="229"/>
      <c r="N1322" s="229"/>
      <c r="O1322" s="230"/>
      <c r="P1322" s="230"/>
      <c r="Q1322" s="132"/>
      <c r="R1322" s="94"/>
      <c r="AK1322" s="141"/>
    </row>
    <row r="1323" spans="1:38" s="74" customFormat="1" outlineLevel="1">
      <c r="A1323" s="156"/>
      <c r="B1323" s="225" t="s">
        <v>52</v>
      </c>
      <c r="C1323" s="514" t="s">
        <v>863</v>
      </c>
      <c r="D1323" s="358"/>
      <c r="E1323" s="225">
        <v>11690701001</v>
      </c>
      <c r="F1323" s="378" t="s">
        <v>1035</v>
      </c>
      <c r="G1323" s="522"/>
      <c r="H1323" s="358" t="s">
        <v>65</v>
      </c>
      <c r="I1323" s="358">
        <v>1</v>
      </c>
      <c r="J1323" s="229" t="s">
        <v>49</v>
      </c>
      <c r="K1323" s="229"/>
      <c r="L1323" s="517"/>
      <c r="M1323" s="229"/>
      <c r="N1323" s="229"/>
      <c r="O1323" s="230"/>
      <c r="P1323" s="230"/>
      <c r="Q1323" s="132"/>
      <c r="R1323" s="94"/>
      <c r="AK1323" s="141"/>
    </row>
    <row r="1324" spans="1:38" s="74" customFormat="1" outlineLevel="1">
      <c r="A1324" s="156"/>
      <c r="B1324" s="225" t="s">
        <v>52</v>
      </c>
      <c r="C1324" s="514" t="s">
        <v>863</v>
      </c>
      <c r="D1324" s="515"/>
      <c r="E1324" s="225">
        <v>11691511001</v>
      </c>
      <c r="F1324" s="516" t="s">
        <v>1036</v>
      </c>
      <c r="G1324" s="502"/>
      <c r="H1324" s="515" t="s">
        <v>65</v>
      </c>
      <c r="I1324" s="515">
        <v>1</v>
      </c>
      <c r="J1324" s="229" t="s">
        <v>49</v>
      </c>
      <c r="K1324" s="229"/>
      <c r="L1324" s="517"/>
      <c r="M1324" s="229"/>
      <c r="N1324" s="229"/>
      <c r="O1324" s="230"/>
      <c r="P1324" s="230"/>
      <c r="Q1324" s="132"/>
      <c r="R1324" s="94"/>
      <c r="AK1324" s="141"/>
    </row>
    <row r="1325" spans="1:38" s="74" customFormat="1" outlineLevel="1">
      <c r="A1325" s="156"/>
      <c r="B1325" s="225" t="s">
        <v>52</v>
      </c>
      <c r="C1325" s="514" t="s">
        <v>863</v>
      </c>
      <c r="D1325" s="515"/>
      <c r="E1325" s="225">
        <v>11691531001</v>
      </c>
      <c r="F1325" s="516" t="s">
        <v>1037</v>
      </c>
      <c r="G1325" s="502"/>
      <c r="H1325" s="515" t="s">
        <v>65</v>
      </c>
      <c r="I1325" s="515">
        <v>1</v>
      </c>
      <c r="J1325" s="229" t="s">
        <v>49</v>
      </c>
      <c r="K1325" s="229"/>
      <c r="L1325" s="517"/>
      <c r="M1325" s="229"/>
      <c r="N1325" s="229"/>
      <c r="O1325" s="230"/>
      <c r="P1325" s="230"/>
      <c r="Q1325" s="132"/>
      <c r="R1325" s="94"/>
      <c r="AK1325" s="141"/>
    </row>
    <row r="1326" spans="1:38" s="74" customFormat="1" outlineLevel="1">
      <c r="A1326" s="156"/>
      <c r="B1326" s="225" t="s">
        <v>52</v>
      </c>
      <c r="C1326" s="514" t="s">
        <v>863</v>
      </c>
      <c r="D1326" s="515"/>
      <c r="E1326" s="225">
        <v>11691601001</v>
      </c>
      <c r="F1326" s="516" t="s">
        <v>1038</v>
      </c>
      <c r="G1326" s="502"/>
      <c r="H1326" s="515" t="s">
        <v>65</v>
      </c>
      <c r="I1326" s="515">
        <v>1</v>
      </c>
      <c r="J1326" s="229" t="s">
        <v>49</v>
      </c>
      <c r="K1326" s="229"/>
      <c r="L1326" s="517"/>
      <c r="M1326" s="229"/>
      <c r="N1326" s="229"/>
      <c r="O1326" s="230"/>
      <c r="P1326" s="230"/>
      <c r="Q1326" s="132"/>
      <c r="R1326" s="94"/>
      <c r="AK1326" s="141"/>
    </row>
    <row r="1327" spans="1:38" s="74" customFormat="1" outlineLevel="1">
      <c r="A1327" s="156"/>
      <c r="B1327" s="225" t="s">
        <v>52</v>
      </c>
      <c r="C1327" s="514" t="s">
        <v>863</v>
      </c>
      <c r="D1327" s="515"/>
      <c r="E1327" s="225">
        <v>11691621001</v>
      </c>
      <c r="F1327" s="516" t="s">
        <v>1039</v>
      </c>
      <c r="G1327" s="502"/>
      <c r="H1327" s="515" t="s">
        <v>65</v>
      </c>
      <c r="I1327" s="515">
        <v>1</v>
      </c>
      <c r="J1327" s="229" t="s">
        <v>49</v>
      </c>
      <c r="K1327" s="229"/>
      <c r="L1327" s="517"/>
      <c r="M1327" s="229"/>
      <c r="N1327" s="229"/>
      <c r="O1327" s="230"/>
      <c r="P1327" s="230"/>
      <c r="Q1327" s="132"/>
      <c r="R1327" s="94"/>
      <c r="AK1327" s="141"/>
    </row>
    <row r="1328" spans="1:38" s="74" customFormat="1" outlineLevel="1">
      <c r="A1328" s="156"/>
      <c r="B1328" s="225" t="s">
        <v>52</v>
      </c>
      <c r="C1328" s="514" t="s">
        <v>863</v>
      </c>
      <c r="D1328" s="515"/>
      <c r="E1328" s="225">
        <v>11691631001</v>
      </c>
      <c r="F1328" s="516" t="s">
        <v>1040</v>
      </c>
      <c r="G1328" s="502"/>
      <c r="H1328" s="515" t="s">
        <v>65</v>
      </c>
      <c r="I1328" s="515">
        <v>1</v>
      </c>
      <c r="J1328" s="229" t="s">
        <v>49</v>
      </c>
      <c r="K1328" s="229"/>
      <c r="L1328" s="517"/>
      <c r="M1328" s="229"/>
      <c r="N1328" s="229"/>
      <c r="O1328" s="230"/>
      <c r="P1328" s="230"/>
      <c r="Q1328" s="132"/>
      <c r="R1328" s="94"/>
      <c r="AK1328" s="141"/>
    </row>
    <row r="1329" spans="1:38" s="74" customFormat="1" outlineLevel="1">
      <c r="A1329" s="156"/>
      <c r="B1329" s="225" t="s">
        <v>52</v>
      </c>
      <c r="C1329" s="514" t="s">
        <v>863</v>
      </c>
      <c r="D1329" s="515"/>
      <c r="E1329" s="225">
        <v>11691651001</v>
      </c>
      <c r="F1329" s="516" t="s">
        <v>1041</v>
      </c>
      <c r="G1329" s="502"/>
      <c r="H1329" s="515" t="s">
        <v>65</v>
      </c>
      <c r="I1329" s="515">
        <v>1</v>
      </c>
      <c r="J1329" s="229" t="s">
        <v>49</v>
      </c>
      <c r="K1329" s="229"/>
      <c r="L1329" s="517"/>
      <c r="M1329" s="229"/>
      <c r="N1329" s="229"/>
      <c r="O1329" s="230"/>
      <c r="P1329" s="230"/>
      <c r="Q1329" s="132"/>
      <c r="R1329" s="94"/>
      <c r="AK1329" s="141"/>
    </row>
    <row r="1330" spans="1:38" s="74" customFormat="1" outlineLevel="1">
      <c r="A1330" s="156"/>
      <c r="B1330" s="225" t="s">
        <v>52</v>
      </c>
      <c r="C1330" s="514" t="s">
        <v>863</v>
      </c>
      <c r="D1330" s="515"/>
      <c r="E1330" s="225">
        <v>12219351001</v>
      </c>
      <c r="F1330" s="516" t="s">
        <v>1042</v>
      </c>
      <c r="G1330" s="502"/>
      <c r="H1330" s="515" t="s">
        <v>65</v>
      </c>
      <c r="I1330" s="515">
        <v>1</v>
      </c>
      <c r="J1330" s="229" t="s">
        <v>49</v>
      </c>
      <c r="K1330" s="229"/>
      <c r="L1330" s="517"/>
      <c r="M1330" s="229"/>
      <c r="N1330" s="229"/>
      <c r="O1330" s="230"/>
      <c r="P1330" s="230"/>
      <c r="Q1330" s="132"/>
      <c r="R1330" s="97"/>
      <c r="AK1330" s="141"/>
      <c r="AL1330"/>
    </row>
    <row r="1331" spans="1:38" s="74" customFormat="1" outlineLevel="1">
      <c r="A1331" s="156"/>
      <c r="B1331" s="225" t="s">
        <v>52</v>
      </c>
      <c r="C1331" s="514" t="s">
        <v>863</v>
      </c>
      <c r="D1331" s="515"/>
      <c r="E1331" s="225">
        <v>12219381001</v>
      </c>
      <c r="F1331" s="516" t="s">
        <v>1043</v>
      </c>
      <c r="G1331" s="502"/>
      <c r="H1331" s="515" t="s">
        <v>65</v>
      </c>
      <c r="I1331" s="515">
        <v>1</v>
      </c>
      <c r="J1331" s="229" t="s">
        <v>49</v>
      </c>
      <c r="K1331" s="229"/>
      <c r="L1331" s="517"/>
      <c r="M1331" s="229"/>
      <c r="N1331" s="229"/>
      <c r="O1331" s="230"/>
      <c r="P1331" s="230"/>
      <c r="Q1331" s="132"/>
      <c r="R1331" s="94"/>
      <c r="AK1331" s="141"/>
    </row>
    <row r="1332" spans="1:38" s="74" customFormat="1" outlineLevel="1">
      <c r="A1332" s="156"/>
      <c r="B1332" s="225" t="s">
        <v>52</v>
      </c>
      <c r="C1332" s="514" t="s">
        <v>863</v>
      </c>
      <c r="D1332" s="515"/>
      <c r="E1332" s="225">
        <v>12219431001</v>
      </c>
      <c r="F1332" s="516" t="s">
        <v>1044</v>
      </c>
      <c r="G1332" s="502"/>
      <c r="H1332" s="515" t="s">
        <v>65</v>
      </c>
      <c r="I1332" s="515">
        <v>1</v>
      </c>
      <c r="J1332" s="229" t="s">
        <v>49</v>
      </c>
      <c r="K1332" s="229"/>
      <c r="L1332" s="517"/>
      <c r="M1332" s="229"/>
      <c r="N1332" s="229"/>
      <c r="O1332" s="230"/>
      <c r="P1332" s="230"/>
      <c r="Q1332" s="132"/>
      <c r="R1332" s="94"/>
      <c r="AK1332" s="141"/>
    </row>
    <row r="1333" spans="1:38" outlineLevel="1">
      <c r="A1333" s="36"/>
      <c r="B1333" s="456"/>
      <c r="C1333" s="500"/>
      <c r="D1333" s="387"/>
      <c r="E1333" s="188"/>
      <c r="F1333" s="388"/>
      <c r="G1333" s="455"/>
      <c r="H1333" s="387"/>
      <c r="I1333" s="387"/>
      <c r="J1333" s="212"/>
      <c r="K1333" s="212"/>
      <c r="L1333" s="392"/>
      <c r="M1333" s="279"/>
      <c r="N1333" s="279"/>
      <c r="O1333" s="333"/>
      <c r="P1333" s="333"/>
      <c r="Q1333" s="132"/>
      <c r="R1333" s="94"/>
      <c r="AK1333" s="141"/>
      <c r="AL1333" s="74"/>
    </row>
    <row r="1334" spans="1:38" s="74" customFormat="1" outlineLevel="1">
      <c r="A1334" s="156"/>
      <c r="B1334" s="225" t="s">
        <v>52</v>
      </c>
      <c r="C1334" s="514" t="s">
        <v>863</v>
      </c>
      <c r="D1334" s="515"/>
      <c r="E1334" s="225">
        <v>11690531001</v>
      </c>
      <c r="F1334" s="516" t="s">
        <v>1045</v>
      </c>
      <c r="G1334" s="502"/>
      <c r="H1334" s="515" t="s">
        <v>65</v>
      </c>
      <c r="I1334" s="515">
        <v>10</v>
      </c>
      <c r="J1334" s="229" t="s">
        <v>49</v>
      </c>
      <c r="K1334" s="229"/>
      <c r="L1334" s="517"/>
      <c r="M1334" s="229"/>
      <c r="N1334" s="229"/>
      <c r="O1334" s="230"/>
      <c r="P1334" s="230"/>
      <c r="Q1334" s="132"/>
      <c r="R1334" s="94"/>
      <c r="AK1334" s="141"/>
    </row>
    <row r="1335" spans="1:38" s="74" customFormat="1" outlineLevel="1">
      <c r="A1335" s="156"/>
      <c r="B1335" s="225" t="s">
        <v>52</v>
      </c>
      <c r="C1335" s="514" t="s">
        <v>863</v>
      </c>
      <c r="D1335" s="515"/>
      <c r="E1335" s="225">
        <v>11690591001</v>
      </c>
      <c r="F1335" s="516" t="s">
        <v>1046</v>
      </c>
      <c r="G1335" s="502"/>
      <c r="H1335" s="515" t="s">
        <v>65</v>
      </c>
      <c r="I1335" s="515">
        <v>5</v>
      </c>
      <c r="J1335" s="229" t="s">
        <v>49</v>
      </c>
      <c r="K1335" s="229"/>
      <c r="L1335" s="517"/>
      <c r="M1335" s="229"/>
      <c r="N1335" s="229"/>
      <c r="O1335" s="230"/>
      <c r="P1335" s="230"/>
      <c r="Q1335" s="132"/>
      <c r="R1335" s="94"/>
      <c r="AK1335" s="141"/>
    </row>
    <row r="1336" spans="1:38" s="74" customFormat="1" outlineLevel="1">
      <c r="A1336" s="156"/>
      <c r="B1336" s="225" t="s">
        <v>52</v>
      </c>
      <c r="C1336" s="514" t="s">
        <v>863</v>
      </c>
      <c r="D1336" s="515"/>
      <c r="E1336" s="225">
        <v>11690611001</v>
      </c>
      <c r="F1336" s="516" t="s">
        <v>1047</v>
      </c>
      <c r="G1336" s="502"/>
      <c r="H1336" s="515" t="s">
        <v>65</v>
      </c>
      <c r="I1336" s="515">
        <v>3</v>
      </c>
      <c r="J1336" s="229" t="s">
        <v>49</v>
      </c>
      <c r="K1336" s="229"/>
      <c r="L1336" s="517"/>
      <c r="M1336" s="229"/>
      <c r="N1336" s="229"/>
      <c r="O1336" s="230"/>
      <c r="P1336" s="230"/>
      <c r="Q1336" s="132"/>
      <c r="R1336" s="94"/>
      <c r="AK1336" s="141"/>
    </row>
    <row r="1337" spans="1:38" s="74" customFormat="1" outlineLevel="1">
      <c r="A1337" s="156"/>
      <c r="B1337" s="225" t="s">
        <v>52</v>
      </c>
      <c r="C1337" s="514" t="s">
        <v>863</v>
      </c>
      <c r="D1337" s="515"/>
      <c r="E1337" s="225">
        <v>11690681001</v>
      </c>
      <c r="F1337" s="516" t="s">
        <v>1048</v>
      </c>
      <c r="G1337" s="502"/>
      <c r="H1337" s="515" t="s">
        <v>65</v>
      </c>
      <c r="I1337" s="515">
        <v>1</v>
      </c>
      <c r="J1337" s="229" t="s">
        <v>49</v>
      </c>
      <c r="K1337" s="229"/>
      <c r="L1337" s="517"/>
      <c r="M1337" s="229"/>
      <c r="N1337" s="229"/>
      <c r="O1337" s="230"/>
      <c r="P1337" s="230"/>
      <c r="Q1337" s="132"/>
      <c r="R1337" s="94"/>
      <c r="AK1337" s="141"/>
    </row>
    <row r="1338" spans="1:38" s="74" customFormat="1" outlineLevel="1">
      <c r="A1338" s="156"/>
      <c r="B1338" s="225" t="s">
        <v>52</v>
      </c>
      <c r="C1338" s="514" t="s">
        <v>863</v>
      </c>
      <c r="D1338" s="515"/>
      <c r="E1338" s="225">
        <v>11690691001</v>
      </c>
      <c r="F1338" s="516" t="s">
        <v>1049</v>
      </c>
      <c r="G1338" s="502"/>
      <c r="H1338" s="515" t="s">
        <v>65</v>
      </c>
      <c r="I1338" s="515">
        <v>1</v>
      </c>
      <c r="J1338" s="229" t="s">
        <v>49</v>
      </c>
      <c r="K1338" s="229"/>
      <c r="L1338" s="517"/>
      <c r="M1338" s="229"/>
      <c r="N1338" s="229"/>
      <c r="O1338" s="230"/>
      <c r="P1338" s="230"/>
      <c r="Q1338" s="132"/>
      <c r="R1338" s="94"/>
      <c r="AK1338" s="141"/>
    </row>
    <row r="1339" spans="1:38" s="74" customFormat="1" outlineLevel="1">
      <c r="A1339" s="156"/>
      <c r="B1339" s="225" t="s">
        <v>52</v>
      </c>
      <c r="C1339" s="514" t="s">
        <v>863</v>
      </c>
      <c r="D1339" s="515"/>
      <c r="E1339" s="225">
        <v>11690711001</v>
      </c>
      <c r="F1339" s="516" t="s">
        <v>1050</v>
      </c>
      <c r="G1339" s="502"/>
      <c r="H1339" s="515" t="s">
        <v>65</v>
      </c>
      <c r="I1339" s="515">
        <v>1</v>
      </c>
      <c r="J1339" s="229" t="s">
        <v>49</v>
      </c>
      <c r="K1339" s="229"/>
      <c r="L1339" s="517"/>
      <c r="M1339" s="229"/>
      <c r="N1339" s="229"/>
      <c r="O1339" s="230"/>
      <c r="P1339" s="230"/>
      <c r="Q1339" s="132"/>
      <c r="R1339" s="94"/>
      <c r="AK1339" s="141"/>
    </row>
    <row r="1340" spans="1:38" s="74" customFormat="1" outlineLevel="1">
      <c r="A1340" s="156"/>
      <c r="B1340" s="225" t="s">
        <v>52</v>
      </c>
      <c r="C1340" s="514" t="s">
        <v>863</v>
      </c>
      <c r="D1340" s="515"/>
      <c r="E1340" s="225">
        <v>11690771001</v>
      </c>
      <c r="F1340" s="516" t="s">
        <v>1051</v>
      </c>
      <c r="G1340" s="502"/>
      <c r="H1340" s="515" t="s">
        <v>65</v>
      </c>
      <c r="I1340" s="515">
        <v>1</v>
      </c>
      <c r="J1340" s="229" t="s">
        <v>49</v>
      </c>
      <c r="K1340" s="229"/>
      <c r="L1340" s="517"/>
      <c r="M1340" s="229"/>
      <c r="N1340" s="229"/>
      <c r="O1340" s="230"/>
      <c r="P1340" s="230"/>
      <c r="Q1340" s="132"/>
      <c r="R1340" s="94"/>
      <c r="AK1340" s="141"/>
    </row>
    <row r="1341" spans="1:38" s="74" customFormat="1" outlineLevel="1">
      <c r="A1341" s="156"/>
      <c r="B1341" s="225" t="s">
        <v>52</v>
      </c>
      <c r="C1341" s="514" t="s">
        <v>863</v>
      </c>
      <c r="D1341" s="515"/>
      <c r="E1341" s="225">
        <v>11691521001</v>
      </c>
      <c r="F1341" s="516" t="s">
        <v>1052</v>
      </c>
      <c r="G1341" s="502"/>
      <c r="H1341" s="515" t="s">
        <v>65</v>
      </c>
      <c r="I1341" s="515">
        <v>1</v>
      </c>
      <c r="J1341" s="229" t="s">
        <v>49</v>
      </c>
      <c r="K1341" s="229"/>
      <c r="L1341" s="517"/>
      <c r="M1341" s="229"/>
      <c r="N1341" s="229"/>
      <c r="O1341" s="230"/>
      <c r="P1341" s="230"/>
      <c r="Q1341" s="132"/>
      <c r="R1341" s="97"/>
      <c r="AK1341" s="141"/>
      <c r="AL1341"/>
    </row>
    <row r="1342" spans="1:38" s="74" customFormat="1" outlineLevel="1">
      <c r="A1342" s="156"/>
      <c r="B1342" s="225" t="s">
        <v>52</v>
      </c>
      <c r="C1342" s="514" t="s">
        <v>863</v>
      </c>
      <c r="D1342" s="515"/>
      <c r="E1342" s="225">
        <v>11691541001</v>
      </c>
      <c r="F1342" s="516" t="s">
        <v>1053</v>
      </c>
      <c r="G1342" s="502"/>
      <c r="H1342" s="515" t="s">
        <v>65</v>
      </c>
      <c r="I1342" s="515">
        <v>1</v>
      </c>
      <c r="J1342" s="229" t="s">
        <v>49</v>
      </c>
      <c r="K1342" s="229"/>
      <c r="L1342" s="517"/>
      <c r="M1342" s="229"/>
      <c r="N1342" s="229"/>
      <c r="O1342" s="230"/>
      <c r="P1342" s="230"/>
      <c r="Q1342" s="132"/>
      <c r="R1342" s="94"/>
      <c r="AK1342" s="141"/>
    </row>
    <row r="1343" spans="1:38" s="74" customFormat="1" outlineLevel="1">
      <c r="A1343" s="156"/>
      <c r="B1343" s="225" t="s">
        <v>52</v>
      </c>
      <c r="C1343" s="514" t="s">
        <v>863</v>
      </c>
      <c r="D1343" s="515"/>
      <c r="E1343" s="225">
        <v>11691551001</v>
      </c>
      <c r="F1343" s="516" t="s">
        <v>1054</v>
      </c>
      <c r="G1343" s="502"/>
      <c r="H1343" s="515" t="s">
        <v>65</v>
      </c>
      <c r="I1343" s="515">
        <v>1</v>
      </c>
      <c r="J1343" s="229" t="s">
        <v>49</v>
      </c>
      <c r="K1343" s="229"/>
      <c r="L1343" s="517"/>
      <c r="M1343" s="229"/>
      <c r="N1343" s="229"/>
      <c r="O1343" s="230"/>
      <c r="P1343" s="230"/>
      <c r="Q1343" s="132"/>
      <c r="R1343" s="94"/>
      <c r="AK1343" s="141"/>
    </row>
    <row r="1344" spans="1:38" outlineLevel="1">
      <c r="A1344" s="36"/>
      <c r="B1344" s="520" t="s">
        <v>52</v>
      </c>
      <c r="C1344" s="514" t="s">
        <v>863</v>
      </c>
      <c r="D1344" s="515"/>
      <c r="E1344" s="225">
        <v>12444321001</v>
      </c>
      <c r="F1344" s="516" t="s">
        <v>1055</v>
      </c>
      <c r="G1344" s="502"/>
      <c r="H1344" s="515" t="s">
        <v>65</v>
      </c>
      <c r="I1344" s="515">
        <v>1</v>
      </c>
      <c r="J1344" s="229" t="s">
        <v>895</v>
      </c>
      <c r="K1344" s="229"/>
      <c r="L1344" s="517"/>
      <c r="M1344" s="229"/>
      <c r="N1344" s="229"/>
      <c r="O1344" s="230"/>
      <c r="P1344" s="230"/>
      <c r="Q1344" s="132"/>
      <c r="R1344" s="94"/>
      <c r="AK1344" s="141"/>
      <c r="AL1344" s="74"/>
    </row>
    <row r="1345" spans="1:38" s="74" customFormat="1" outlineLevel="1">
      <c r="A1345" s="156"/>
      <c r="B1345" s="225" t="s">
        <v>52</v>
      </c>
      <c r="C1345" s="514" t="s">
        <v>863</v>
      </c>
      <c r="D1345" s="515"/>
      <c r="E1345" s="225">
        <v>11691591001</v>
      </c>
      <c r="F1345" s="516" t="s">
        <v>1056</v>
      </c>
      <c r="G1345" s="502"/>
      <c r="H1345" s="515" t="s">
        <v>65</v>
      </c>
      <c r="I1345" s="515">
        <v>1</v>
      </c>
      <c r="J1345" s="229" t="s">
        <v>49</v>
      </c>
      <c r="K1345" s="229"/>
      <c r="L1345" s="517"/>
      <c r="M1345" s="229"/>
      <c r="N1345" s="229"/>
      <c r="O1345" s="230"/>
      <c r="P1345" s="230"/>
      <c r="Q1345" s="132"/>
      <c r="R1345" s="94"/>
      <c r="AK1345" s="141"/>
    </row>
    <row r="1346" spans="1:38" s="74" customFormat="1" outlineLevel="1">
      <c r="A1346" s="156"/>
      <c r="B1346" s="225" t="s">
        <v>52</v>
      </c>
      <c r="C1346" s="514" t="s">
        <v>863</v>
      </c>
      <c r="D1346" s="515"/>
      <c r="E1346" s="225">
        <v>11691611001</v>
      </c>
      <c r="F1346" s="516" t="s">
        <v>1057</v>
      </c>
      <c r="G1346" s="502"/>
      <c r="H1346" s="515" t="s">
        <v>65</v>
      </c>
      <c r="I1346" s="515">
        <v>1</v>
      </c>
      <c r="J1346" s="229" t="s">
        <v>49</v>
      </c>
      <c r="K1346" s="229"/>
      <c r="L1346" s="517"/>
      <c r="M1346" s="229"/>
      <c r="N1346" s="229"/>
      <c r="O1346" s="230"/>
      <c r="P1346" s="230"/>
      <c r="Q1346" s="132"/>
      <c r="R1346" s="94"/>
      <c r="AK1346" s="141"/>
    </row>
    <row r="1347" spans="1:38" s="74" customFormat="1" outlineLevel="1">
      <c r="A1347" s="156"/>
      <c r="B1347" s="225" t="s">
        <v>52</v>
      </c>
      <c r="C1347" s="514" t="s">
        <v>863</v>
      </c>
      <c r="D1347" s="515"/>
      <c r="E1347" s="225">
        <v>11691641001</v>
      </c>
      <c r="F1347" s="516" t="s">
        <v>1058</v>
      </c>
      <c r="G1347" s="502"/>
      <c r="H1347" s="515" t="s">
        <v>65</v>
      </c>
      <c r="I1347" s="515">
        <v>1</v>
      </c>
      <c r="J1347" s="229" t="s">
        <v>49</v>
      </c>
      <c r="K1347" s="229"/>
      <c r="L1347" s="517"/>
      <c r="M1347" s="229"/>
      <c r="N1347" s="229"/>
      <c r="O1347" s="230"/>
      <c r="P1347" s="230"/>
      <c r="Q1347" s="132"/>
      <c r="R1347" s="94"/>
      <c r="AK1347" s="141"/>
    </row>
    <row r="1348" spans="1:38" s="74" customFormat="1" outlineLevel="1">
      <c r="A1348" s="156"/>
      <c r="B1348" s="225" t="s">
        <v>52</v>
      </c>
      <c r="C1348" s="514" t="s">
        <v>863</v>
      </c>
      <c r="D1348" s="515"/>
      <c r="E1348" s="225">
        <v>11691661001</v>
      </c>
      <c r="F1348" s="516" t="s">
        <v>1059</v>
      </c>
      <c r="G1348" s="502"/>
      <c r="H1348" s="515" t="s">
        <v>65</v>
      </c>
      <c r="I1348" s="515">
        <v>1</v>
      </c>
      <c r="J1348" s="229" t="s">
        <v>49</v>
      </c>
      <c r="K1348" s="229"/>
      <c r="L1348" s="517"/>
      <c r="M1348" s="229"/>
      <c r="N1348" s="229"/>
      <c r="O1348" s="230"/>
      <c r="P1348" s="230"/>
      <c r="Q1348" s="132"/>
      <c r="R1348" s="94"/>
      <c r="AK1348" s="141"/>
    </row>
    <row r="1349" spans="1:38" s="74" customFormat="1" outlineLevel="1">
      <c r="A1349" s="156"/>
      <c r="B1349" s="225" t="s">
        <v>52</v>
      </c>
      <c r="C1349" s="514" t="s">
        <v>863</v>
      </c>
      <c r="D1349" s="515"/>
      <c r="E1349" s="225">
        <v>12219341001</v>
      </c>
      <c r="F1349" s="516" t="s">
        <v>1060</v>
      </c>
      <c r="G1349" s="502"/>
      <c r="H1349" s="515" t="s">
        <v>65</v>
      </c>
      <c r="I1349" s="515">
        <v>1</v>
      </c>
      <c r="J1349" s="229" t="s">
        <v>49</v>
      </c>
      <c r="K1349" s="229"/>
      <c r="L1349" s="517"/>
      <c r="M1349" s="229"/>
      <c r="N1349" s="229"/>
      <c r="O1349" s="230"/>
      <c r="P1349" s="230"/>
      <c r="Q1349" s="132"/>
      <c r="R1349" s="94"/>
      <c r="AK1349" s="141"/>
    </row>
    <row r="1350" spans="1:38" s="74" customFormat="1" outlineLevel="1">
      <c r="A1350" s="156"/>
      <c r="B1350" s="225" t="s">
        <v>52</v>
      </c>
      <c r="C1350" s="514" t="s">
        <v>863</v>
      </c>
      <c r="D1350" s="515"/>
      <c r="E1350" s="225">
        <v>12677911001</v>
      </c>
      <c r="F1350" s="516" t="s">
        <v>1061</v>
      </c>
      <c r="G1350" s="502"/>
      <c r="H1350" s="515" t="s">
        <v>65</v>
      </c>
      <c r="I1350" s="515">
        <v>1</v>
      </c>
      <c r="J1350" s="229" t="s">
        <v>49</v>
      </c>
      <c r="K1350" s="229"/>
      <c r="L1350" s="517"/>
      <c r="M1350" s="229"/>
      <c r="N1350" s="229"/>
      <c r="O1350" s="230"/>
      <c r="P1350" s="230"/>
      <c r="Q1350" s="132"/>
      <c r="R1350" s="94"/>
      <c r="AK1350" s="141"/>
    </row>
    <row r="1351" spans="1:38" s="74" customFormat="1" outlineLevel="1">
      <c r="A1351" s="156"/>
      <c r="B1351" s="225" t="s">
        <v>52</v>
      </c>
      <c r="C1351" s="514" t="s">
        <v>863</v>
      </c>
      <c r="D1351" s="515"/>
      <c r="E1351" s="225">
        <v>12219361001</v>
      </c>
      <c r="F1351" s="516" t="s">
        <v>1062</v>
      </c>
      <c r="G1351" s="502"/>
      <c r="H1351" s="515" t="s">
        <v>65</v>
      </c>
      <c r="I1351" s="515">
        <v>1</v>
      </c>
      <c r="J1351" s="229" t="s">
        <v>49</v>
      </c>
      <c r="K1351" s="229"/>
      <c r="L1351" s="517"/>
      <c r="M1351" s="229"/>
      <c r="N1351" s="229"/>
      <c r="O1351" s="230"/>
      <c r="P1351" s="230"/>
      <c r="Q1351" s="132"/>
      <c r="R1351" s="94"/>
      <c r="AK1351" s="141"/>
    </row>
    <row r="1352" spans="1:38" s="74" customFormat="1" outlineLevel="1">
      <c r="A1352" s="156"/>
      <c r="B1352" s="225" t="s">
        <v>52</v>
      </c>
      <c r="C1352" s="514" t="s">
        <v>863</v>
      </c>
      <c r="D1352" s="515"/>
      <c r="E1352" s="225">
        <v>12313261001</v>
      </c>
      <c r="F1352" s="516" t="s">
        <v>1063</v>
      </c>
      <c r="G1352" s="502"/>
      <c r="H1352" s="515" t="s">
        <v>65</v>
      </c>
      <c r="I1352" s="515">
        <v>1</v>
      </c>
      <c r="J1352" s="229" t="s">
        <v>49</v>
      </c>
      <c r="K1352" s="229"/>
      <c r="L1352" s="517"/>
      <c r="M1352" s="229"/>
      <c r="N1352" s="229"/>
      <c r="O1352" s="230"/>
      <c r="P1352" s="230"/>
      <c r="Q1352" s="132"/>
      <c r="R1352" s="94"/>
      <c r="AK1352" s="141"/>
    </row>
    <row r="1353" spans="1:38" s="74" customFormat="1" outlineLevel="1">
      <c r="A1353" s="156"/>
      <c r="B1353" s="225" t="s">
        <v>52</v>
      </c>
      <c r="C1353" s="514" t="s">
        <v>863</v>
      </c>
      <c r="D1353" s="515"/>
      <c r="E1353" s="225">
        <v>12219441001</v>
      </c>
      <c r="F1353" s="516" t="s">
        <v>1064</v>
      </c>
      <c r="G1353" s="502"/>
      <c r="H1353" s="515" t="s">
        <v>65</v>
      </c>
      <c r="I1353" s="515">
        <v>1</v>
      </c>
      <c r="J1353" s="229" t="s">
        <v>49</v>
      </c>
      <c r="K1353" s="229"/>
      <c r="L1353" s="517"/>
      <c r="M1353" s="229"/>
      <c r="N1353" s="229"/>
      <c r="O1353" s="230"/>
      <c r="P1353" s="230"/>
      <c r="Q1353" s="132"/>
      <c r="R1353" s="94"/>
      <c r="AK1353" s="141"/>
    </row>
    <row r="1354" spans="1:38" s="74" customFormat="1" outlineLevel="1">
      <c r="A1354" s="156"/>
      <c r="B1354" s="225" t="s">
        <v>52</v>
      </c>
      <c r="C1354" s="514" t="s">
        <v>863</v>
      </c>
      <c r="D1354" s="515"/>
      <c r="E1354" s="225">
        <v>12313361001</v>
      </c>
      <c r="F1354" s="516" t="s">
        <v>1065</v>
      </c>
      <c r="G1354" s="502"/>
      <c r="H1354" s="515" t="s">
        <v>65</v>
      </c>
      <c r="I1354" s="515">
        <v>1</v>
      </c>
      <c r="J1354" s="229" t="s">
        <v>49</v>
      </c>
      <c r="K1354" s="229"/>
      <c r="L1354" s="517"/>
      <c r="M1354" s="229"/>
      <c r="N1354" s="229"/>
      <c r="O1354" s="230"/>
      <c r="P1354" s="230"/>
      <c r="Q1354" s="132"/>
      <c r="R1354" s="94"/>
      <c r="AK1354" s="141"/>
    </row>
    <row r="1355" spans="1:38" s="74" customFormat="1" outlineLevel="1">
      <c r="A1355" s="156"/>
      <c r="B1355" s="225" t="s">
        <v>52</v>
      </c>
      <c r="C1355" s="514" t="s">
        <v>863</v>
      </c>
      <c r="D1355" s="515"/>
      <c r="E1355" s="225">
        <v>12219451001</v>
      </c>
      <c r="F1355" s="516" t="s">
        <v>1066</v>
      </c>
      <c r="G1355" s="502"/>
      <c r="H1355" s="515" t="s">
        <v>65</v>
      </c>
      <c r="I1355" s="515">
        <v>1</v>
      </c>
      <c r="J1355" s="229" t="s">
        <v>49</v>
      </c>
      <c r="K1355" s="229"/>
      <c r="L1355" s="517"/>
      <c r="M1355" s="229"/>
      <c r="N1355" s="229"/>
      <c r="O1355" s="230"/>
      <c r="P1355" s="230"/>
      <c r="Q1355" s="132"/>
      <c r="R1355" s="94"/>
      <c r="AK1355" s="141"/>
    </row>
    <row r="1356" spans="1:38" s="74" customFormat="1" outlineLevel="1">
      <c r="A1356" s="156"/>
      <c r="B1356" s="225" t="s">
        <v>52</v>
      </c>
      <c r="C1356" s="514" t="s">
        <v>863</v>
      </c>
      <c r="D1356" s="515"/>
      <c r="E1356" s="225">
        <v>12313461001</v>
      </c>
      <c r="F1356" s="516" t="s">
        <v>1067</v>
      </c>
      <c r="G1356" s="502"/>
      <c r="H1356" s="515" t="s">
        <v>65</v>
      </c>
      <c r="I1356" s="515">
        <v>1</v>
      </c>
      <c r="J1356" s="229" t="s">
        <v>49</v>
      </c>
      <c r="K1356" s="229"/>
      <c r="L1356" s="517"/>
      <c r="M1356" s="229"/>
      <c r="N1356" s="229"/>
      <c r="O1356" s="230"/>
      <c r="P1356" s="230"/>
      <c r="Q1356" s="132"/>
      <c r="R1356" s="94"/>
      <c r="AK1356" s="141"/>
    </row>
    <row r="1357" spans="1:38" s="74" customFormat="1" outlineLevel="1">
      <c r="A1357" s="156"/>
      <c r="B1357" s="225" t="s">
        <v>52</v>
      </c>
      <c r="C1357" s="514" t="s">
        <v>863</v>
      </c>
      <c r="D1357" s="515"/>
      <c r="E1357" s="225">
        <v>12313561001</v>
      </c>
      <c r="F1357" s="516" t="s">
        <v>1068</v>
      </c>
      <c r="G1357" s="502"/>
      <c r="H1357" s="515" t="s">
        <v>65</v>
      </c>
      <c r="I1357" s="515">
        <v>1</v>
      </c>
      <c r="J1357" s="229" t="s">
        <v>49</v>
      </c>
      <c r="K1357" s="229"/>
      <c r="L1357" s="517"/>
      <c r="M1357" s="229"/>
      <c r="N1357" s="229"/>
      <c r="O1357" s="230"/>
      <c r="P1357" s="230"/>
      <c r="Q1357" s="132"/>
      <c r="R1357" s="97"/>
      <c r="AK1357" s="141"/>
      <c r="AL1357"/>
    </row>
    <row r="1358" spans="1:38" s="74" customFormat="1" outlineLevel="1">
      <c r="A1358" s="156"/>
      <c r="B1358" s="225" t="s">
        <v>52</v>
      </c>
      <c r="C1358" s="514" t="s">
        <v>863</v>
      </c>
      <c r="D1358" s="515"/>
      <c r="E1358" s="225">
        <v>12219501001</v>
      </c>
      <c r="F1358" s="516" t="s">
        <v>1069</v>
      </c>
      <c r="G1358" s="502"/>
      <c r="H1358" s="515" t="s">
        <v>65</v>
      </c>
      <c r="I1358" s="515">
        <v>1</v>
      </c>
      <c r="J1358" s="229" t="s">
        <v>49</v>
      </c>
      <c r="K1358" s="229"/>
      <c r="L1358" s="517"/>
      <c r="M1358" s="229"/>
      <c r="N1358" s="229"/>
      <c r="O1358" s="230"/>
      <c r="P1358" s="230"/>
      <c r="Q1358" s="132"/>
      <c r="R1358" s="94"/>
      <c r="AK1358" s="141"/>
    </row>
    <row r="1359" spans="1:38" s="74" customFormat="1" outlineLevel="1">
      <c r="A1359" s="156"/>
      <c r="B1359" s="225" t="s">
        <v>52</v>
      </c>
      <c r="C1359" s="514" t="s">
        <v>863</v>
      </c>
      <c r="D1359" s="515"/>
      <c r="E1359" s="225">
        <v>12313661001</v>
      </c>
      <c r="F1359" s="516" t="s">
        <v>1070</v>
      </c>
      <c r="G1359" s="502"/>
      <c r="H1359" s="515" t="s">
        <v>65</v>
      </c>
      <c r="I1359" s="515">
        <v>1</v>
      </c>
      <c r="J1359" s="229" t="s">
        <v>49</v>
      </c>
      <c r="K1359" s="229"/>
      <c r="L1359" s="517"/>
      <c r="M1359" s="229"/>
      <c r="N1359" s="229"/>
      <c r="O1359" s="230"/>
      <c r="P1359" s="230"/>
      <c r="Q1359" s="132"/>
      <c r="R1359" s="94"/>
      <c r="AK1359" s="141"/>
    </row>
    <row r="1360" spans="1:38" outlineLevel="1">
      <c r="A1360" s="36"/>
      <c r="B1360" s="456"/>
      <c r="C1360" s="500"/>
      <c r="D1360" s="387"/>
      <c r="E1360" s="188"/>
      <c r="F1360" s="388"/>
      <c r="G1360" s="455"/>
      <c r="H1360" s="387"/>
      <c r="I1360" s="387"/>
      <c r="J1360" s="212"/>
      <c r="K1360" s="212"/>
      <c r="L1360" s="392"/>
      <c r="M1360" s="279"/>
      <c r="N1360" s="279"/>
      <c r="O1360" s="333"/>
      <c r="P1360" s="333"/>
      <c r="Q1360" s="132"/>
      <c r="R1360" s="96"/>
      <c r="AK1360" s="141"/>
    </row>
    <row r="1361" spans="1:38" s="74" customFormat="1" outlineLevel="1">
      <c r="A1361" s="156"/>
      <c r="B1361" s="225" t="s">
        <v>52</v>
      </c>
      <c r="C1361" s="514" t="s">
        <v>863</v>
      </c>
      <c r="D1361" s="515"/>
      <c r="E1361" s="225">
        <v>11690471001</v>
      </c>
      <c r="F1361" s="516" t="s">
        <v>1071</v>
      </c>
      <c r="G1361" s="502"/>
      <c r="H1361" s="515" t="s">
        <v>65</v>
      </c>
      <c r="I1361" s="515">
        <v>10</v>
      </c>
      <c r="J1361" s="229" t="s">
        <v>49</v>
      </c>
      <c r="K1361" s="229"/>
      <c r="L1361" s="517"/>
      <c r="M1361" s="229"/>
      <c r="N1361" s="229"/>
      <c r="O1361" s="230"/>
      <c r="P1361" s="230"/>
      <c r="Q1361" s="132"/>
      <c r="R1361" s="94"/>
      <c r="AK1361" s="141"/>
    </row>
    <row r="1362" spans="1:38" s="74" customFormat="1" outlineLevel="1">
      <c r="A1362" s="156"/>
      <c r="B1362" s="225" t="s">
        <v>52</v>
      </c>
      <c r="C1362" s="514" t="s">
        <v>863</v>
      </c>
      <c r="D1362" s="515"/>
      <c r="E1362" s="225">
        <v>12677811001</v>
      </c>
      <c r="F1362" s="516" t="s">
        <v>1072</v>
      </c>
      <c r="G1362" s="502"/>
      <c r="H1362" s="515" t="s">
        <v>65</v>
      </c>
      <c r="I1362" s="515">
        <v>1</v>
      </c>
      <c r="J1362" s="229" t="s">
        <v>49</v>
      </c>
      <c r="K1362" s="229"/>
      <c r="L1362" s="517"/>
      <c r="M1362" s="229"/>
      <c r="N1362" s="229"/>
      <c r="O1362" s="230"/>
      <c r="P1362" s="230"/>
      <c r="Q1362" s="132"/>
      <c r="R1362" s="94"/>
      <c r="AK1362" s="141"/>
    </row>
    <row r="1363" spans="1:38" outlineLevel="1">
      <c r="A1363" s="36"/>
      <c r="B1363" s="456"/>
      <c r="C1363" s="500"/>
      <c r="D1363" s="387"/>
      <c r="E1363" s="188"/>
      <c r="F1363" s="388"/>
      <c r="G1363" s="455"/>
      <c r="H1363" s="387"/>
      <c r="I1363" s="387"/>
      <c r="J1363" s="212"/>
      <c r="K1363" s="212"/>
      <c r="L1363" s="392"/>
      <c r="M1363" s="279"/>
      <c r="N1363" s="279"/>
      <c r="O1363" s="333"/>
      <c r="P1363" s="333"/>
      <c r="Q1363" s="132"/>
      <c r="R1363" s="96"/>
      <c r="AK1363" s="141"/>
    </row>
    <row r="1364" spans="1:38" s="74" customFormat="1" outlineLevel="1">
      <c r="A1364" s="156"/>
      <c r="B1364" s="225" t="s">
        <v>52</v>
      </c>
      <c r="C1364" s="514" t="s">
        <v>863</v>
      </c>
      <c r="D1364" s="515"/>
      <c r="E1364" s="225">
        <v>11690551001</v>
      </c>
      <c r="F1364" s="516" t="s">
        <v>1073</v>
      </c>
      <c r="G1364" s="502"/>
      <c r="H1364" s="515" t="s">
        <v>65</v>
      </c>
      <c r="I1364" s="515">
        <v>10</v>
      </c>
      <c r="J1364" s="229" t="s">
        <v>49</v>
      </c>
      <c r="K1364" s="229"/>
      <c r="L1364" s="517"/>
      <c r="M1364" s="229"/>
      <c r="N1364" s="229"/>
      <c r="O1364" s="230"/>
      <c r="P1364" s="230"/>
      <c r="Q1364" s="132"/>
      <c r="R1364" s="94"/>
      <c r="AK1364" s="141"/>
    </row>
    <row r="1365" spans="1:38" s="74" customFormat="1" outlineLevel="1">
      <c r="A1365" s="156"/>
      <c r="B1365" s="225" t="s">
        <v>52</v>
      </c>
      <c r="C1365" s="514" t="s">
        <v>863</v>
      </c>
      <c r="D1365" s="515"/>
      <c r="E1365" s="225">
        <v>11690621001</v>
      </c>
      <c r="F1365" s="516" t="s">
        <v>1074</v>
      </c>
      <c r="G1365" s="502"/>
      <c r="H1365" s="515" t="s">
        <v>65</v>
      </c>
      <c r="I1365" s="515">
        <v>3</v>
      </c>
      <c r="J1365" s="229" t="s">
        <v>49</v>
      </c>
      <c r="K1365" s="229"/>
      <c r="L1365" s="517"/>
      <c r="M1365" s="229"/>
      <c r="N1365" s="229"/>
      <c r="O1365" s="230"/>
      <c r="P1365" s="230"/>
      <c r="Q1365" s="132"/>
      <c r="R1365" s="97"/>
      <c r="AK1365" s="141"/>
      <c r="AL1365"/>
    </row>
    <row r="1366" spans="1:38" outlineLevel="1">
      <c r="A1366" s="36"/>
      <c r="B1366" s="456"/>
      <c r="C1366" s="500"/>
      <c r="D1366" s="387"/>
      <c r="E1366" s="188"/>
      <c r="F1366" s="388"/>
      <c r="G1366" s="455"/>
      <c r="H1366" s="387"/>
      <c r="I1366" s="387"/>
      <c r="J1366" s="212"/>
      <c r="K1366" s="212"/>
      <c r="L1366" s="392"/>
      <c r="M1366" s="279"/>
      <c r="N1366" s="279"/>
      <c r="O1366" s="333"/>
      <c r="P1366" s="333"/>
      <c r="Q1366" s="132"/>
      <c r="R1366" s="94"/>
      <c r="AK1366" s="141"/>
      <c r="AL1366" s="74"/>
    </row>
    <row r="1367" spans="1:38" s="74" customFormat="1" outlineLevel="1">
      <c r="A1367" s="156"/>
      <c r="B1367" s="225" t="s">
        <v>52</v>
      </c>
      <c r="C1367" s="514" t="s">
        <v>863</v>
      </c>
      <c r="D1367" s="515"/>
      <c r="E1367" s="225">
        <v>11691691001</v>
      </c>
      <c r="F1367" s="516" t="s">
        <v>1075</v>
      </c>
      <c r="G1367" s="502"/>
      <c r="H1367" s="515" t="s">
        <v>65</v>
      </c>
      <c r="I1367" s="515">
        <v>30</v>
      </c>
      <c r="J1367" s="229" t="s">
        <v>49</v>
      </c>
      <c r="K1367" s="229"/>
      <c r="L1367" s="517"/>
      <c r="M1367" s="229"/>
      <c r="N1367" s="229"/>
      <c r="O1367" s="230"/>
      <c r="P1367" s="230"/>
      <c r="Q1367" s="132"/>
      <c r="R1367" s="94"/>
      <c r="AK1367" s="141"/>
    </row>
    <row r="1368" spans="1:38" outlineLevel="1">
      <c r="A1368" s="36"/>
      <c r="B1368" s="456"/>
      <c r="C1368" s="500"/>
      <c r="D1368" s="387"/>
      <c r="E1368" s="188"/>
      <c r="F1368" s="388"/>
      <c r="G1368" s="455"/>
      <c r="H1368" s="387"/>
      <c r="I1368" s="387"/>
      <c r="J1368" s="212"/>
      <c r="K1368" s="212"/>
      <c r="L1368" s="392"/>
      <c r="M1368" s="279"/>
      <c r="N1368" s="279"/>
      <c r="O1368" s="333"/>
      <c r="P1368" s="333"/>
      <c r="Q1368" s="132"/>
      <c r="R1368" s="94"/>
      <c r="AK1368" s="141"/>
      <c r="AL1368" s="74"/>
    </row>
    <row r="1369" spans="1:38" s="74" customFormat="1" outlineLevel="1">
      <c r="A1369" s="156"/>
      <c r="B1369" s="225" t="s">
        <v>52</v>
      </c>
      <c r="C1369" s="514" t="s">
        <v>863</v>
      </c>
      <c r="D1369" s="515"/>
      <c r="E1369" s="225">
        <v>11690481001</v>
      </c>
      <c r="F1369" s="516" t="s">
        <v>1076</v>
      </c>
      <c r="G1369" s="502"/>
      <c r="H1369" s="515" t="s">
        <v>65</v>
      </c>
      <c r="I1369" s="515">
        <v>10</v>
      </c>
      <c r="J1369" s="229" t="s">
        <v>49</v>
      </c>
      <c r="K1369" s="229"/>
      <c r="L1369" s="517"/>
      <c r="M1369" s="229"/>
      <c r="N1369" s="229"/>
      <c r="O1369" s="230"/>
      <c r="P1369" s="230"/>
      <c r="Q1369" s="132"/>
      <c r="R1369" s="94"/>
      <c r="AK1369" s="141"/>
    </row>
    <row r="1370" spans="1:38" s="74" customFormat="1" outlineLevel="1">
      <c r="A1370" s="156"/>
      <c r="B1370" s="225" t="s">
        <v>52</v>
      </c>
      <c r="C1370" s="514" t="s">
        <v>863</v>
      </c>
      <c r="D1370" s="515"/>
      <c r="E1370" s="225">
        <v>11690571001</v>
      </c>
      <c r="F1370" s="516" t="s">
        <v>1077</v>
      </c>
      <c r="G1370" s="502"/>
      <c r="H1370" s="515" t="s">
        <v>65</v>
      </c>
      <c r="I1370" s="515">
        <v>10</v>
      </c>
      <c r="J1370" s="229" t="s">
        <v>49</v>
      </c>
      <c r="K1370" s="229"/>
      <c r="L1370" s="517"/>
      <c r="M1370" s="229"/>
      <c r="N1370" s="229"/>
      <c r="O1370" s="230"/>
      <c r="P1370" s="230"/>
      <c r="Q1370" s="132"/>
      <c r="R1370" s="94"/>
      <c r="AK1370" s="141"/>
    </row>
    <row r="1371" spans="1:38" s="74" customFormat="1" outlineLevel="1">
      <c r="A1371" s="156"/>
      <c r="B1371" s="225" t="s">
        <v>52</v>
      </c>
      <c r="C1371" s="514" t="s">
        <v>863</v>
      </c>
      <c r="D1371" s="515"/>
      <c r="E1371" s="225">
        <v>11690581001</v>
      </c>
      <c r="F1371" s="516" t="s">
        <v>1078</v>
      </c>
      <c r="G1371" s="502"/>
      <c r="H1371" s="515" t="s">
        <v>65</v>
      </c>
      <c r="I1371" s="515">
        <v>10</v>
      </c>
      <c r="J1371" s="229" t="s">
        <v>49</v>
      </c>
      <c r="K1371" s="229"/>
      <c r="L1371" s="517"/>
      <c r="M1371" s="229"/>
      <c r="N1371" s="229"/>
      <c r="O1371" s="230"/>
      <c r="P1371" s="230"/>
      <c r="Q1371" s="132"/>
      <c r="R1371" s="94"/>
      <c r="AK1371" s="141"/>
    </row>
    <row r="1372" spans="1:38" s="74" customFormat="1" outlineLevel="1">
      <c r="A1372" s="156"/>
      <c r="B1372" s="225" t="s">
        <v>52</v>
      </c>
      <c r="C1372" s="514" t="s">
        <v>863</v>
      </c>
      <c r="D1372" s="515"/>
      <c r="E1372" s="225">
        <v>11690641001</v>
      </c>
      <c r="F1372" s="516" t="s">
        <v>1079</v>
      </c>
      <c r="G1372" s="502"/>
      <c r="H1372" s="515" t="s">
        <v>65</v>
      </c>
      <c r="I1372" s="515">
        <v>3</v>
      </c>
      <c r="J1372" s="229" t="s">
        <v>49</v>
      </c>
      <c r="K1372" s="229"/>
      <c r="L1372" s="517"/>
      <c r="M1372" s="229"/>
      <c r="N1372" s="229"/>
      <c r="O1372" s="230"/>
      <c r="P1372" s="230"/>
      <c r="Q1372" s="132"/>
      <c r="R1372" s="94"/>
      <c r="AK1372" s="141"/>
    </row>
    <row r="1373" spans="1:38" s="74" customFormat="1" outlineLevel="1">
      <c r="A1373" s="156"/>
      <c r="B1373" s="225" t="s">
        <v>52</v>
      </c>
      <c r="C1373" s="514" t="s">
        <v>863</v>
      </c>
      <c r="D1373" s="515"/>
      <c r="E1373" s="225">
        <v>11690671001</v>
      </c>
      <c r="F1373" s="516" t="s">
        <v>1080</v>
      </c>
      <c r="G1373" s="502"/>
      <c r="H1373" s="515" t="s">
        <v>65</v>
      </c>
      <c r="I1373" s="515">
        <v>1</v>
      </c>
      <c r="J1373" s="229" t="s">
        <v>49</v>
      </c>
      <c r="K1373" s="229"/>
      <c r="L1373" s="517"/>
      <c r="M1373" s="229"/>
      <c r="N1373" s="229"/>
      <c r="O1373" s="230"/>
      <c r="P1373" s="230"/>
      <c r="Q1373" s="132"/>
      <c r="R1373" s="94"/>
      <c r="AK1373" s="141"/>
    </row>
    <row r="1374" spans="1:38" s="74" customFormat="1" outlineLevel="1">
      <c r="A1374" s="156"/>
      <c r="B1374" s="225" t="s">
        <v>52</v>
      </c>
      <c r="C1374" s="514" t="s">
        <v>863</v>
      </c>
      <c r="D1374" s="515"/>
      <c r="E1374" s="225">
        <v>11690651001</v>
      </c>
      <c r="F1374" s="516" t="s">
        <v>1081</v>
      </c>
      <c r="G1374" s="502"/>
      <c r="H1374" s="515" t="s">
        <v>65</v>
      </c>
      <c r="I1374" s="515">
        <v>1</v>
      </c>
      <c r="J1374" s="229" t="s">
        <v>49</v>
      </c>
      <c r="K1374" s="229"/>
      <c r="L1374" s="517"/>
      <c r="M1374" s="229"/>
      <c r="N1374" s="229"/>
      <c r="O1374" s="230"/>
      <c r="P1374" s="230"/>
      <c r="Q1374" s="132"/>
      <c r="R1374" s="94"/>
      <c r="AK1374" s="141"/>
    </row>
    <row r="1375" spans="1:38" s="74" customFormat="1" outlineLevel="1">
      <c r="A1375" s="156"/>
      <c r="B1375" s="225" t="s">
        <v>52</v>
      </c>
      <c r="C1375" s="514" t="s">
        <v>863</v>
      </c>
      <c r="D1375" s="515"/>
      <c r="E1375" s="225">
        <v>11690731001</v>
      </c>
      <c r="F1375" s="516" t="s">
        <v>1082</v>
      </c>
      <c r="G1375" s="502"/>
      <c r="H1375" s="515" t="s">
        <v>65</v>
      </c>
      <c r="I1375" s="515">
        <v>1</v>
      </c>
      <c r="J1375" s="229" t="s">
        <v>49</v>
      </c>
      <c r="K1375" s="229"/>
      <c r="L1375" s="517"/>
      <c r="M1375" s="229"/>
      <c r="N1375" s="229"/>
      <c r="O1375" s="230"/>
      <c r="P1375" s="230"/>
      <c r="Q1375" s="132"/>
      <c r="R1375" s="94"/>
      <c r="AK1375" s="141"/>
    </row>
    <row r="1376" spans="1:38" s="74" customFormat="1" outlineLevel="1">
      <c r="A1376" s="156"/>
      <c r="B1376" s="225" t="s">
        <v>52</v>
      </c>
      <c r="C1376" s="514" t="s">
        <v>863</v>
      </c>
      <c r="D1376" s="515"/>
      <c r="E1376" s="225">
        <v>11690761001</v>
      </c>
      <c r="F1376" s="516" t="s">
        <v>1083</v>
      </c>
      <c r="G1376" s="502"/>
      <c r="H1376" s="515" t="s">
        <v>65</v>
      </c>
      <c r="I1376" s="515">
        <v>1</v>
      </c>
      <c r="J1376" s="229" t="s">
        <v>49</v>
      </c>
      <c r="K1376" s="229"/>
      <c r="L1376" s="517"/>
      <c r="M1376" s="229"/>
      <c r="N1376" s="229"/>
      <c r="O1376" s="230"/>
      <c r="P1376" s="230"/>
      <c r="Q1376" s="132"/>
      <c r="R1376" s="94"/>
      <c r="AK1376" s="141"/>
    </row>
    <row r="1377" spans="1:38" s="74" customFormat="1" outlineLevel="1">
      <c r="A1377" s="156"/>
      <c r="B1377" s="225" t="s">
        <v>52</v>
      </c>
      <c r="C1377" s="514" t="s">
        <v>863</v>
      </c>
      <c r="D1377" s="515"/>
      <c r="E1377" s="225">
        <v>11690751001</v>
      </c>
      <c r="F1377" s="516" t="s">
        <v>1084</v>
      </c>
      <c r="G1377" s="502"/>
      <c r="H1377" s="515" t="s">
        <v>65</v>
      </c>
      <c r="I1377" s="515">
        <v>1</v>
      </c>
      <c r="J1377" s="229" t="s">
        <v>49</v>
      </c>
      <c r="K1377" s="229"/>
      <c r="L1377" s="517"/>
      <c r="M1377" s="229"/>
      <c r="N1377" s="229"/>
      <c r="O1377" s="230"/>
      <c r="P1377" s="230"/>
      <c r="Q1377" s="132"/>
      <c r="R1377" s="94"/>
      <c r="AK1377" s="141"/>
    </row>
    <row r="1378" spans="1:38" s="74" customFormat="1" outlineLevel="1">
      <c r="A1378" s="156"/>
      <c r="B1378" s="225" t="s">
        <v>52</v>
      </c>
      <c r="C1378" s="514" t="s">
        <v>863</v>
      </c>
      <c r="D1378" s="515"/>
      <c r="E1378" s="225">
        <v>11690791001</v>
      </c>
      <c r="F1378" s="516" t="s">
        <v>1085</v>
      </c>
      <c r="G1378" s="502"/>
      <c r="H1378" s="515" t="s">
        <v>65</v>
      </c>
      <c r="I1378" s="515">
        <v>1</v>
      </c>
      <c r="J1378" s="229" t="s">
        <v>49</v>
      </c>
      <c r="K1378" s="229"/>
      <c r="L1378" s="517"/>
      <c r="M1378" s="229"/>
      <c r="N1378" s="229"/>
      <c r="O1378" s="230"/>
      <c r="P1378" s="230"/>
      <c r="Q1378" s="132"/>
      <c r="R1378" s="94"/>
      <c r="AK1378" s="141"/>
    </row>
    <row r="1379" spans="1:38" s="74" customFormat="1" outlineLevel="1">
      <c r="A1379" s="156"/>
      <c r="B1379" s="225" t="s">
        <v>52</v>
      </c>
      <c r="C1379" s="514" t="s">
        <v>863</v>
      </c>
      <c r="D1379" s="515"/>
      <c r="E1379" s="225">
        <v>11690801001</v>
      </c>
      <c r="F1379" s="516" t="s">
        <v>1086</v>
      </c>
      <c r="G1379" s="502"/>
      <c r="H1379" s="515" t="s">
        <v>65</v>
      </c>
      <c r="I1379" s="515">
        <v>1</v>
      </c>
      <c r="J1379" s="229" t="s">
        <v>49</v>
      </c>
      <c r="K1379" s="229"/>
      <c r="L1379" s="517"/>
      <c r="M1379" s="229"/>
      <c r="N1379" s="229"/>
      <c r="O1379" s="230"/>
      <c r="P1379" s="230"/>
      <c r="Q1379" s="132"/>
      <c r="R1379" s="94"/>
      <c r="AK1379" s="141"/>
    </row>
    <row r="1380" spans="1:38" s="74" customFormat="1" outlineLevel="1">
      <c r="A1380" s="156"/>
      <c r="B1380" s="225" t="s">
        <v>52</v>
      </c>
      <c r="C1380" s="514" t="s">
        <v>863</v>
      </c>
      <c r="D1380" s="515"/>
      <c r="E1380" s="225">
        <v>11691581001</v>
      </c>
      <c r="F1380" s="516" t="s">
        <v>1087</v>
      </c>
      <c r="G1380" s="502"/>
      <c r="H1380" s="515" t="s">
        <v>65</v>
      </c>
      <c r="I1380" s="515">
        <v>1</v>
      </c>
      <c r="J1380" s="229" t="s">
        <v>49</v>
      </c>
      <c r="K1380" s="229"/>
      <c r="L1380" s="517"/>
      <c r="M1380" s="229"/>
      <c r="N1380" s="229"/>
      <c r="O1380" s="230"/>
      <c r="P1380" s="230"/>
      <c r="Q1380" s="132"/>
      <c r="R1380" s="94"/>
      <c r="AK1380" s="141"/>
    </row>
    <row r="1381" spans="1:38" s="74" customFormat="1" outlineLevel="1">
      <c r="A1381" s="156"/>
      <c r="B1381" s="225" t="s">
        <v>52</v>
      </c>
      <c r="C1381" s="514" t="s">
        <v>863</v>
      </c>
      <c r="D1381" s="515"/>
      <c r="E1381" s="225">
        <v>11690781001</v>
      </c>
      <c r="F1381" s="516" t="s">
        <v>1088</v>
      </c>
      <c r="G1381" s="502"/>
      <c r="H1381" s="515" t="s">
        <v>65</v>
      </c>
      <c r="I1381" s="515">
        <v>1</v>
      </c>
      <c r="J1381" s="229" t="s">
        <v>49</v>
      </c>
      <c r="K1381" s="229"/>
      <c r="L1381" s="517"/>
      <c r="M1381" s="229"/>
      <c r="N1381" s="229"/>
      <c r="O1381" s="230"/>
      <c r="P1381" s="230"/>
      <c r="Q1381" s="132"/>
      <c r="R1381" s="97"/>
      <c r="AK1381" s="141"/>
      <c r="AL1381"/>
    </row>
    <row r="1382" spans="1:38" s="74" customFormat="1" outlineLevel="1">
      <c r="A1382" s="156"/>
      <c r="B1382" s="225" t="s">
        <v>52</v>
      </c>
      <c r="C1382" s="514" t="s">
        <v>863</v>
      </c>
      <c r="D1382" s="515"/>
      <c r="E1382" s="225">
        <v>11690821001</v>
      </c>
      <c r="F1382" s="516" t="s">
        <v>1089</v>
      </c>
      <c r="G1382" s="502"/>
      <c r="H1382" s="515" t="s">
        <v>65</v>
      </c>
      <c r="I1382" s="515">
        <v>1</v>
      </c>
      <c r="J1382" s="229" t="s">
        <v>49</v>
      </c>
      <c r="K1382" s="229"/>
      <c r="L1382" s="517"/>
      <c r="M1382" s="229"/>
      <c r="N1382" s="229"/>
      <c r="O1382" s="230"/>
      <c r="P1382" s="230"/>
      <c r="Q1382" s="132"/>
      <c r="R1382" s="94"/>
      <c r="AK1382" s="141"/>
    </row>
    <row r="1383" spans="1:38" s="74" customFormat="1" outlineLevel="1">
      <c r="A1383" s="156"/>
      <c r="B1383" s="225" t="s">
        <v>52</v>
      </c>
      <c r="C1383" s="514" t="s">
        <v>863</v>
      </c>
      <c r="D1383" s="515"/>
      <c r="E1383" s="225">
        <v>11690831001</v>
      </c>
      <c r="F1383" s="516" t="s">
        <v>1090</v>
      </c>
      <c r="G1383" s="502"/>
      <c r="H1383" s="515" t="s">
        <v>65</v>
      </c>
      <c r="I1383" s="515">
        <v>1</v>
      </c>
      <c r="J1383" s="229" t="s">
        <v>49</v>
      </c>
      <c r="K1383" s="229"/>
      <c r="L1383" s="517"/>
      <c r="M1383" s="229"/>
      <c r="N1383" s="229"/>
      <c r="O1383" s="230"/>
      <c r="P1383" s="230"/>
      <c r="Q1383" s="132"/>
      <c r="R1383" s="94"/>
      <c r="AK1383" s="141"/>
    </row>
    <row r="1384" spans="1:38" outlineLevel="1">
      <c r="A1384" s="36"/>
      <c r="B1384" s="456"/>
      <c r="C1384" s="500"/>
      <c r="D1384" s="387"/>
      <c r="E1384" s="188"/>
      <c r="F1384" s="388"/>
      <c r="G1384" s="455"/>
      <c r="H1384" s="387"/>
      <c r="I1384" s="387"/>
      <c r="J1384" s="212"/>
      <c r="K1384" s="212"/>
      <c r="L1384" s="392"/>
      <c r="M1384" s="279"/>
      <c r="N1384" s="279"/>
      <c r="O1384" s="333"/>
      <c r="P1384" s="333"/>
      <c r="Q1384" s="132"/>
      <c r="R1384" s="96"/>
      <c r="AK1384" s="141"/>
    </row>
    <row r="1385" spans="1:38" s="74" customFormat="1" outlineLevel="1">
      <c r="A1385" s="156"/>
      <c r="B1385" s="225" t="s">
        <v>52</v>
      </c>
      <c r="C1385" s="514" t="s">
        <v>863</v>
      </c>
      <c r="D1385" s="515"/>
      <c r="E1385" s="225">
        <v>11690741001</v>
      </c>
      <c r="F1385" s="516" t="s">
        <v>1091</v>
      </c>
      <c r="G1385" s="502"/>
      <c r="H1385" s="515" t="s">
        <v>65</v>
      </c>
      <c r="I1385" s="515">
        <v>1</v>
      </c>
      <c r="J1385" s="229" t="s">
        <v>49</v>
      </c>
      <c r="K1385" s="229"/>
      <c r="L1385" s="517"/>
      <c r="M1385" s="229"/>
      <c r="N1385" s="229"/>
      <c r="O1385" s="230"/>
      <c r="P1385" s="230"/>
      <c r="Q1385" s="132"/>
      <c r="R1385" s="94"/>
      <c r="AK1385" s="141"/>
    </row>
    <row r="1386" spans="1:38" s="74" customFormat="1" outlineLevel="1">
      <c r="A1386" s="156"/>
      <c r="B1386" s="225" t="s">
        <v>52</v>
      </c>
      <c r="C1386" s="514" t="s">
        <v>863</v>
      </c>
      <c r="D1386" s="515"/>
      <c r="E1386" s="225">
        <v>11691571001</v>
      </c>
      <c r="F1386" s="516" t="s">
        <v>1092</v>
      </c>
      <c r="G1386" s="502"/>
      <c r="H1386" s="515" t="s">
        <v>65</v>
      </c>
      <c r="I1386" s="515">
        <v>1</v>
      </c>
      <c r="J1386" s="229" t="s">
        <v>49</v>
      </c>
      <c r="K1386" s="229"/>
      <c r="L1386" s="517"/>
      <c r="M1386" s="229"/>
      <c r="N1386" s="229"/>
      <c r="O1386" s="230"/>
      <c r="P1386" s="230"/>
      <c r="Q1386" s="132"/>
      <c r="R1386" s="123"/>
      <c r="AK1386" s="141"/>
      <c r="AL1386"/>
    </row>
    <row r="1387" spans="1:38" outlineLevel="1">
      <c r="A1387" s="36"/>
      <c r="B1387" s="456"/>
      <c r="C1387" s="500"/>
      <c r="D1387" s="387"/>
      <c r="E1387" s="188"/>
      <c r="F1387" s="388"/>
      <c r="G1387" s="455"/>
      <c r="H1387" s="387"/>
      <c r="I1387" s="387"/>
      <c r="J1387" s="212"/>
      <c r="K1387" s="212"/>
      <c r="L1387" s="392"/>
      <c r="M1387" s="279"/>
      <c r="N1387" s="279"/>
      <c r="O1387" s="333"/>
      <c r="P1387" s="333"/>
      <c r="Q1387" s="132"/>
      <c r="R1387" s="97"/>
      <c r="AK1387" s="141"/>
      <c r="AL1387" s="74"/>
    </row>
    <row r="1388" spans="1:38" s="74" customFormat="1" outlineLevel="1">
      <c r="A1388" s="156"/>
      <c r="B1388" s="225" t="s">
        <v>52</v>
      </c>
      <c r="C1388" s="514" t="s">
        <v>863</v>
      </c>
      <c r="D1388" s="515"/>
      <c r="E1388" s="225">
        <v>12098891001</v>
      </c>
      <c r="F1388" s="516" t="s">
        <v>1093</v>
      </c>
      <c r="G1388" s="502"/>
      <c r="H1388" s="515" t="s">
        <v>65</v>
      </c>
      <c r="I1388" s="515">
        <v>4</v>
      </c>
      <c r="J1388" s="229" t="s">
        <v>49</v>
      </c>
      <c r="K1388" s="229"/>
      <c r="L1388" s="517"/>
      <c r="M1388" s="229"/>
      <c r="N1388" s="229"/>
      <c r="O1388" s="230"/>
      <c r="P1388" s="230"/>
      <c r="Q1388" s="132"/>
      <c r="R1388" s="97"/>
      <c r="AK1388" s="141"/>
      <c r="AL1388"/>
    </row>
    <row r="1389" spans="1:38" outlineLevel="1">
      <c r="A1389" s="36"/>
      <c r="B1389" s="486"/>
      <c r="C1389" s="500"/>
      <c r="D1389" s="387"/>
      <c r="E1389" s="188"/>
      <c r="F1389" s="388"/>
      <c r="G1389" s="455"/>
      <c r="H1389" s="387"/>
      <c r="I1389" s="387"/>
      <c r="J1389" s="212"/>
      <c r="K1389" s="212"/>
      <c r="L1389" s="392"/>
      <c r="M1389" s="279"/>
      <c r="N1389" s="279"/>
      <c r="O1389" s="333"/>
      <c r="P1389" s="333"/>
      <c r="Q1389" s="132"/>
      <c r="R1389" s="94"/>
      <c r="AK1389" s="141"/>
      <c r="AL1389" s="74"/>
    </row>
    <row r="1390" spans="1:38" s="74" customFormat="1" outlineLevel="1">
      <c r="A1390" s="156"/>
      <c r="B1390" s="225" t="s">
        <v>52</v>
      </c>
      <c r="C1390" s="514" t="s">
        <v>863</v>
      </c>
      <c r="D1390" s="515"/>
      <c r="E1390" s="225">
        <v>12247451001</v>
      </c>
      <c r="F1390" s="516" t="s">
        <v>1094</v>
      </c>
      <c r="G1390" s="502"/>
      <c r="H1390" s="515" t="s">
        <v>65</v>
      </c>
      <c r="I1390" s="515">
        <v>1</v>
      </c>
      <c r="J1390" s="229" t="s">
        <v>895</v>
      </c>
      <c r="K1390" s="229"/>
      <c r="L1390" s="517"/>
      <c r="M1390" s="229"/>
      <c r="N1390" s="229"/>
      <c r="O1390" s="230"/>
      <c r="P1390" s="230"/>
      <c r="Q1390" s="132"/>
      <c r="R1390" s="94"/>
      <c r="AK1390" s="141"/>
    </row>
    <row r="1391" spans="1:38" outlineLevel="1">
      <c r="A1391" s="36"/>
      <c r="B1391" s="520"/>
      <c r="C1391" s="514"/>
      <c r="D1391" s="515"/>
      <c r="E1391" s="225"/>
      <c r="F1391" s="516"/>
      <c r="G1391" s="502"/>
      <c r="H1391" s="515"/>
      <c r="I1391" s="515"/>
      <c r="J1391" s="220"/>
      <c r="K1391" s="220"/>
      <c r="L1391" s="517"/>
      <c r="M1391" s="229"/>
      <c r="N1391" s="229"/>
      <c r="O1391" s="230"/>
      <c r="P1391" s="230"/>
      <c r="Q1391" s="132"/>
      <c r="R1391" s="94"/>
      <c r="AK1391" s="141"/>
      <c r="AL1391" s="74"/>
    </row>
    <row r="1392" spans="1:38" s="74" customFormat="1" outlineLevel="1">
      <c r="A1392" s="156"/>
      <c r="B1392" s="225" t="s">
        <v>52</v>
      </c>
      <c r="C1392" s="514" t="s">
        <v>863</v>
      </c>
      <c r="D1392" s="515"/>
      <c r="E1392" s="225">
        <v>11691251001</v>
      </c>
      <c r="F1392" s="516" t="s">
        <v>1095</v>
      </c>
      <c r="G1392" s="502"/>
      <c r="H1392" s="515" t="s">
        <v>65</v>
      </c>
      <c r="I1392" s="515">
        <v>10</v>
      </c>
      <c r="J1392" s="229" t="s">
        <v>49</v>
      </c>
      <c r="K1392" s="229"/>
      <c r="L1392" s="517"/>
      <c r="M1392" s="229"/>
      <c r="N1392" s="229"/>
      <c r="O1392" s="230"/>
      <c r="P1392" s="230"/>
      <c r="Q1392" s="132"/>
      <c r="R1392" s="94"/>
      <c r="AK1392" s="141"/>
    </row>
    <row r="1393" spans="1:38" s="74" customFormat="1" outlineLevel="1">
      <c r="A1393" s="156"/>
      <c r="B1393" s="225" t="s">
        <v>52</v>
      </c>
      <c r="C1393" s="514" t="s">
        <v>863</v>
      </c>
      <c r="D1393" s="515"/>
      <c r="E1393" s="225">
        <v>11691271001</v>
      </c>
      <c r="F1393" s="516" t="s">
        <v>1096</v>
      </c>
      <c r="G1393" s="502"/>
      <c r="H1393" s="515" t="s">
        <v>65</v>
      </c>
      <c r="I1393" s="515">
        <v>3</v>
      </c>
      <c r="J1393" s="229" t="s">
        <v>49</v>
      </c>
      <c r="K1393" s="229"/>
      <c r="L1393" s="517"/>
      <c r="M1393" s="229"/>
      <c r="N1393" s="229"/>
      <c r="O1393" s="230"/>
      <c r="P1393" s="230"/>
      <c r="Q1393" s="132"/>
      <c r="R1393" s="94"/>
      <c r="AK1393" s="141"/>
    </row>
    <row r="1394" spans="1:38" s="74" customFormat="1" outlineLevel="1">
      <c r="A1394" s="156"/>
      <c r="B1394" s="225" t="s">
        <v>52</v>
      </c>
      <c r="C1394" s="514" t="s">
        <v>863</v>
      </c>
      <c r="D1394" s="515"/>
      <c r="E1394" s="225">
        <v>11691291001</v>
      </c>
      <c r="F1394" s="516" t="s">
        <v>1097</v>
      </c>
      <c r="G1394" s="502"/>
      <c r="H1394" s="515" t="s">
        <v>65</v>
      </c>
      <c r="I1394" s="515">
        <v>1</v>
      </c>
      <c r="J1394" s="229" t="s">
        <v>49</v>
      </c>
      <c r="K1394" s="229"/>
      <c r="L1394" s="517"/>
      <c r="M1394" s="229"/>
      <c r="N1394" s="229"/>
      <c r="O1394" s="230"/>
      <c r="P1394" s="230"/>
      <c r="Q1394" s="132"/>
      <c r="R1394" s="94"/>
      <c r="AK1394" s="141"/>
    </row>
    <row r="1395" spans="1:38" s="74" customFormat="1" outlineLevel="1">
      <c r="A1395" s="156"/>
      <c r="B1395" s="225" t="s">
        <v>52</v>
      </c>
      <c r="C1395" s="514" t="s">
        <v>863</v>
      </c>
      <c r="D1395" s="515"/>
      <c r="E1395" s="225">
        <v>11691311001</v>
      </c>
      <c r="F1395" s="516" t="s">
        <v>1098</v>
      </c>
      <c r="G1395" s="502"/>
      <c r="H1395" s="515" t="s">
        <v>65</v>
      </c>
      <c r="I1395" s="515">
        <v>1</v>
      </c>
      <c r="J1395" s="229" t="s">
        <v>49</v>
      </c>
      <c r="K1395" s="229"/>
      <c r="L1395" s="517"/>
      <c r="M1395" s="229"/>
      <c r="N1395" s="229"/>
      <c r="O1395" s="230"/>
      <c r="P1395" s="230"/>
      <c r="Q1395" s="132"/>
      <c r="R1395" s="97"/>
      <c r="AK1395" s="141"/>
      <c r="AL1395"/>
    </row>
    <row r="1396" spans="1:38" s="74" customFormat="1" outlineLevel="1">
      <c r="A1396" s="156"/>
      <c r="B1396" s="225" t="s">
        <v>52</v>
      </c>
      <c r="C1396" s="514" t="s">
        <v>863</v>
      </c>
      <c r="D1396" s="515"/>
      <c r="E1396" s="225">
        <v>11691501001</v>
      </c>
      <c r="F1396" s="516" t="s">
        <v>1099</v>
      </c>
      <c r="G1396" s="502"/>
      <c r="H1396" s="515" t="s">
        <v>65</v>
      </c>
      <c r="I1396" s="515">
        <v>1</v>
      </c>
      <c r="J1396" s="229" t="s">
        <v>49</v>
      </c>
      <c r="K1396" s="229"/>
      <c r="L1396" s="517"/>
      <c r="M1396" s="229"/>
      <c r="N1396" s="229"/>
      <c r="O1396" s="230"/>
      <c r="P1396" s="230"/>
      <c r="Q1396" s="132"/>
      <c r="R1396" s="94"/>
      <c r="AK1396" s="141"/>
    </row>
    <row r="1397" spans="1:38" s="74" customFormat="1" outlineLevel="1">
      <c r="A1397" s="156"/>
      <c r="B1397" s="225" t="s">
        <v>52</v>
      </c>
      <c r="C1397" s="514" t="s">
        <v>863</v>
      </c>
      <c r="D1397" s="515"/>
      <c r="E1397" s="225">
        <v>12378361001</v>
      </c>
      <c r="F1397" s="516" t="s">
        <v>1100</v>
      </c>
      <c r="G1397" s="502"/>
      <c r="H1397" s="515" t="s">
        <v>65</v>
      </c>
      <c r="I1397" s="515">
        <v>1</v>
      </c>
      <c r="J1397" s="229" t="s">
        <v>49</v>
      </c>
      <c r="K1397" s="229"/>
      <c r="L1397" s="517"/>
      <c r="M1397" s="229"/>
      <c r="N1397" s="229"/>
      <c r="O1397" s="230"/>
      <c r="P1397" s="230"/>
      <c r="Q1397" s="132"/>
      <c r="R1397" s="94"/>
      <c r="AK1397" s="141"/>
    </row>
    <row r="1398" spans="1:38" outlineLevel="1">
      <c r="A1398" s="36"/>
      <c r="B1398" s="456"/>
      <c r="C1398" s="500"/>
      <c r="D1398" s="387"/>
      <c r="E1398" s="188"/>
      <c r="F1398" s="388"/>
      <c r="G1398" s="455"/>
      <c r="H1398" s="387"/>
      <c r="I1398" s="387"/>
      <c r="J1398" s="212"/>
      <c r="K1398" s="212"/>
      <c r="L1398" s="392"/>
      <c r="M1398" s="279"/>
      <c r="N1398" s="279"/>
      <c r="O1398" s="333"/>
      <c r="P1398" s="333"/>
      <c r="Q1398" s="132"/>
      <c r="R1398" s="94"/>
      <c r="AK1398" s="141"/>
      <c r="AL1398" s="74"/>
    </row>
    <row r="1399" spans="1:38" s="74" customFormat="1" outlineLevel="1">
      <c r="A1399" s="156"/>
      <c r="B1399" s="225" t="s">
        <v>52</v>
      </c>
      <c r="C1399" s="514" t="s">
        <v>863</v>
      </c>
      <c r="D1399" s="515"/>
      <c r="E1399" s="225">
        <v>11691241001</v>
      </c>
      <c r="F1399" s="516" t="s">
        <v>1101</v>
      </c>
      <c r="G1399" s="502"/>
      <c r="H1399" s="515" t="s">
        <v>65</v>
      </c>
      <c r="I1399" s="515">
        <v>10</v>
      </c>
      <c r="J1399" s="229" t="s">
        <v>49</v>
      </c>
      <c r="K1399" s="229"/>
      <c r="L1399" s="517"/>
      <c r="M1399" s="229"/>
      <c r="N1399" s="229"/>
      <c r="O1399" s="230"/>
      <c r="P1399" s="230"/>
      <c r="Q1399" s="132"/>
      <c r="R1399" s="94"/>
      <c r="AK1399" s="141"/>
    </row>
    <row r="1400" spans="1:38" s="74" customFormat="1" outlineLevel="1">
      <c r="A1400" s="156"/>
      <c r="B1400" s="225" t="s">
        <v>52</v>
      </c>
      <c r="C1400" s="514" t="s">
        <v>863</v>
      </c>
      <c r="D1400" s="515"/>
      <c r="E1400" s="225">
        <v>11691261001</v>
      </c>
      <c r="F1400" s="516" t="s">
        <v>1102</v>
      </c>
      <c r="G1400" s="502"/>
      <c r="H1400" s="515" t="s">
        <v>65</v>
      </c>
      <c r="I1400" s="515">
        <v>10</v>
      </c>
      <c r="J1400" s="229" t="s">
        <v>49</v>
      </c>
      <c r="K1400" s="229"/>
      <c r="L1400" s="517"/>
      <c r="M1400" s="229"/>
      <c r="N1400" s="229"/>
      <c r="O1400" s="230"/>
      <c r="P1400" s="230"/>
      <c r="Q1400" s="132"/>
      <c r="R1400" s="94"/>
      <c r="AK1400" s="141"/>
    </row>
    <row r="1401" spans="1:38" s="74" customFormat="1" outlineLevel="1">
      <c r="A1401" s="156"/>
      <c r="B1401" s="225" t="s">
        <v>52</v>
      </c>
      <c r="C1401" s="514" t="s">
        <v>863</v>
      </c>
      <c r="D1401" s="515"/>
      <c r="E1401" s="225">
        <v>11691281001</v>
      </c>
      <c r="F1401" s="516" t="s">
        <v>1103</v>
      </c>
      <c r="G1401" s="502"/>
      <c r="H1401" s="515" t="s">
        <v>65</v>
      </c>
      <c r="I1401" s="515">
        <v>3</v>
      </c>
      <c r="J1401" s="229" t="s">
        <v>49</v>
      </c>
      <c r="K1401" s="229"/>
      <c r="L1401" s="517"/>
      <c r="M1401" s="229"/>
      <c r="N1401" s="229"/>
      <c r="O1401" s="230"/>
      <c r="P1401" s="230"/>
      <c r="Q1401" s="132"/>
      <c r="R1401" s="94"/>
      <c r="AK1401" s="141"/>
    </row>
    <row r="1402" spans="1:38" s="74" customFormat="1" outlineLevel="1">
      <c r="A1402" s="156"/>
      <c r="B1402" s="225" t="s">
        <v>52</v>
      </c>
      <c r="C1402" s="514" t="s">
        <v>863</v>
      </c>
      <c r="D1402" s="515"/>
      <c r="E1402" s="225">
        <v>11691301001</v>
      </c>
      <c r="F1402" s="516" t="s">
        <v>1104</v>
      </c>
      <c r="G1402" s="502"/>
      <c r="H1402" s="515" t="s">
        <v>65</v>
      </c>
      <c r="I1402" s="515">
        <v>1</v>
      </c>
      <c r="J1402" s="229" t="s">
        <v>49</v>
      </c>
      <c r="K1402" s="229"/>
      <c r="L1402" s="517"/>
      <c r="M1402" s="229"/>
      <c r="N1402" s="229"/>
      <c r="O1402" s="230"/>
      <c r="P1402" s="230"/>
      <c r="Q1402" s="132"/>
      <c r="R1402" s="94"/>
      <c r="AK1402" s="141"/>
    </row>
    <row r="1403" spans="1:38" s="74" customFormat="1" outlineLevel="1">
      <c r="A1403" s="156"/>
      <c r="B1403" s="225" t="s">
        <v>52</v>
      </c>
      <c r="C1403" s="514" t="s">
        <v>863</v>
      </c>
      <c r="D1403" s="515"/>
      <c r="E1403" s="225">
        <v>11691451001</v>
      </c>
      <c r="F1403" s="516" t="s">
        <v>1105</v>
      </c>
      <c r="G1403" s="502"/>
      <c r="H1403" s="515" t="s">
        <v>65</v>
      </c>
      <c r="I1403" s="515">
        <v>1</v>
      </c>
      <c r="J1403" s="229" t="s">
        <v>49</v>
      </c>
      <c r="K1403" s="229"/>
      <c r="L1403" s="517"/>
      <c r="M1403" s="229"/>
      <c r="N1403" s="229"/>
      <c r="O1403" s="230"/>
      <c r="P1403" s="230"/>
      <c r="Q1403" s="132"/>
      <c r="R1403" s="94"/>
      <c r="AK1403" s="141"/>
    </row>
    <row r="1404" spans="1:38" s="74" customFormat="1" outlineLevel="1">
      <c r="A1404" s="156"/>
      <c r="B1404" s="225" t="s">
        <v>52</v>
      </c>
      <c r="C1404" s="514" t="s">
        <v>863</v>
      </c>
      <c r="D1404" s="515"/>
      <c r="E1404" s="225">
        <v>11691461001</v>
      </c>
      <c r="F1404" s="516" t="s">
        <v>1106</v>
      </c>
      <c r="G1404" s="502"/>
      <c r="H1404" s="515" t="s">
        <v>65</v>
      </c>
      <c r="I1404" s="515">
        <v>1</v>
      </c>
      <c r="J1404" s="229" t="s">
        <v>49</v>
      </c>
      <c r="K1404" s="229"/>
      <c r="L1404" s="517"/>
      <c r="M1404" s="229"/>
      <c r="N1404" s="229"/>
      <c r="O1404" s="230"/>
      <c r="P1404" s="230"/>
      <c r="Q1404" s="132"/>
      <c r="R1404" s="94"/>
      <c r="AK1404" s="141"/>
    </row>
    <row r="1405" spans="1:38" s="74" customFormat="1" outlineLevel="1">
      <c r="A1405" s="156"/>
      <c r="B1405" s="225" t="s">
        <v>52</v>
      </c>
      <c r="C1405" s="514" t="s">
        <v>863</v>
      </c>
      <c r="D1405" s="515"/>
      <c r="E1405" s="225">
        <v>12677511001</v>
      </c>
      <c r="F1405" s="516" t="s">
        <v>1107</v>
      </c>
      <c r="G1405" s="502"/>
      <c r="H1405" s="515" t="s">
        <v>65</v>
      </c>
      <c r="I1405" s="515">
        <v>1</v>
      </c>
      <c r="J1405" s="229" t="s">
        <v>49</v>
      </c>
      <c r="K1405" s="229"/>
      <c r="L1405" s="517"/>
      <c r="M1405" s="229"/>
      <c r="N1405" s="229"/>
      <c r="O1405" s="230"/>
      <c r="P1405" s="230"/>
      <c r="Q1405" s="132"/>
      <c r="R1405" s="97"/>
      <c r="AK1405" s="141"/>
      <c r="AL1405"/>
    </row>
    <row r="1406" spans="1:38" s="74" customFormat="1" outlineLevel="1">
      <c r="A1406" s="156"/>
      <c r="B1406" s="225" t="s">
        <v>52</v>
      </c>
      <c r="C1406" s="514" t="s">
        <v>863</v>
      </c>
      <c r="D1406" s="515"/>
      <c r="E1406" s="225">
        <v>12677611001</v>
      </c>
      <c r="F1406" s="516" t="s">
        <v>1108</v>
      </c>
      <c r="G1406" s="502"/>
      <c r="H1406" s="515" t="s">
        <v>65</v>
      </c>
      <c r="I1406" s="515">
        <v>1</v>
      </c>
      <c r="J1406" s="229" t="s">
        <v>49</v>
      </c>
      <c r="K1406" s="229"/>
      <c r="L1406" s="517"/>
      <c r="M1406" s="229"/>
      <c r="N1406" s="229"/>
      <c r="O1406" s="230"/>
      <c r="P1406" s="230"/>
      <c r="Q1406" s="132"/>
      <c r="R1406" s="94"/>
      <c r="AK1406" s="141"/>
    </row>
    <row r="1407" spans="1:38" s="74" customFormat="1" outlineLevel="1">
      <c r="A1407" s="156"/>
      <c r="B1407" s="225" t="s">
        <v>52</v>
      </c>
      <c r="C1407" s="514" t="s">
        <v>863</v>
      </c>
      <c r="D1407" s="515"/>
      <c r="E1407" s="225">
        <v>12677711001</v>
      </c>
      <c r="F1407" s="516" t="s">
        <v>1109</v>
      </c>
      <c r="G1407" s="502"/>
      <c r="H1407" s="515" t="s">
        <v>65</v>
      </c>
      <c r="I1407" s="515">
        <v>1</v>
      </c>
      <c r="J1407" s="229" t="s">
        <v>49</v>
      </c>
      <c r="K1407" s="229"/>
      <c r="L1407" s="517"/>
      <c r="M1407" s="229"/>
      <c r="N1407" s="229"/>
      <c r="O1407" s="230"/>
      <c r="P1407" s="230"/>
      <c r="Q1407" s="132"/>
      <c r="R1407" s="94"/>
      <c r="AK1407" s="141"/>
    </row>
    <row r="1408" spans="1:38" outlineLevel="1">
      <c r="A1408" s="36"/>
      <c r="B1408" s="456"/>
      <c r="C1408" s="500"/>
      <c r="D1408" s="387"/>
      <c r="E1408" s="188"/>
      <c r="F1408" s="388"/>
      <c r="G1408" s="455"/>
      <c r="H1408" s="387"/>
      <c r="I1408" s="387"/>
      <c r="J1408" s="212"/>
      <c r="K1408" s="212"/>
      <c r="L1408" s="392"/>
      <c r="M1408" s="279"/>
      <c r="N1408" s="279"/>
      <c r="O1408" s="333"/>
      <c r="P1408" s="333"/>
      <c r="Q1408" s="132"/>
      <c r="R1408" s="94"/>
      <c r="AK1408" s="141"/>
      <c r="AL1408" s="74"/>
    </row>
    <row r="1409" spans="1:38" s="74" customFormat="1" outlineLevel="1">
      <c r="A1409" s="156"/>
      <c r="B1409" s="225" t="s">
        <v>52</v>
      </c>
      <c r="C1409" s="514" t="s">
        <v>863</v>
      </c>
      <c r="D1409" s="515"/>
      <c r="E1409" s="225">
        <v>11691381001</v>
      </c>
      <c r="F1409" s="516" t="s">
        <v>1110</v>
      </c>
      <c r="G1409" s="502"/>
      <c r="H1409" s="515" t="s">
        <v>65</v>
      </c>
      <c r="I1409" s="515">
        <v>10</v>
      </c>
      <c r="J1409" s="229" t="s">
        <v>49</v>
      </c>
      <c r="K1409" s="229"/>
      <c r="L1409" s="517"/>
      <c r="M1409" s="229"/>
      <c r="N1409" s="229"/>
      <c r="O1409" s="230"/>
      <c r="P1409" s="230"/>
      <c r="Q1409" s="132"/>
      <c r="R1409" s="94"/>
      <c r="AK1409" s="141"/>
    </row>
    <row r="1410" spans="1:38" s="74" customFormat="1" outlineLevel="1">
      <c r="A1410" s="156"/>
      <c r="B1410" s="225" t="s">
        <v>52</v>
      </c>
      <c r="C1410" s="514" t="s">
        <v>863</v>
      </c>
      <c r="D1410" s="515"/>
      <c r="E1410" s="225">
        <v>11691391001</v>
      </c>
      <c r="F1410" s="516" t="s">
        <v>1111</v>
      </c>
      <c r="G1410" s="502"/>
      <c r="H1410" s="515" t="s">
        <v>65</v>
      </c>
      <c r="I1410" s="515">
        <v>10</v>
      </c>
      <c r="J1410" s="229" t="s">
        <v>49</v>
      </c>
      <c r="K1410" s="229"/>
      <c r="L1410" s="517"/>
      <c r="M1410" s="229"/>
      <c r="N1410" s="229"/>
      <c r="O1410" s="230"/>
      <c r="P1410" s="230"/>
      <c r="Q1410" s="132"/>
      <c r="R1410" s="97"/>
      <c r="AK1410" s="141"/>
      <c r="AL1410"/>
    </row>
    <row r="1411" spans="1:38" s="74" customFormat="1" outlineLevel="1">
      <c r="A1411" s="156"/>
      <c r="B1411" s="225" t="s">
        <v>52</v>
      </c>
      <c r="C1411" s="514" t="s">
        <v>863</v>
      </c>
      <c r="D1411" s="515"/>
      <c r="E1411" s="225">
        <v>11691401001</v>
      </c>
      <c r="F1411" s="516" t="s">
        <v>1112</v>
      </c>
      <c r="G1411" s="502"/>
      <c r="H1411" s="515" t="s">
        <v>65</v>
      </c>
      <c r="I1411" s="515">
        <v>10</v>
      </c>
      <c r="J1411" s="229" t="s">
        <v>49</v>
      </c>
      <c r="K1411" s="229"/>
      <c r="L1411" s="517"/>
      <c r="M1411" s="229"/>
      <c r="N1411" s="229"/>
      <c r="O1411" s="230"/>
      <c r="P1411" s="230"/>
      <c r="Q1411" s="132"/>
      <c r="R1411" s="97"/>
      <c r="AK1411" s="141"/>
    </row>
    <row r="1412" spans="1:38" s="74" customFormat="1" outlineLevel="1">
      <c r="A1412" s="156"/>
      <c r="B1412" s="225" t="s">
        <v>52</v>
      </c>
      <c r="C1412" s="514" t="s">
        <v>863</v>
      </c>
      <c r="D1412" s="515"/>
      <c r="E1412" s="225">
        <v>11690261001</v>
      </c>
      <c r="F1412" s="516" t="s">
        <v>1113</v>
      </c>
      <c r="G1412" s="502"/>
      <c r="H1412" s="515" t="s">
        <v>65</v>
      </c>
      <c r="I1412" s="515">
        <v>3</v>
      </c>
      <c r="J1412" s="229" t="s">
        <v>49</v>
      </c>
      <c r="K1412" s="229"/>
      <c r="L1412" s="517"/>
      <c r="M1412" s="229"/>
      <c r="N1412" s="229"/>
      <c r="O1412" s="230"/>
      <c r="P1412" s="230"/>
      <c r="Q1412" s="132"/>
      <c r="R1412" s="97"/>
      <c r="AK1412" s="141"/>
    </row>
    <row r="1413" spans="1:38" outlineLevel="1">
      <c r="A1413" s="36"/>
      <c r="B1413" s="456"/>
      <c r="C1413" s="500"/>
      <c r="D1413" s="387"/>
      <c r="E1413" s="188"/>
      <c r="F1413" s="388"/>
      <c r="G1413" s="455"/>
      <c r="H1413" s="387"/>
      <c r="I1413" s="387"/>
      <c r="J1413" s="212"/>
      <c r="K1413" s="212"/>
      <c r="L1413" s="392"/>
      <c r="M1413" s="279"/>
      <c r="N1413" s="279"/>
      <c r="O1413" s="333"/>
      <c r="P1413" s="333"/>
      <c r="Q1413" s="132"/>
      <c r="R1413" s="97"/>
      <c r="AL1413" s="74"/>
    </row>
    <row r="1414" spans="1:38" s="74" customFormat="1" outlineLevel="1">
      <c r="A1414" s="156"/>
      <c r="B1414" s="520" t="s">
        <v>52</v>
      </c>
      <c r="C1414" s="514" t="s">
        <v>863</v>
      </c>
      <c r="D1414" s="515"/>
      <c r="E1414" s="225">
        <v>11691161001</v>
      </c>
      <c r="F1414" s="516" t="s">
        <v>1114</v>
      </c>
      <c r="G1414" s="523"/>
      <c r="H1414" s="515" t="s">
        <v>65</v>
      </c>
      <c r="I1414" s="515">
        <v>10</v>
      </c>
      <c r="J1414" s="229" t="s">
        <v>895</v>
      </c>
      <c r="K1414" s="229"/>
      <c r="L1414" s="517"/>
      <c r="M1414" s="229"/>
      <c r="N1414" s="229"/>
      <c r="O1414" s="230"/>
      <c r="P1414" s="230"/>
      <c r="Q1414" s="132"/>
      <c r="R1414" s="97"/>
      <c r="AK1414"/>
      <c r="AL1414"/>
    </row>
    <row r="1415" spans="1:38" s="74" customFormat="1" outlineLevel="1">
      <c r="A1415" s="156"/>
      <c r="B1415" s="520" t="s">
        <v>52</v>
      </c>
      <c r="C1415" s="514" t="s">
        <v>863</v>
      </c>
      <c r="D1415" s="515"/>
      <c r="E1415" s="225">
        <v>11691181001</v>
      </c>
      <c r="F1415" s="516" t="s">
        <v>1115</v>
      </c>
      <c r="G1415" s="523"/>
      <c r="H1415" s="515" t="s">
        <v>65</v>
      </c>
      <c r="I1415" s="515">
        <v>10</v>
      </c>
      <c r="J1415" s="229" t="s">
        <v>895</v>
      </c>
      <c r="K1415" s="229"/>
      <c r="L1415" s="517"/>
      <c r="M1415" s="229"/>
      <c r="N1415" s="229"/>
      <c r="O1415" s="230"/>
      <c r="P1415" s="230"/>
      <c r="Q1415" s="132"/>
      <c r="R1415" s="123"/>
      <c r="AK1415"/>
      <c r="AL1415"/>
    </row>
    <row r="1416" spans="1:38" s="74" customFormat="1" outlineLevel="1">
      <c r="A1416" s="156"/>
      <c r="B1416" s="520" t="s">
        <v>52</v>
      </c>
      <c r="C1416" s="514" t="s">
        <v>863</v>
      </c>
      <c r="D1416" s="515"/>
      <c r="E1416" s="225">
        <v>11691191001</v>
      </c>
      <c r="F1416" s="516" t="s">
        <v>1116</v>
      </c>
      <c r="G1416" s="523"/>
      <c r="H1416" s="515" t="s">
        <v>65</v>
      </c>
      <c r="I1416" s="515">
        <v>10</v>
      </c>
      <c r="J1416" s="229" t="s">
        <v>895</v>
      </c>
      <c r="K1416" s="229"/>
      <c r="L1416" s="517"/>
      <c r="M1416" s="229"/>
      <c r="N1416" s="229"/>
      <c r="O1416" s="230"/>
      <c r="P1416" s="230"/>
      <c r="Q1416" s="132"/>
      <c r="R1416" s="94"/>
      <c r="AK1416"/>
    </row>
    <row r="1417" spans="1:38" outlineLevel="1">
      <c r="A1417" s="36"/>
      <c r="B1417" s="520"/>
      <c r="C1417" s="514"/>
      <c r="D1417" s="515"/>
      <c r="E1417" s="225"/>
      <c r="F1417" s="516"/>
      <c r="G1417" s="523"/>
      <c r="H1417" s="515"/>
      <c r="I1417" s="515"/>
      <c r="J1417" s="220"/>
      <c r="K1417" s="220"/>
      <c r="L1417" s="517"/>
      <c r="M1417" s="229"/>
      <c r="N1417" s="229"/>
      <c r="O1417" s="230"/>
      <c r="P1417" s="230"/>
      <c r="Q1417" s="132"/>
      <c r="R1417" s="94"/>
      <c r="AL1417" s="74"/>
    </row>
    <row r="1418" spans="1:38" outlineLevel="1">
      <c r="A1418" s="36"/>
      <c r="B1418" s="486"/>
      <c r="C1418" s="487" t="s">
        <v>863</v>
      </c>
      <c r="D1418" s="488"/>
      <c r="E1418" s="511"/>
      <c r="F1418" s="524" t="s">
        <v>1117</v>
      </c>
      <c r="G1418" s="518"/>
      <c r="H1418" s="492"/>
      <c r="I1418" s="492"/>
      <c r="J1418" s="418"/>
      <c r="K1418" s="418"/>
      <c r="L1418" s="525"/>
      <c r="M1418" s="526"/>
      <c r="N1418" s="526"/>
      <c r="O1418" s="495"/>
      <c r="P1418" s="495"/>
      <c r="Q1418" s="132"/>
      <c r="R1418" s="94"/>
      <c r="AL1418" s="74"/>
    </row>
    <row r="1419" spans="1:38" s="74" customFormat="1" outlineLevel="1">
      <c r="A1419" s="156"/>
      <c r="B1419" s="225" t="s">
        <v>52</v>
      </c>
      <c r="C1419" s="514" t="s">
        <v>863</v>
      </c>
      <c r="D1419" s="358"/>
      <c r="E1419" s="225">
        <v>12331431001</v>
      </c>
      <c r="F1419" s="516" t="s">
        <v>1118</v>
      </c>
      <c r="G1419" s="522"/>
      <c r="H1419" s="358" t="s">
        <v>65</v>
      </c>
      <c r="I1419" s="358">
        <v>1</v>
      </c>
      <c r="J1419" s="229" t="s">
        <v>49</v>
      </c>
      <c r="K1419" s="229"/>
      <c r="L1419" s="517"/>
      <c r="M1419" s="229"/>
      <c r="N1419" s="229"/>
      <c r="O1419" s="230"/>
      <c r="P1419" s="230"/>
      <c r="Q1419" s="132"/>
      <c r="R1419" s="94"/>
      <c r="AK1419"/>
    </row>
    <row r="1420" spans="1:38" s="74" customFormat="1" outlineLevel="1">
      <c r="A1420" s="156"/>
      <c r="B1420" s="225" t="s">
        <v>52</v>
      </c>
      <c r="C1420" s="514" t="s">
        <v>863</v>
      </c>
      <c r="D1420" s="226">
        <v>12331631001</v>
      </c>
      <c r="E1420" s="225">
        <v>11601621001</v>
      </c>
      <c r="F1420" s="516" t="s">
        <v>1119</v>
      </c>
      <c r="G1420" s="522"/>
      <c r="H1420" s="358" t="s">
        <v>65</v>
      </c>
      <c r="I1420" s="358">
        <v>1</v>
      </c>
      <c r="J1420" s="229" t="s">
        <v>49</v>
      </c>
      <c r="K1420" s="229"/>
      <c r="L1420" s="517"/>
      <c r="M1420" s="229"/>
      <c r="N1420" s="229"/>
      <c r="O1420" s="230"/>
      <c r="P1420" s="230"/>
      <c r="Q1420" s="132"/>
      <c r="R1420" s="94"/>
      <c r="AK1420"/>
    </row>
    <row r="1421" spans="1:38" s="74" customFormat="1" outlineLevel="1">
      <c r="A1421" s="156"/>
      <c r="B1421" s="225" t="s">
        <v>52</v>
      </c>
      <c r="C1421" s="514" t="s">
        <v>863</v>
      </c>
      <c r="D1421" s="358"/>
      <c r="E1421" s="225">
        <v>12331831001</v>
      </c>
      <c r="F1421" s="516" t="s">
        <v>1120</v>
      </c>
      <c r="G1421" s="522"/>
      <c r="H1421" s="358" t="s">
        <v>65</v>
      </c>
      <c r="I1421" s="358">
        <v>1</v>
      </c>
      <c r="J1421" s="229" t="s">
        <v>49</v>
      </c>
      <c r="K1421" s="229"/>
      <c r="L1421" s="517"/>
      <c r="M1421" s="229"/>
      <c r="N1421" s="229"/>
      <c r="O1421" s="230"/>
      <c r="P1421" s="230"/>
      <c r="Q1421" s="132"/>
      <c r="R1421" s="94"/>
      <c r="AK1421"/>
    </row>
    <row r="1422" spans="1:38" s="74" customFormat="1" outlineLevel="1">
      <c r="A1422" s="156"/>
      <c r="B1422" s="225" t="s">
        <v>52</v>
      </c>
      <c r="C1422" s="514" t="s">
        <v>863</v>
      </c>
      <c r="D1422" s="358"/>
      <c r="E1422" s="225">
        <v>12332131001</v>
      </c>
      <c r="F1422" s="516" t="s">
        <v>1121</v>
      </c>
      <c r="G1422" s="522"/>
      <c r="H1422" s="358" t="s">
        <v>65</v>
      </c>
      <c r="I1422" s="358">
        <v>1</v>
      </c>
      <c r="J1422" s="229" t="s">
        <v>49</v>
      </c>
      <c r="K1422" s="229"/>
      <c r="L1422" s="517"/>
      <c r="M1422" s="229"/>
      <c r="N1422" s="229"/>
      <c r="O1422" s="230"/>
      <c r="P1422" s="230"/>
      <c r="Q1422" s="132"/>
      <c r="R1422" s="94"/>
      <c r="AK1422"/>
    </row>
    <row r="1423" spans="1:38" s="74" customFormat="1" outlineLevel="1">
      <c r="A1423" s="156"/>
      <c r="B1423" s="225" t="s">
        <v>52</v>
      </c>
      <c r="C1423" s="514" t="s">
        <v>863</v>
      </c>
      <c r="D1423" s="358">
        <v>12332331001</v>
      </c>
      <c r="E1423" s="225">
        <v>11602121001</v>
      </c>
      <c r="F1423" s="516" t="s">
        <v>1122</v>
      </c>
      <c r="G1423" s="522"/>
      <c r="H1423" s="358" t="s">
        <v>65</v>
      </c>
      <c r="I1423" s="358">
        <v>1</v>
      </c>
      <c r="J1423" s="229" t="s">
        <v>49</v>
      </c>
      <c r="K1423" s="229"/>
      <c r="L1423" s="517"/>
      <c r="M1423" s="229"/>
      <c r="N1423" s="229"/>
      <c r="O1423" s="230"/>
      <c r="P1423" s="230"/>
      <c r="Q1423" s="132"/>
      <c r="R1423" s="94"/>
      <c r="AK1423"/>
    </row>
    <row r="1424" spans="1:38" s="74" customFormat="1" outlineLevel="1">
      <c r="A1424" s="156"/>
      <c r="B1424" s="225" t="s">
        <v>52</v>
      </c>
      <c r="C1424" s="514" t="s">
        <v>863</v>
      </c>
      <c r="D1424" s="226">
        <v>12332531001</v>
      </c>
      <c r="E1424" s="225">
        <v>11602221001</v>
      </c>
      <c r="F1424" s="516" t="s">
        <v>1123</v>
      </c>
      <c r="G1424" s="522"/>
      <c r="H1424" s="358" t="s">
        <v>65</v>
      </c>
      <c r="I1424" s="358">
        <v>1</v>
      </c>
      <c r="J1424" s="229" t="s">
        <v>49</v>
      </c>
      <c r="K1424" s="229"/>
      <c r="L1424" s="517"/>
      <c r="M1424" s="229"/>
      <c r="N1424" s="229"/>
      <c r="O1424" s="230"/>
      <c r="P1424" s="230"/>
      <c r="Q1424" s="132"/>
      <c r="R1424" s="94"/>
      <c r="AK1424"/>
    </row>
    <row r="1425" spans="1:38" s="74" customFormat="1" outlineLevel="1">
      <c r="A1425" s="156"/>
      <c r="B1425" s="225" t="s">
        <v>52</v>
      </c>
      <c r="C1425" s="514" t="s">
        <v>863</v>
      </c>
      <c r="D1425" s="358"/>
      <c r="E1425" s="225">
        <v>12331531001</v>
      </c>
      <c r="F1425" s="516" t="s">
        <v>1124</v>
      </c>
      <c r="G1425" s="522"/>
      <c r="H1425" s="358" t="s">
        <v>65</v>
      </c>
      <c r="I1425" s="358">
        <v>1</v>
      </c>
      <c r="J1425" s="229" t="s">
        <v>49</v>
      </c>
      <c r="K1425" s="229"/>
      <c r="L1425" s="517"/>
      <c r="M1425" s="229"/>
      <c r="N1425" s="229"/>
      <c r="O1425" s="230"/>
      <c r="P1425" s="230"/>
      <c r="Q1425" s="132"/>
      <c r="R1425" s="123"/>
      <c r="AK1425"/>
      <c r="AL1425"/>
    </row>
    <row r="1426" spans="1:38" s="74" customFormat="1" outlineLevel="1">
      <c r="A1426" s="156"/>
      <c r="B1426" s="225" t="s">
        <v>52</v>
      </c>
      <c r="C1426" s="514" t="s">
        <v>863</v>
      </c>
      <c r="D1426" s="226">
        <v>12331731001</v>
      </c>
      <c r="E1426" s="225">
        <v>11601721001</v>
      </c>
      <c r="F1426" s="516" t="s">
        <v>1125</v>
      </c>
      <c r="G1426" s="502"/>
      <c r="H1426" s="358" t="s">
        <v>65</v>
      </c>
      <c r="I1426" s="358">
        <v>1</v>
      </c>
      <c r="J1426" s="229" t="s">
        <v>49</v>
      </c>
      <c r="K1426" s="229"/>
      <c r="L1426" s="517"/>
      <c r="M1426" s="229"/>
      <c r="N1426" s="229"/>
      <c r="O1426" s="230"/>
      <c r="P1426" s="230"/>
      <c r="Q1426" s="132"/>
      <c r="R1426" s="123"/>
      <c r="AK1426"/>
      <c r="AL1426"/>
    </row>
    <row r="1427" spans="1:38" s="74" customFormat="1" outlineLevel="1">
      <c r="A1427" s="156"/>
      <c r="B1427" s="225" t="s">
        <v>52</v>
      </c>
      <c r="C1427" s="514" t="s">
        <v>863</v>
      </c>
      <c r="D1427" s="226">
        <v>12331931001</v>
      </c>
      <c r="E1427" s="225">
        <v>11601921001</v>
      </c>
      <c r="F1427" s="516" t="s">
        <v>1126</v>
      </c>
      <c r="G1427" s="502"/>
      <c r="H1427" s="358" t="s">
        <v>65</v>
      </c>
      <c r="I1427" s="358">
        <v>1</v>
      </c>
      <c r="J1427" s="229" t="s">
        <v>49</v>
      </c>
      <c r="K1427" s="229"/>
      <c r="L1427" s="517"/>
      <c r="M1427" s="229"/>
      <c r="N1427" s="229"/>
      <c r="O1427" s="230"/>
      <c r="P1427" s="230"/>
      <c r="Q1427" s="132"/>
      <c r="R1427" s="94"/>
      <c r="AK1427"/>
      <c r="AL1427"/>
    </row>
    <row r="1428" spans="1:38" outlineLevel="1">
      <c r="A1428" s="36"/>
      <c r="B1428" s="486"/>
      <c r="C1428" s="500"/>
      <c r="D1428" s="190"/>
      <c r="E1428" s="188"/>
      <c r="F1428" s="388"/>
      <c r="G1428" s="455"/>
      <c r="H1428" s="248"/>
      <c r="I1428" s="248"/>
      <c r="J1428" s="212"/>
      <c r="K1428" s="212"/>
      <c r="L1428" s="392"/>
      <c r="M1428" s="279"/>
      <c r="N1428" s="279"/>
      <c r="O1428" s="333"/>
      <c r="P1428" s="333"/>
      <c r="Q1428" s="132"/>
      <c r="R1428" s="94"/>
    </row>
    <row r="1429" spans="1:38" outlineLevel="1">
      <c r="A1429" s="36"/>
      <c r="B1429" s="486"/>
      <c r="C1429" s="487" t="s">
        <v>863</v>
      </c>
      <c r="D1429" s="488"/>
      <c r="E1429" s="511"/>
      <c r="F1429" s="490" t="s">
        <v>1127</v>
      </c>
      <c r="G1429" s="518"/>
      <c r="H1429" s="492"/>
      <c r="I1429" s="492"/>
      <c r="J1429" s="418"/>
      <c r="K1429" s="418"/>
      <c r="L1429" s="493"/>
      <c r="M1429" s="494"/>
      <c r="N1429" s="494"/>
      <c r="O1429" s="495"/>
      <c r="P1429" s="496"/>
      <c r="Q1429" s="132"/>
      <c r="R1429" s="94"/>
    </row>
    <row r="1430" spans="1:38" outlineLevel="1">
      <c r="A1430" s="36"/>
      <c r="B1430" s="225" t="s">
        <v>52</v>
      </c>
      <c r="C1430" s="514" t="s">
        <v>863</v>
      </c>
      <c r="D1430" s="515"/>
      <c r="E1430" s="225">
        <v>12033911001</v>
      </c>
      <c r="F1430" s="516" t="s">
        <v>1128</v>
      </c>
      <c r="G1430" s="502"/>
      <c r="H1430" s="515" t="s">
        <v>65</v>
      </c>
      <c r="I1430" s="515">
        <v>1</v>
      </c>
      <c r="J1430" s="229" t="s">
        <v>49</v>
      </c>
      <c r="K1430" s="229"/>
      <c r="L1430" s="517"/>
      <c r="M1430" s="229"/>
      <c r="N1430" s="229"/>
      <c r="O1430" s="230"/>
      <c r="P1430" s="230"/>
      <c r="Q1430" s="132"/>
      <c r="R1430" s="94"/>
    </row>
    <row r="1431" spans="1:38" outlineLevel="1">
      <c r="A1431" s="36"/>
      <c r="B1431" s="225" t="s">
        <v>52</v>
      </c>
      <c r="C1431" s="514" t="s">
        <v>863</v>
      </c>
      <c r="D1431" s="515"/>
      <c r="E1431" s="225">
        <v>12033931001</v>
      </c>
      <c r="F1431" s="516" t="s">
        <v>1129</v>
      </c>
      <c r="G1431" s="502"/>
      <c r="H1431" s="515" t="s">
        <v>65</v>
      </c>
      <c r="I1431" s="515">
        <v>1</v>
      </c>
      <c r="J1431" s="229" t="s">
        <v>49</v>
      </c>
      <c r="K1431" s="229"/>
      <c r="L1431" s="517"/>
      <c r="M1431" s="229"/>
      <c r="N1431" s="229"/>
      <c r="O1431" s="230"/>
      <c r="P1431" s="230"/>
      <c r="Q1431" s="132"/>
      <c r="R1431" s="97"/>
    </row>
    <row r="1432" spans="1:38" outlineLevel="1">
      <c r="A1432" s="36"/>
      <c r="B1432" s="225" t="s">
        <v>52</v>
      </c>
      <c r="C1432" s="514" t="s">
        <v>863</v>
      </c>
      <c r="D1432" s="515"/>
      <c r="E1432" s="225">
        <v>12219541001</v>
      </c>
      <c r="F1432" s="516" t="s">
        <v>1130</v>
      </c>
      <c r="G1432" s="502"/>
      <c r="H1432" s="515" t="s">
        <v>65</v>
      </c>
      <c r="I1432" s="515">
        <v>1</v>
      </c>
      <c r="J1432" s="229" t="s">
        <v>49</v>
      </c>
      <c r="K1432" s="229"/>
      <c r="L1432" s="517"/>
      <c r="M1432" s="229"/>
      <c r="N1432" s="229"/>
      <c r="O1432" s="230"/>
      <c r="P1432" s="230"/>
      <c r="Q1432" s="132"/>
      <c r="R1432" s="94"/>
    </row>
    <row r="1433" spans="1:38" outlineLevel="1">
      <c r="A1433" s="36"/>
      <c r="B1433" s="225" t="s">
        <v>52</v>
      </c>
      <c r="C1433" s="514" t="s">
        <v>863</v>
      </c>
      <c r="D1433" s="515"/>
      <c r="E1433" s="225">
        <v>12219551001</v>
      </c>
      <c r="F1433" s="516" t="s">
        <v>1131</v>
      </c>
      <c r="G1433" s="502"/>
      <c r="H1433" s="515" t="s">
        <v>65</v>
      </c>
      <c r="I1433" s="515">
        <v>1</v>
      </c>
      <c r="J1433" s="229" t="s">
        <v>49</v>
      </c>
      <c r="K1433" s="229"/>
      <c r="L1433" s="517"/>
      <c r="M1433" s="229"/>
      <c r="N1433" s="229"/>
      <c r="O1433" s="230"/>
      <c r="P1433" s="230"/>
      <c r="Q1433" s="132"/>
      <c r="R1433" s="97"/>
    </row>
    <row r="1434" spans="1:38" outlineLevel="1">
      <c r="A1434" s="36"/>
      <c r="B1434" s="225" t="s">
        <v>52</v>
      </c>
      <c r="C1434" s="514" t="s">
        <v>863</v>
      </c>
      <c r="D1434" s="515"/>
      <c r="E1434" s="225">
        <v>12219561001</v>
      </c>
      <c r="F1434" s="516" t="s">
        <v>1132</v>
      </c>
      <c r="G1434" s="502"/>
      <c r="H1434" s="515" t="s">
        <v>65</v>
      </c>
      <c r="I1434" s="515">
        <v>1</v>
      </c>
      <c r="J1434" s="229" t="s">
        <v>895</v>
      </c>
      <c r="K1434" s="229"/>
      <c r="L1434" s="517"/>
      <c r="M1434" s="229"/>
      <c r="N1434" s="229"/>
      <c r="O1434" s="230"/>
      <c r="P1434" s="230"/>
      <c r="Q1434" s="132"/>
      <c r="R1434" s="94"/>
    </row>
    <row r="1435" spans="1:38" outlineLevel="1">
      <c r="A1435" s="36"/>
      <c r="B1435" s="225" t="s">
        <v>52</v>
      </c>
      <c r="C1435" s="514" t="s">
        <v>863</v>
      </c>
      <c r="D1435" s="515"/>
      <c r="E1435" s="225">
        <v>14847051001</v>
      </c>
      <c r="F1435" s="516" t="s">
        <v>1132</v>
      </c>
      <c r="G1435" s="502"/>
      <c r="H1435" s="515" t="s">
        <v>65</v>
      </c>
      <c r="I1435" s="515">
        <v>1</v>
      </c>
      <c r="J1435" s="229" t="s">
        <v>49</v>
      </c>
      <c r="K1435" s="229"/>
      <c r="L1435" s="517"/>
      <c r="M1435" s="229"/>
      <c r="N1435" s="229"/>
      <c r="O1435" s="230"/>
      <c r="P1435" s="230"/>
      <c r="Q1435" s="132"/>
      <c r="R1435" s="97"/>
    </row>
    <row r="1436" spans="1:38" outlineLevel="1">
      <c r="A1436" s="36"/>
      <c r="B1436" s="225" t="s">
        <v>52</v>
      </c>
      <c r="C1436" s="514" t="s">
        <v>863</v>
      </c>
      <c r="D1436" s="515"/>
      <c r="E1436" s="225">
        <v>12219581001</v>
      </c>
      <c r="F1436" s="516" t="s">
        <v>1133</v>
      </c>
      <c r="G1436" s="502"/>
      <c r="H1436" s="515" t="s">
        <v>65</v>
      </c>
      <c r="I1436" s="515">
        <v>1</v>
      </c>
      <c r="J1436" s="229" t="s">
        <v>895</v>
      </c>
      <c r="K1436" s="229"/>
      <c r="L1436" s="517"/>
      <c r="M1436" s="229"/>
      <c r="N1436" s="229"/>
      <c r="O1436" s="230"/>
      <c r="P1436" s="230"/>
      <c r="Q1436" s="132"/>
      <c r="R1436" s="97"/>
    </row>
    <row r="1437" spans="1:38" outlineLevel="1">
      <c r="A1437" s="36"/>
      <c r="B1437" s="225" t="s">
        <v>52</v>
      </c>
      <c r="C1437" s="514" t="s">
        <v>863</v>
      </c>
      <c r="D1437" s="515"/>
      <c r="E1437" s="225">
        <v>14847061001</v>
      </c>
      <c r="F1437" s="516" t="s">
        <v>1133</v>
      </c>
      <c r="G1437" s="502"/>
      <c r="H1437" s="515" t="s">
        <v>65</v>
      </c>
      <c r="I1437" s="515">
        <v>1</v>
      </c>
      <c r="J1437" s="229" t="s">
        <v>49</v>
      </c>
      <c r="K1437" s="229"/>
      <c r="L1437" s="517"/>
      <c r="M1437" s="229"/>
      <c r="N1437" s="229"/>
      <c r="O1437" s="230"/>
      <c r="P1437" s="230"/>
      <c r="Q1437" s="132"/>
      <c r="R1437" s="94"/>
    </row>
    <row r="1438" spans="1:38" outlineLevel="1">
      <c r="A1438" s="36"/>
      <c r="B1438" s="225" t="s">
        <v>52</v>
      </c>
      <c r="C1438" s="514" t="s">
        <v>863</v>
      </c>
      <c r="D1438" s="515"/>
      <c r="E1438" s="225">
        <v>12219601001</v>
      </c>
      <c r="F1438" s="516" t="s">
        <v>1134</v>
      </c>
      <c r="G1438" s="502"/>
      <c r="H1438" s="515" t="s">
        <v>65</v>
      </c>
      <c r="I1438" s="515">
        <v>1</v>
      </c>
      <c r="J1438" s="229" t="s">
        <v>895</v>
      </c>
      <c r="K1438" s="229"/>
      <c r="L1438" s="517"/>
      <c r="M1438" s="229"/>
      <c r="N1438" s="229"/>
      <c r="O1438" s="230"/>
      <c r="P1438" s="230"/>
      <c r="Q1438" s="132"/>
      <c r="R1438" s="94"/>
    </row>
    <row r="1439" spans="1:38" outlineLevel="1">
      <c r="A1439" s="36"/>
      <c r="B1439" s="456"/>
      <c r="C1439" s="500"/>
      <c r="D1439" s="387"/>
      <c r="E1439" s="188"/>
      <c r="F1439" s="388"/>
      <c r="G1439" s="455"/>
      <c r="H1439" s="387"/>
      <c r="I1439" s="387"/>
      <c r="J1439" s="212"/>
      <c r="K1439" s="212"/>
      <c r="L1439" s="392"/>
      <c r="M1439" s="279"/>
      <c r="N1439" s="279"/>
      <c r="O1439" s="333"/>
      <c r="P1439" s="333"/>
      <c r="Q1439" s="132"/>
      <c r="R1439" s="94"/>
    </row>
    <row r="1440" spans="1:38" outlineLevel="1">
      <c r="A1440" s="36"/>
      <c r="B1440" s="225" t="s">
        <v>52</v>
      </c>
      <c r="C1440" s="514" t="s">
        <v>863</v>
      </c>
      <c r="D1440" s="515"/>
      <c r="E1440" s="225">
        <v>14847081001</v>
      </c>
      <c r="F1440" s="516" t="s">
        <v>1134</v>
      </c>
      <c r="G1440" s="502"/>
      <c r="H1440" s="515" t="s">
        <v>65</v>
      </c>
      <c r="I1440" s="515">
        <v>1</v>
      </c>
      <c r="J1440" s="229" t="s">
        <v>49</v>
      </c>
      <c r="K1440" s="229"/>
      <c r="L1440" s="517"/>
      <c r="M1440" s="229"/>
      <c r="N1440" s="229"/>
      <c r="O1440" s="230"/>
      <c r="P1440" s="230"/>
      <c r="Q1440" s="132"/>
      <c r="R1440" s="94"/>
    </row>
    <row r="1441" spans="1:38" outlineLevel="1">
      <c r="A1441" s="36"/>
      <c r="B1441" s="225" t="s">
        <v>52</v>
      </c>
      <c r="C1441" s="514" t="s">
        <v>863</v>
      </c>
      <c r="D1441" s="515"/>
      <c r="E1441" s="225">
        <v>12143981001</v>
      </c>
      <c r="F1441" s="516" t="s">
        <v>1135</v>
      </c>
      <c r="G1441" s="502"/>
      <c r="H1441" s="515" t="s">
        <v>65</v>
      </c>
      <c r="I1441" s="515">
        <v>1</v>
      </c>
      <c r="J1441" s="229" t="s">
        <v>49</v>
      </c>
      <c r="K1441" s="229"/>
      <c r="L1441" s="517"/>
      <c r="M1441" s="229"/>
      <c r="N1441" s="229"/>
      <c r="O1441" s="230"/>
      <c r="P1441" s="230"/>
      <c r="Q1441" s="132"/>
      <c r="R1441" s="94"/>
    </row>
    <row r="1442" spans="1:38" outlineLevel="1">
      <c r="A1442" s="36"/>
      <c r="B1442" s="225" t="s">
        <v>52</v>
      </c>
      <c r="C1442" s="514" t="s">
        <v>863</v>
      </c>
      <c r="D1442" s="515"/>
      <c r="E1442" s="225">
        <v>12143991001</v>
      </c>
      <c r="F1442" s="516" t="s">
        <v>1136</v>
      </c>
      <c r="G1442" s="502"/>
      <c r="H1442" s="515" t="s">
        <v>65</v>
      </c>
      <c r="I1442" s="515">
        <v>1</v>
      </c>
      <c r="J1442" s="229" t="s">
        <v>49</v>
      </c>
      <c r="K1442" s="229"/>
      <c r="L1442" s="517"/>
      <c r="M1442" s="229"/>
      <c r="N1442" s="229"/>
      <c r="O1442" s="230"/>
      <c r="P1442" s="230"/>
      <c r="Q1442" s="132"/>
      <c r="R1442" s="94"/>
    </row>
    <row r="1443" spans="1:38" outlineLevel="1">
      <c r="A1443" s="36"/>
      <c r="B1443" s="225" t="s">
        <v>52</v>
      </c>
      <c r="C1443" s="514" t="s">
        <v>863</v>
      </c>
      <c r="D1443" s="515"/>
      <c r="E1443" s="225">
        <v>12144011001</v>
      </c>
      <c r="F1443" s="516" t="s">
        <v>1137</v>
      </c>
      <c r="G1443" s="502"/>
      <c r="H1443" s="515" t="s">
        <v>65</v>
      </c>
      <c r="I1443" s="515">
        <v>1</v>
      </c>
      <c r="J1443" s="229" t="s">
        <v>49</v>
      </c>
      <c r="K1443" s="229"/>
      <c r="L1443" s="517"/>
      <c r="M1443" s="229"/>
      <c r="N1443" s="229"/>
      <c r="O1443" s="230"/>
      <c r="P1443" s="230"/>
      <c r="Q1443" s="132"/>
      <c r="R1443" s="94"/>
    </row>
    <row r="1444" spans="1:38" outlineLevel="1">
      <c r="A1444" s="36"/>
      <c r="B1444" s="225" t="s">
        <v>52</v>
      </c>
      <c r="C1444" s="514" t="s">
        <v>863</v>
      </c>
      <c r="D1444" s="515"/>
      <c r="E1444" s="225">
        <v>12144021001</v>
      </c>
      <c r="F1444" s="516" t="s">
        <v>1138</v>
      </c>
      <c r="G1444" s="502"/>
      <c r="H1444" s="515" t="s">
        <v>65</v>
      </c>
      <c r="I1444" s="515">
        <v>1</v>
      </c>
      <c r="J1444" s="229" t="s">
        <v>49</v>
      </c>
      <c r="K1444" s="229"/>
      <c r="L1444" s="517"/>
      <c r="M1444" s="229"/>
      <c r="N1444" s="229"/>
      <c r="O1444" s="230"/>
      <c r="P1444" s="230"/>
      <c r="Q1444" s="132"/>
      <c r="R1444" s="94"/>
    </row>
    <row r="1445" spans="1:38" outlineLevel="1">
      <c r="A1445" s="36"/>
      <c r="B1445" s="225" t="s">
        <v>52</v>
      </c>
      <c r="C1445" s="514" t="s">
        <v>863</v>
      </c>
      <c r="D1445" s="515"/>
      <c r="E1445" s="225">
        <v>12144031001</v>
      </c>
      <c r="F1445" s="516" t="s">
        <v>1139</v>
      </c>
      <c r="G1445" s="502"/>
      <c r="H1445" s="515" t="s">
        <v>65</v>
      </c>
      <c r="I1445" s="515">
        <v>1</v>
      </c>
      <c r="J1445" s="229" t="s">
        <v>49</v>
      </c>
      <c r="K1445" s="229"/>
      <c r="L1445" s="517"/>
      <c r="M1445" s="229"/>
      <c r="N1445" s="229"/>
      <c r="O1445" s="230"/>
      <c r="P1445" s="230"/>
      <c r="Q1445" s="132"/>
      <c r="R1445" s="94"/>
    </row>
    <row r="1446" spans="1:38" outlineLevel="1">
      <c r="A1446" s="36"/>
      <c r="B1446" s="225" t="s">
        <v>52</v>
      </c>
      <c r="C1446" s="514" t="s">
        <v>863</v>
      </c>
      <c r="D1446" s="515"/>
      <c r="E1446" s="225">
        <v>12036041001</v>
      </c>
      <c r="F1446" s="516" t="s">
        <v>1140</v>
      </c>
      <c r="G1446" s="502"/>
      <c r="H1446" s="515" t="s">
        <v>65</v>
      </c>
      <c r="I1446" s="515">
        <v>1</v>
      </c>
      <c r="J1446" s="229" t="s">
        <v>49</v>
      </c>
      <c r="K1446" s="229"/>
      <c r="L1446" s="517"/>
      <c r="M1446" s="229"/>
      <c r="N1446" s="229"/>
      <c r="O1446" s="230"/>
      <c r="P1446" s="230"/>
      <c r="Q1446" s="132"/>
      <c r="R1446" s="94"/>
    </row>
    <row r="1447" spans="1:38" outlineLevel="1">
      <c r="A1447" s="36"/>
      <c r="B1447" s="225" t="s">
        <v>52</v>
      </c>
      <c r="C1447" s="514" t="s">
        <v>863</v>
      </c>
      <c r="D1447" s="515"/>
      <c r="E1447" s="225">
        <v>12144051001</v>
      </c>
      <c r="F1447" s="516" t="s">
        <v>1141</v>
      </c>
      <c r="G1447" s="502"/>
      <c r="H1447" s="515" t="s">
        <v>65</v>
      </c>
      <c r="I1447" s="515">
        <v>1</v>
      </c>
      <c r="J1447" s="229" t="s">
        <v>49</v>
      </c>
      <c r="K1447" s="229"/>
      <c r="L1447" s="517"/>
      <c r="M1447" s="229"/>
      <c r="N1447" s="229"/>
      <c r="O1447" s="230"/>
      <c r="P1447" s="230"/>
      <c r="Q1447" s="132"/>
      <c r="R1447" s="94"/>
    </row>
    <row r="1448" spans="1:38" outlineLevel="1">
      <c r="A1448" s="36"/>
      <c r="B1448" s="225" t="s">
        <v>52</v>
      </c>
      <c r="C1448" s="514" t="s">
        <v>863</v>
      </c>
      <c r="D1448" s="515"/>
      <c r="E1448" s="225">
        <v>12144061001</v>
      </c>
      <c r="F1448" s="516" t="s">
        <v>1142</v>
      </c>
      <c r="G1448" s="502"/>
      <c r="H1448" s="515" t="s">
        <v>65</v>
      </c>
      <c r="I1448" s="515">
        <v>1</v>
      </c>
      <c r="J1448" s="229" t="s">
        <v>49</v>
      </c>
      <c r="K1448" s="229"/>
      <c r="L1448" s="517"/>
      <c r="M1448" s="229"/>
      <c r="N1448" s="229"/>
      <c r="O1448" s="230"/>
      <c r="P1448" s="230"/>
      <c r="Q1448" s="132"/>
      <c r="R1448" s="94"/>
    </row>
    <row r="1449" spans="1:38" outlineLevel="1">
      <c r="A1449" s="36"/>
      <c r="B1449" s="225" t="s">
        <v>52</v>
      </c>
      <c r="C1449" s="514" t="s">
        <v>863</v>
      </c>
      <c r="D1449" s="515"/>
      <c r="E1449" s="225">
        <v>12036051001</v>
      </c>
      <c r="F1449" s="516" t="s">
        <v>1143</v>
      </c>
      <c r="G1449" s="502"/>
      <c r="H1449" s="515" t="s">
        <v>65</v>
      </c>
      <c r="I1449" s="515">
        <v>1</v>
      </c>
      <c r="J1449" s="229" t="s">
        <v>49</v>
      </c>
      <c r="K1449" s="229"/>
      <c r="L1449" s="517"/>
      <c r="M1449" s="229"/>
      <c r="N1449" s="229"/>
      <c r="O1449" s="230"/>
      <c r="P1449" s="230"/>
      <c r="Q1449" s="132"/>
      <c r="R1449" s="94"/>
    </row>
    <row r="1450" spans="1:38" outlineLevel="1">
      <c r="A1450" s="36"/>
      <c r="B1450" s="225" t="s">
        <v>52</v>
      </c>
      <c r="C1450" s="514" t="s">
        <v>863</v>
      </c>
      <c r="D1450" s="515"/>
      <c r="E1450" s="225">
        <v>12036071001</v>
      </c>
      <c r="F1450" s="516" t="s">
        <v>1144</v>
      </c>
      <c r="G1450" s="502"/>
      <c r="H1450" s="515" t="s">
        <v>65</v>
      </c>
      <c r="I1450" s="515">
        <v>1</v>
      </c>
      <c r="J1450" s="229" t="s">
        <v>49</v>
      </c>
      <c r="K1450" s="229"/>
      <c r="L1450" s="517"/>
      <c r="M1450" s="229"/>
      <c r="N1450" s="229"/>
      <c r="O1450" s="230"/>
      <c r="P1450" s="230"/>
      <c r="Q1450" s="132"/>
      <c r="R1450" s="94"/>
    </row>
    <row r="1451" spans="1:38" outlineLevel="1">
      <c r="A1451" s="36"/>
      <c r="B1451" s="225" t="s">
        <v>52</v>
      </c>
      <c r="C1451" s="514" t="s">
        <v>863</v>
      </c>
      <c r="D1451" s="515"/>
      <c r="E1451" s="225">
        <v>12144071001</v>
      </c>
      <c r="F1451" s="516" t="s">
        <v>1145</v>
      </c>
      <c r="G1451" s="502"/>
      <c r="H1451" s="515" t="s">
        <v>65</v>
      </c>
      <c r="I1451" s="515">
        <v>1</v>
      </c>
      <c r="J1451" s="229" t="s">
        <v>49</v>
      </c>
      <c r="K1451" s="229"/>
      <c r="L1451" s="517"/>
      <c r="M1451" s="229"/>
      <c r="N1451" s="229"/>
      <c r="O1451" s="230"/>
      <c r="P1451" s="230"/>
      <c r="Q1451" s="132"/>
      <c r="R1451" s="94"/>
    </row>
    <row r="1452" spans="1:38" outlineLevel="1">
      <c r="A1452" s="36"/>
      <c r="B1452" s="225" t="s">
        <v>52</v>
      </c>
      <c r="C1452" s="514" t="s">
        <v>863</v>
      </c>
      <c r="D1452" s="515"/>
      <c r="E1452" s="225">
        <v>12144081001</v>
      </c>
      <c r="F1452" s="516" t="s">
        <v>1146</v>
      </c>
      <c r="G1452" s="502"/>
      <c r="H1452" s="515" t="s">
        <v>65</v>
      </c>
      <c r="I1452" s="515">
        <v>1</v>
      </c>
      <c r="J1452" s="229" t="s">
        <v>49</v>
      </c>
      <c r="K1452" s="229"/>
      <c r="L1452" s="517"/>
      <c r="M1452" s="229"/>
      <c r="N1452" s="229"/>
      <c r="O1452" s="230"/>
      <c r="P1452" s="230"/>
      <c r="Q1452" s="132"/>
      <c r="R1452" s="94"/>
    </row>
    <row r="1453" spans="1:38" outlineLevel="1">
      <c r="A1453" s="36"/>
      <c r="B1453" s="225" t="s">
        <v>52</v>
      </c>
      <c r="C1453" s="514" t="s">
        <v>863</v>
      </c>
      <c r="D1453" s="515"/>
      <c r="E1453" s="225">
        <v>12036081001</v>
      </c>
      <c r="F1453" s="516" t="s">
        <v>1147</v>
      </c>
      <c r="G1453" s="502"/>
      <c r="H1453" s="515" t="s">
        <v>65</v>
      </c>
      <c r="I1453" s="515">
        <v>1</v>
      </c>
      <c r="J1453" s="229" t="s">
        <v>49</v>
      </c>
      <c r="K1453" s="229"/>
      <c r="L1453" s="517"/>
      <c r="M1453" s="229"/>
      <c r="N1453" s="229"/>
      <c r="O1453" s="230"/>
      <c r="P1453" s="230"/>
      <c r="Q1453" s="132"/>
      <c r="R1453" s="94"/>
    </row>
    <row r="1454" spans="1:38" outlineLevel="1">
      <c r="A1454" s="36"/>
      <c r="B1454" s="225" t="s">
        <v>52</v>
      </c>
      <c r="C1454" s="514" t="s">
        <v>863</v>
      </c>
      <c r="D1454" s="515"/>
      <c r="E1454" s="225">
        <v>12036111001</v>
      </c>
      <c r="F1454" s="516" t="s">
        <v>1148</v>
      </c>
      <c r="G1454" s="502"/>
      <c r="H1454" s="515" t="s">
        <v>65</v>
      </c>
      <c r="I1454" s="515">
        <v>1</v>
      </c>
      <c r="J1454" s="229" t="s">
        <v>49</v>
      </c>
      <c r="K1454" s="229"/>
      <c r="L1454" s="517"/>
      <c r="M1454" s="229"/>
      <c r="N1454" s="229"/>
      <c r="O1454" s="230"/>
      <c r="P1454" s="230"/>
      <c r="Q1454" s="132"/>
      <c r="R1454" s="94"/>
      <c r="AL1454" s="74"/>
    </row>
    <row r="1455" spans="1:38" outlineLevel="1">
      <c r="A1455" s="36"/>
      <c r="B1455" s="225" t="s">
        <v>52</v>
      </c>
      <c r="C1455" s="514" t="s">
        <v>863</v>
      </c>
      <c r="D1455" s="515"/>
      <c r="E1455" s="225">
        <v>12036141001</v>
      </c>
      <c r="F1455" s="516" t="s">
        <v>1149</v>
      </c>
      <c r="G1455" s="502"/>
      <c r="H1455" s="515" t="s">
        <v>65</v>
      </c>
      <c r="I1455" s="515">
        <v>1</v>
      </c>
      <c r="J1455" s="229" t="s">
        <v>49</v>
      </c>
      <c r="K1455" s="229"/>
      <c r="L1455" s="517"/>
      <c r="M1455" s="229"/>
      <c r="N1455" s="229"/>
      <c r="O1455" s="230"/>
      <c r="P1455" s="230"/>
      <c r="Q1455" s="132"/>
      <c r="R1455" s="94"/>
      <c r="AL1455" s="74"/>
    </row>
    <row r="1456" spans="1:38" outlineLevel="1">
      <c r="A1456" s="36"/>
      <c r="B1456" s="225" t="s">
        <v>52</v>
      </c>
      <c r="C1456" s="514" t="s">
        <v>863</v>
      </c>
      <c r="D1456" s="515"/>
      <c r="E1456" s="225">
        <v>12036151001</v>
      </c>
      <c r="F1456" s="516" t="s">
        <v>1150</v>
      </c>
      <c r="G1456" s="502"/>
      <c r="H1456" s="515" t="s">
        <v>65</v>
      </c>
      <c r="I1456" s="515">
        <v>1</v>
      </c>
      <c r="J1456" s="229" t="s">
        <v>49</v>
      </c>
      <c r="K1456" s="229"/>
      <c r="L1456" s="517"/>
      <c r="M1456" s="229"/>
      <c r="N1456" s="229"/>
      <c r="O1456" s="230"/>
      <c r="P1456" s="230"/>
      <c r="Q1456" s="132"/>
      <c r="R1456" s="94"/>
      <c r="AL1456" s="74"/>
    </row>
    <row r="1457" spans="1:38" s="74" customFormat="1" outlineLevel="1">
      <c r="A1457" s="156"/>
      <c r="B1457" s="225" t="s">
        <v>52</v>
      </c>
      <c r="C1457" s="514" t="s">
        <v>863</v>
      </c>
      <c r="D1457" s="515"/>
      <c r="E1457" s="225">
        <v>12036161001</v>
      </c>
      <c r="F1457" s="516" t="s">
        <v>1151</v>
      </c>
      <c r="G1457" s="502"/>
      <c r="H1457" s="515" t="s">
        <v>65</v>
      </c>
      <c r="I1457" s="515">
        <v>1</v>
      </c>
      <c r="J1457" s="229" t="s">
        <v>49</v>
      </c>
      <c r="K1457" s="229"/>
      <c r="L1457" s="517"/>
      <c r="M1457" s="229"/>
      <c r="N1457" s="229"/>
      <c r="O1457" s="230"/>
      <c r="P1457" s="230"/>
      <c r="Q1457" s="132"/>
      <c r="R1457" s="123"/>
      <c r="AK1457"/>
      <c r="AL1457"/>
    </row>
    <row r="1458" spans="1:38" s="74" customFormat="1" outlineLevel="1">
      <c r="A1458" s="156"/>
      <c r="B1458" s="225" t="s">
        <v>52</v>
      </c>
      <c r="C1458" s="514" t="s">
        <v>863</v>
      </c>
      <c r="D1458" s="515"/>
      <c r="E1458" s="225">
        <v>12036171001</v>
      </c>
      <c r="F1458" s="516" t="s">
        <v>1152</v>
      </c>
      <c r="G1458" s="502"/>
      <c r="H1458" s="515" t="s">
        <v>65</v>
      </c>
      <c r="I1458" s="515">
        <v>1</v>
      </c>
      <c r="J1458" s="229" t="s">
        <v>49</v>
      </c>
      <c r="K1458" s="229"/>
      <c r="L1458" s="517"/>
      <c r="M1458" s="229"/>
      <c r="N1458" s="229"/>
      <c r="O1458" s="230"/>
      <c r="P1458" s="230"/>
      <c r="Q1458" s="132"/>
      <c r="R1458" s="94"/>
      <c r="AK1458"/>
    </row>
    <row r="1459" spans="1:38" s="74" customFormat="1" outlineLevel="1">
      <c r="A1459" s="156"/>
      <c r="B1459" s="225" t="s">
        <v>52</v>
      </c>
      <c r="C1459" s="514" t="s">
        <v>863</v>
      </c>
      <c r="D1459" s="515"/>
      <c r="E1459" s="225">
        <v>12036181001</v>
      </c>
      <c r="F1459" s="516" t="s">
        <v>1153</v>
      </c>
      <c r="G1459" s="502"/>
      <c r="H1459" s="515" t="s">
        <v>65</v>
      </c>
      <c r="I1459" s="515">
        <v>1</v>
      </c>
      <c r="J1459" s="229" t="s">
        <v>49</v>
      </c>
      <c r="K1459" s="229"/>
      <c r="L1459" s="517"/>
      <c r="M1459" s="229"/>
      <c r="N1459" s="229"/>
      <c r="O1459" s="230"/>
      <c r="P1459" s="230"/>
      <c r="Q1459" s="132"/>
      <c r="R1459" s="94"/>
      <c r="AK1459"/>
    </row>
    <row r="1460" spans="1:38" outlineLevel="1">
      <c r="A1460" s="36"/>
      <c r="B1460" s="486"/>
      <c r="C1460" s="500"/>
      <c r="D1460" s="387"/>
      <c r="E1460" s="188"/>
      <c r="F1460" s="388"/>
      <c r="G1460" s="455"/>
      <c r="H1460" s="387"/>
      <c r="I1460" s="387"/>
      <c r="J1460" s="212"/>
      <c r="K1460" s="212"/>
      <c r="L1460" s="392"/>
      <c r="M1460" s="279"/>
      <c r="N1460" s="279"/>
      <c r="O1460" s="333"/>
      <c r="P1460" s="333"/>
      <c r="Q1460" s="132"/>
      <c r="R1460" s="94"/>
      <c r="AL1460" s="74"/>
    </row>
    <row r="1461" spans="1:38" s="74" customFormat="1" outlineLevel="1">
      <c r="A1461" s="156"/>
      <c r="B1461" s="225" t="s">
        <v>52</v>
      </c>
      <c r="C1461" s="514" t="s">
        <v>863</v>
      </c>
      <c r="D1461" s="515"/>
      <c r="E1461" s="225">
        <v>12085231001</v>
      </c>
      <c r="F1461" s="516" t="s">
        <v>1154</v>
      </c>
      <c r="G1461" s="502"/>
      <c r="H1461" s="515" t="s">
        <v>65</v>
      </c>
      <c r="I1461" s="515">
        <v>1</v>
      </c>
      <c r="J1461" s="229" t="s">
        <v>49</v>
      </c>
      <c r="K1461" s="229"/>
      <c r="L1461" s="517"/>
      <c r="M1461" s="229"/>
      <c r="N1461" s="229"/>
      <c r="O1461" s="230"/>
      <c r="P1461" s="230"/>
      <c r="Q1461" s="132"/>
      <c r="R1461" s="97"/>
      <c r="AK1461"/>
      <c r="AL1461"/>
    </row>
    <row r="1462" spans="1:38" s="74" customFormat="1" outlineLevel="1">
      <c r="A1462" s="156"/>
      <c r="B1462" s="225" t="s">
        <v>52</v>
      </c>
      <c r="C1462" s="514" t="s">
        <v>863</v>
      </c>
      <c r="D1462" s="515"/>
      <c r="E1462" s="225">
        <v>12085241001</v>
      </c>
      <c r="F1462" s="516" t="s">
        <v>1155</v>
      </c>
      <c r="G1462" s="502"/>
      <c r="H1462" s="515" t="s">
        <v>65</v>
      </c>
      <c r="I1462" s="515">
        <v>1</v>
      </c>
      <c r="J1462" s="229" t="s">
        <v>49</v>
      </c>
      <c r="K1462" s="229"/>
      <c r="L1462" s="517"/>
      <c r="M1462" s="229"/>
      <c r="N1462" s="229"/>
      <c r="O1462" s="230"/>
      <c r="P1462" s="230"/>
      <c r="Q1462" s="132"/>
      <c r="R1462" s="94"/>
      <c r="AK1462"/>
    </row>
    <row r="1463" spans="1:38" s="74" customFormat="1" outlineLevel="1">
      <c r="A1463" s="156"/>
      <c r="B1463" s="225" t="s">
        <v>52</v>
      </c>
      <c r="C1463" s="514" t="s">
        <v>863</v>
      </c>
      <c r="D1463" s="515"/>
      <c r="E1463" s="225">
        <v>12887151001</v>
      </c>
      <c r="F1463" s="516" t="s">
        <v>1156</v>
      </c>
      <c r="G1463" s="502"/>
      <c r="H1463" s="515" t="s">
        <v>65</v>
      </c>
      <c r="I1463" s="515">
        <v>1</v>
      </c>
      <c r="J1463" s="229" t="s">
        <v>49</v>
      </c>
      <c r="K1463" s="229"/>
      <c r="L1463" s="517"/>
      <c r="M1463" s="229"/>
      <c r="N1463" s="229"/>
      <c r="O1463" s="230"/>
      <c r="P1463" s="230"/>
      <c r="Q1463" s="132"/>
      <c r="R1463" s="94"/>
      <c r="AK1463"/>
    </row>
    <row r="1464" spans="1:38" outlineLevel="1">
      <c r="A1464" s="36"/>
      <c r="B1464" s="456"/>
      <c r="C1464" s="500"/>
      <c r="D1464" s="387"/>
      <c r="E1464" s="188"/>
      <c r="F1464" s="388"/>
      <c r="G1464" s="455"/>
      <c r="H1464" s="387"/>
      <c r="I1464" s="387"/>
      <c r="J1464" s="212"/>
      <c r="K1464" s="212"/>
      <c r="L1464" s="392"/>
      <c r="M1464" s="279"/>
      <c r="N1464" s="279"/>
      <c r="O1464" s="333"/>
      <c r="P1464" s="333"/>
      <c r="Q1464" s="132"/>
      <c r="R1464" s="94"/>
      <c r="AL1464" s="74"/>
    </row>
    <row r="1465" spans="1:38" s="74" customFormat="1" outlineLevel="1">
      <c r="A1465" s="156"/>
      <c r="B1465" s="225" t="s">
        <v>52</v>
      </c>
      <c r="C1465" s="514" t="s">
        <v>863</v>
      </c>
      <c r="D1465" s="515"/>
      <c r="E1465" s="225">
        <v>11055791001</v>
      </c>
      <c r="F1465" s="516" t="s">
        <v>1157</v>
      </c>
      <c r="G1465" s="502"/>
      <c r="H1465" s="515" t="s">
        <v>65</v>
      </c>
      <c r="I1465" s="515">
        <v>1</v>
      </c>
      <c r="J1465" s="229" t="s">
        <v>49</v>
      </c>
      <c r="K1465" s="229"/>
      <c r="L1465" s="517"/>
      <c r="M1465" s="229"/>
      <c r="N1465" s="229"/>
      <c r="O1465" s="230"/>
      <c r="P1465" s="230"/>
      <c r="Q1465" s="132"/>
      <c r="R1465" s="94"/>
      <c r="AK1465"/>
    </row>
    <row r="1466" spans="1:38" s="74" customFormat="1" outlineLevel="1">
      <c r="A1466" s="156"/>
      <c r="B1466" s="225" t="s">
        <v>52</v>
      </c>
      <c r="C1466" s="514" t="s">
        <v>863</v>
      </c>
      <c r="D1466" s="515"/>
      <c r="E1466" s="225">
        <v>11022841001</v>
      </c>
      <c r="F1466" s="516" t="s">
        <v>1158</v>
      </c>
      <c r="G1466" s="502"/>
      <c r="H1466" s="515" t="s">
        <v>65</v>
      </c>
      <c r="I1466" s="515">
        <v>1</v>
      </c>
      <c r="J1466" s="229" t="s">
        <v>49</v>
      </c>
      <c r="K1466" s="229"/>
      <c r="L1466" s="517"/>
      <c r="M1466" s="229"/>
      <c r="N1466" s="229"/>
      <c r="O1466" s="230"/>
      <c r="P1466" s="230"/>
      <c r="Q1466" s="132"/>
      <c r="R1466" s="94"/>
      <c r="AK1466"/>
    </row>
    <row r="1467" spans="1:38" s="74" customFormat="1" outlineLevel="1">
      <c r="A1467" s="156"/>
      <c r="B1467" s="225" t="s">
        <v>52</v>
      </c>
      <c r="C1467" s="514" t="s">
        <v>863</v>
      </c>
      <c r="D1467" s="515"/>
      <c r="E1467" s="225">
        <v>12031281001</v>
      </c>
      <c r="F1467" s="516" t="s">
        <v>1159</v>
      </c>
      <c r="G1467" s="502"/>
      <c r="H1467" s="515" t="s">
        <v>65</v>
      </c>
      <c r="I1467" s="515">
        <v>1</v>
      </c>
      <c r="J1467" s="229" t="s">
        <v>49</v>
      </c>
      <c r="K1467" s="229"/>
      <c r="L1467" s="517"/>
      <c r="M1467" s="229"/>
      <c r="N1467" s="229"/>
      <c r="O1467" s="230"/>
      <c r="P1467" s="230"/>
      <c r="Q1467" s="132"/>
      <c r="R1467" s="94"/>
      <c r="AK1467"/>
    </row>
    <row r="1468" spans="1:38" s="74" customFormat="1" outlineLevel="1">
      <c r="A1468" s="156"/>
      <c r="B1468" s="225" t="s">
        <v>52</v>
      </c>
      <c r="C1468" s="514" t="s">
        <v>863</v>
      </c>
      <c r="D1468" s="515"/>
      <c r="E1468" s="225">
        <v>12299981001</v>
      </c>
      <c r="F1468" s="516" t="s">
        <v>1160</v>
      </c>
      <c r="G1468" s="502"/>
      <c r="H1468" s="515" t="s">
        <v>65</v>
      </c>
      <c r="I1468" s="515">
        <v>1</v>
      </c>
      <c r="J1468" s="229" t="s">
        <v>49</v>
      </c>
      <c r="K1468" s="229"/>
      <c r="L1468" s="517"/>
      <c r="M1468" s="229"/>
      <c r="N1468" s="229"/>
      <c r="O1468" s="230"/>
      <c r="P1468" s="230"/>
      <c r="Q1468" s="132"/>
      <c r="R1468" s="123"/>
      <c r="AK1468"/>
      <c r="AL1468"/>
    </row>
    <row r="1469" spans="1:38" s="74" customFormat="1" outlineLevel="1">
      <c r="A1469" s="156"/>
      <c r="B1469" s="225" t="s">
        <v>52</v>
      </c>
      <c r="C1469" s="514" t="s">
        <v>863</v>
      </c>
      <c r="D1469" s="515"/>
      <c r="E1469" s="225">
        <v>12299991001</v>
      </c>
      <c r="F1469" s="516" t="s">
        <v>1161</v>
      </c>
      <c r="G1469" s="502"/>
      <c r="H1469" s="515" t="s">
        <v>65</v>
      </c>
      <c r="I1469" s="515">
        <v>1</v>
      </c>
      <c r="J1469" s="229" t="s">
        <v>49</v>
      </c>
      <c r="K1469" s="229"/>
      <c r="L1469" s="517"/>
      <c r="M1469" s="229"/>
      <c r="N1469" s="229"/>
      <c r="O1469" s="230"/>
      <c r="P1469" s="230"/>
      <c r="Q1469" s="132"/>
      <c r="R1469" s="94"/>
      <c r="AK1469"/>
    </row>
    <row r="1470" spans="1:38" s="74" customFormat="1" outlineLevel="1">
      <c r="A1470" s="156"/>
      <c r="B1470" s="225" t="s">
        <v>52</v>
      </c>
      <c r="C1470" s="514" t="s">
        <v>863</v>
      </c>
      <c r="D1470" s="515"/>
      <c r="E1470" s="225">
        <v>12887131001</v>
      </c>
      <c r="F1470" s="516" t="s">
        <v>1162</v>
      </c>
      <c r="G1470" s="502"/>
      <c r="H1470" s="515" t="s">
        <v>65</v>
      </c>
      <c r="I1470" s="515">
        <v>1</v>
      </c>
      <c r="J1470" s="229" t="s">
        <v>49</v>
      </c>
      <c r="K1470" s="229"/>
      <c r="L1470" s="517"/>
      <c r="M1470" s="229"/>
      <c r="N1470" s="229"/>
      <c r="O1470" s="230"/>
      <c r="P1470" s="230"/>
      <c r="Q1470" s="132"/>
      <c r="R1470" s="94"/>
      <c r="AK1470"/>
    </row>
    <row r="1471" spans="1:38" outlineLevel="1">
      <c r="A1471" s="36"/>
      <c r="B1471" s="486"/>
      <c r="C1471" s="500"/>
      <c r="D1471" s="387"/>
      <c r="E1471" s="188"/>
      <c r="F1471" s="388"/>
      <c r="G1471" s="455"/>
      <c r="H1471" s="387"/>
      <c r="I1471" s="387"/>
      <c r="J1471" s="212"/>
      <c r="K1471" s="212"/>
      <c r="L1471" s="392"/>
      <c r="M1471" s="279"/>
      <c r="N1471" s="279"/>
      <c r="O1471" s="333"/>
      <c r="P1471" s="333"/>
      <c r="Q1471" s="132"/>
      <c r="R1471" s="94"/>
      <c r="AL1471" s="74"/>
    </row>
    <row r="1472" spans="1:38" s="74" customFormat="1" outlineLevel="1">
      <c r="A1472" s="156"/>
      <c r="B1472" s="225" t="s">
        <v>52</v>
      </c>
      <c r="C1472" s="514" t="s">
        <v>863</v>
      </c>
      <c r="D1472" s="515"/>
      <c r="E1472" s="225">
        <v>12052581001</v>
      </c>
      <c r="F1472" s="516" t="s">
        <v>1163</v>
      </c>
      <c r="G1472" s="502"/>
      <c r="H1472" s="515" t="s">
        <v>65</v>
      </c>
      <c r="I1472" s="515">
        <v>1</v>
      </c>
      <c r="J1472" s="229" t="s">
        <v>49</v>
      </c>
      <c r="K1472" s="229"/>
      <c r="L1472" s="517"/>
      <c r="M1472" s="229"/>
      <c r="N1472" s="229"/>
      <c r="O1472" s="230"/>
      <c r="P1472" s="230"/>
      <c r="Q1472" s="132"/>
      <c r="R1472" s="94"/>
      <c r="AK1472"/>
    </row>
    <row r="1473" spans="1:38" s="74" customFormat="1" outlineLevel="1">
      <c r="A1473" s="156"/>
      <c r="B1473" s="225" t="s">
        <v>52</v>
      </c>
      <c r="C1473" s="514" t="s">
        <v>863</v>
      </c>
      <c r="D1473" s="515"/>
      <c r="E1473" s="225">
        <v>12052631001</v>
      </c>
      <c r="F1473" s="516" t="s">
        <v>1164</v>
      </c>
      <c r="G1473" s="502"/>
      <c r="H1473" s="515" t="s">
        <v>65</v>
      </c>
      <c r="I1473" s="515">
        <v>1</v>
      </c>
      <c r="J1473" s="229" t="s">
        <v>49</v>
      </c>
      <c r="K1473" s="229"/>
      <c r="L1473" s="517"/>
      <c r="M1473" s="229"/>
      <c r="N1473" s="229"/>
      <c r="O1473" s="230"/>
      <c r="P1473" s="230"/>
      <c r="Q1473" s="132"/>
      <c r="R1473" s="94"/>
      <c r="AK1473"/>
    </row>
    <row r="1474" spans="1:38" s="74" customFormat="1" outlineLevel="1">
      <c r="A1474" s="156"/>
      <c r="B1474" s="225" t="s">
        <v>52</v>
      </c>
      <c r="C1474" s="514" t="s">
        <v>863</v>
      </c>
      <c r="D1474" s="515"/>
      <c r="E1474" s="225">
        <v>12052651001</v>
      </c>
      <c r="F1474" s="516" t="s">
        <v>1165</v>
      </c>
      <c r="G1474" s="502"/>
      <c r="H1474" s="515" t="s">
        <v>65</v>
      </c>
      <c r="I1474" s="515">
        <v>1</v>
      </c>
      <c r="J1474" s="229" t="s">
        <v>49</v>
      </c>
      <c r="K1474" s="229"/>
      <c r="L1474" s="517"/>
      <c r="M1474" s="229"/>
      <c r="N1474" s="229"/>
      <c r="O1474" s="230"/>
      <c r="P1474" s="230"/>
      <c r="Q1474" s="132"/>
      <c r="R1474" s="123"/>
      <c r="AK1474"/>
      <c r="AL1474"/>
    </row>
    <row r="1475" spans="1:38" s="74" customFormat="1" outlineLevel="1">
      <c r="A1475" s="156"/>
      <c r="B1475" s="225" t="s">
        <v>52</v>
      </c>
      <c r="C1475" s="514" t="s">
        <v>863</v>
      </c>
      <c r="D1475" s="515"/>
      <c r="E1475" s="225">
        <v>12052661001</v>
      </c>
      <c r="F1475" s="516" t="s">
        <v>1166</v>
      </c>
      <c r="G1475" s="502"/>
      <c r="H1475" s="515" t="s">
        <v>65</v>
      </c>
      <c r="I1475" s="515">
        <v>1</v>
      </c>
      <c r="J1475" s="229" t="s">
        <v>49</v>
      </c>
      <c r="K1475" s="229"/>
      <c r="L1475" s="517"/>
      <c r="M1475" s="229"/>
      <c r="N1475" s="229"/>
      <c r="O1475" s="230"/>
      <c r="P1475" s="230"/>
      <c r="Q1475" s="132"/>
      <c r="R1475" s="94"/>
      <c r="AK1475"/>
    </row>
    <row r="1476" spans="1:38" s="74" customFormat="1" outlineLevel="1">
      <c r="A1476" s="156"/>
      <c r="B1476" s="225" t="s">
        <v>52</v>
      </c>
      <c r="C1476" s="514" t="s">
        <v>863</v>
      </c>
      <c r="D1476" s="515"/>
      <c r="E1476" s="225">
        <v>12052671001</v>
      </c>
      <c r="F1476" s="516" t="s">
        <v>1167</v>
      </c>
      <c r="G1476" s="502"/>
      <c r="H1476" s="515" t="s">
        <v>65</v>
      </c>
      <c r="I1476" s="515">
        <v>1</v>
      </c>
      <c r="J1476" s="229" t="s">
        <v>49</v>
      </c>
      <c r="K1476" s="229"/>
      <c r="L1476" s="517"/>
      <c r="M1476" s="229"/>
      <c r="N1476" s="229"/>
      <c r="O1476" s="230"/>
      <c r="P1476" s="230"/>
      <c r="Q1476" s="132"/>
      <c r="R1476" s="94"/>
      <c r="AK1476"/>
    </row>
    <row r="1477" spans="1:38" outlineLevel="1">
      <c r="A1477" s="36"/>
      <c r="B1477" s="527"/>
      <c r="C1477" s="500"/>
      <c r="D1477" s="387"/>
      <c r="E1477" s="188"/>
      <c r="F1477" s="388"/>
      <c r="G1477" s="455"/>
      <c r="H1477" s="387"/>
      <c r="I1477" s="387"/>
      <c r="J1477" s="212"/>
      <c r="K1477" s="212"/>
      <c r="L1477" s="392"/>
      <c r="M1477" s="279"/>
      <c r="N1477" s="279"/>
      <c r="O1477" s="333"/>
      <c r="P1477" s="333"/>
      <c r="Q1477" s="132"/>
      <c r="R1477" s="94"/>
      <c r="AL1477" s="74"/>
    </row>
    <row r="1478" spans="1:38" s="74" customFormat="1" outlineLevel="1">
      <c r="A1478" s="156"/>
      <c r="B1478" s="225" t="s">
        <v>52</v>
      </c>
      <c r="C1478" s="514" t="s">
        <v>863</v>
      </c>
      <c r="D1478" s="515"/>
      <c r="E1478" s="225">
        <v>12895091001</v>
      </c>
      <c r="F1478" s="516" t="s">
        <v>1168</v>
      </c>
      <c r="G1478" s="502"/>
      <c r="H1478" s="515" t="s">
        <v>65</v>
      </c>
      <c r="I1478" s="515">
        <v>1</v>
      </c>
      <c r="J1478" s="229" t="s">
        <v>49</v>
      </c>
      <c r="K1478" s="229"/>
      <c r="L1478" s="517"/>
      <c r="M1478" s="229"/>
      <c r="N1478" s="229"/>
      <c r="O1478" s="230"/>
      <c r="P1478" s="230"/>
      <c r="Q1478" s="132"/>
      <c r="R1478" s="97"/>
      <c r="AK1478"/>
      <c r="AL1478"/>
    </row>
    <row r="1479" spans="1:38" s="74" customFormat="1" outlineLevel="1">
      <c r="A1479" s="156"/>
      <c r="B1479" s="225" t="s">
        <v>52</v>
      </c>
      <c r="C1479" s="514" t="s">
        <v>863</v>
      </c>
      <c r="D1479" s="515"/>
      <c r="E1479" s="225">
        <v>12895111001</v>
      </c>
      <c r="F1479" s="516" t="s">
        <v>1169</v>
      </c>
      <c r="G1479" s="502"/>
      <c r="H1479" s="515" t="s">
        <v>65</v>
      </c>
      <c r="I1479" s="515">
        <v>1</v>
      </c>
      <c r="J1479" s="229" t="s">
        <v>49</v>
      </c>
      <c r="K1479" s="229"/>
      <c r="L1479" s="517"/>
      <c r="M1479" s="229"/>
      <c r="N1479" s="229"/>
      <c r="O1479" s="230"/>
      <c r="P1479" s="230"/>
      <c r="Q1479" s="132"/>
      <c r="R1479" s="94"/>
      <c r="AK1479"/>
    </row>
    <row r="1480" spans="1:38" s="74" customFormat="1" outlineLevel="1">
      <c r="A1480" s="156"/>
      <c r="B1480" s="225" t="s">
        <v>52</v>
      </c>
      <c r="C1480" s="514" t="s">
        <v>863</v>
      </c>
      <c r="D1480" s="515"/>
      <c r="E1480" s="225">
        <v>12895141001</v>
      </c>
      <c r="F1480" s="516" t="s">
        <v>1170</v>
      </c>
      <c r="G1480" s="502"/>
      <c r="H1480" s="515" t="s">
        <v>65</v>
      </c>
      <c r="I1480" s="515">
        <v>1</v>
      </c>
      <c r="J1480" s="229" t="s">
        <v>49</v>
      </c>
      <c r="K1480" s="229"/>
      <c r="L1480" s="517"/>
      <c r="M1480" s="229"/>
      <c r="N1480" s="229"/>
      <c r="O1480" s="230"/>
      <c r="P1480" s="230"/>
      <c r="Q1480" s="132"/>
      <c r="R1480" s="97"/>
      <c r="AK1480"/>
      <c r="AL1480"/>
    </row>
    <row r="1481" spans="1:38" outlineLevel="1">
      <c r="A1481" s="36"/>
      <c r="B1481" s="520" t="s">
        <v>52</v>
      </c>
      <c r="C1481" s="514" t="s">
        <v>863</v>
      </c>
      <c r="D1481" s="515"/>
      <c r="E1481" s="225">
        <v>12895161001</v>
      </c>
      <c r="F1481" s="516" t="s">
        <v>1171</v>
      </c>
      <c r="G1481" s="502"/>
      <c r="H1481" s="515" t="s">
        <v>65</v>
      </c>
      <c r="I1481" s="515">
        <v>1</v>
      </c>
      <c r="J1481" s="229" t="s">
        <v>895</v>
      </c>
      <c r="K1481" s="229"/>
      <c r="L1481" s="517"/>
      <c r="M1481" s="229"/>
      <c r="N1481" s="229"/>
      <c r="O1481" s="230"/>
      <c r="P1481" s="230"/>
      <c r="Q1481" s="132"/>
      <c r="R1481" s="94"/>
      <c r="AL1481" s="74"/>
    </row>
    <row r="1482" spans="1:38" s="74" customFormat="1" outlineLevel="1">
      <c r="A1482" s="156"/>
      <c r="B1482" s="225" t="s">
        <v>52</v>
      </c>
      <c r="C1482" s="514" t="s">
        <v>863</v>
      </c>
      <c r="D1482" s="515"/>
      <c r="E1482" s="225">
        <v>14847161001</v>
      </c>
      <c r="F1482" s="516" t="s">
        <v>1171</v>
      </c>
      <c r="G1482" s="502"/>
      <c r="H1482" s="515" t="s">
        <v>65</v>
      </c>
      <c r="I1482" s="515">
        <v>1</v>
      </c>
      <c r="J1482" s="229" t="s">
        <v>49</v>
      </c>
      <c r="K1482" s="229"/>
      <c r="L1482" s="517"/>
      <c r="M1482" s="229"/>
      <c r="N1482" s="229"/>
      <c r="O1482" s="230"/>
      <c r="P1482" s="230"/>
      <c r="Q1482" s="132"/>
      <c r="R1482" s="94"/>
      <c r="AK1482"/>
    </row>
    <row r="1483" spans="1:38" outlineLevel="1">
      <c r="A1483" s="36"/>
      <c r="B1483" s="456"/>
      <c r="C1483" s="500"/>
      <c r="D1483" s="387"/>
      <c r="E1483" s="188"/>
      <c r="F1483" s="388"/>
      <c r="G1483" s="455"/>
      <c r="H1483" s="387"/>
      <c r="I1483" s="387"/>
      <c r="J1483" s="212"/>
      <c r="K1483" s="212"/>
      <c r="L1483" s="392"/>
      <c r="M1483" s="279"/>
      <c r="N1483" s="279"/>
      <c r="O1483" s="333"/>
      <c r="P1483" s="333"/>
      <c r="Q1483" s="132"/>
      <c r="R1483" s="94"/>
      <c r="AL1483" s="74"/>
    </row>
    <row r="1484" spans="1:38" s="74" customFormat="1" outlineLevel="1">
      <c r="A1484" s="156"/>
      <c r="B1484" s="225" t="s">
        <v>52</v>
      </c>
      <c r="C1484" s="514" t="s">
        <v>863</v>
      </c>
      <c r="D1484" s="515"/>
      <c r="E1484" s="225">
        <v>12064291001</v>
      </c>
      <c r="F1484" s="516" t="s">
        <v>1172</v>
      </c>
      <c r="G1484" s="502"/>
      <c r="H1484" s="515" t="s">
        <v>65</v>
      </c>
      <c r="I1484" s="515">
        <v>1</v>
      </c>
      <c r="J1484" s="229" t="s">
        <v>49</v>
      </c>
      <c r="K1484" s="229"/>
      <c r="L1484" s="517"/>
      <c r="M1484" s="229"/>
      <c r="N1484" s="229"/>
      <c r="O1484" s="230"/>
      <c r="P1484" s="230"/>
      <c r="Q1484" s="132"/>
      <c r="R1484" s="94"/>
      <c r="AK1484"/>
    </row>
    <row r="1485" spans="1:38" s="74" customFormat="1" outlineLevel="1">
      <c r="A1485" s="156"/>
      <c r="B1485" s="225" t="s">
        <v>52</v>
      </c>
      <c r="C1485" s="514" t="s">
        <v>863</v>
      </c>
      <c r="D1485" s="515"/>
      <c r="E1485" s="225">
        <v>12064331001</v>
      </c>
      <c r="F1485" s="516" t="s">
        <v>1173</v>
      </c>
      <c r="G1485" s="502"/>
      <c r="H1485" s="515" t="s">
        <v>65</v>
      </c>
      <c r="I1485" s="515">
        <v>1</v>
      </c>
      <c r="J1485" s="229" t="s">
        <v>49</v>
      </c>
      <c r="K1485" s="229"/>
      <c r="L1485" s="517"/>
      <c r="M1485" s="229"/>
      <c r="N1485" s="229"/>
      <c r="O1485" s="230"/>
      <c r="P1485" s="230"/>
      <c r="Q1485" s="132"/>
      <c r="R1485" s="94"/>
      <c r="AK1485"/>
    </row>
    <row r="1486" spans="1:38" s="74" customFormat="1" outlineLevel="1">
      <c r="A1486" s="156"/>
      <c r="B1486" s="225" t="s">
        <v>52</v>
      </c>
      <c r="C1486" s="514" t="s">
        <v>863</v>
      </c>
      <c r="D1486" s="515"/>
      <c r="E1486" s="225">
        <v>12064351001</v>
      </c>
      <c r="F1486" s="516" t="s">
        <v>1174</v>
      </c>
      <c r="G1486" s="502"/>
      <c r="H1486" s="515" t="s">
        <v>65</v>
      </c>
      <c r="I1486" s="515">
        <v>1</v>
      </c>
      <c r="J1486" s="229" t="s">
        <v>49</v>
      </c>
      <c r="K1486" s="229"/>
      <c r="L1486" s="517"/>
      <c r="M1486" s="229"/>
      <c r="N1486" s="229"/>
      <c r="O1486" s="230"/>
      <c r="P1486" s="230"/>
      <c r="Q1486" s="132"/>
      <c r="R1486" s="94"/>
      <c r="AK1486"/>
    </row>
    <row r="1487" spans="1:38" s="74" customFormat="1" outlineLevel="1">
      <c r="A1487" s="156"/>
      <c r="B1487" s="225" t="s">
        <v>52</v>
      </c>
      <c r="C1487" s="514" t="s">
        <v>863</v>
      </c>
      <c r="D1487" s="515"/>
      <c r="E1487" s="225">
        <v>12064371001</v>
      </c>
      <c r="F1487" s="516" t="s">
        <v>1175</v>
      </c>
      <c r="G1487" s="502"/>
      <c r="H1487" s="515" t="s">
        <v>65</v>
      </c>
      <c r="I1487" s="515">
        <v>1</v>
      </c>
      <c r="J1487" s="229" t="s">
        <v>49</v>
      </c>
      <c r="K1487" s="229"/>
      <c r="L1487" s="517"/>
      <c r="M1487" s="229"/>
      <c r="N1487" s="229"/>
      <c r="O1487" s="230"/>
      <c r="P1487" s="230"/>
      <c r="Q1487" s="132"/>
      <c r="R1487" s="97"/>
      <c r="AK1487"/>
      <c r="AL1487"/>
    </row>
    <row r="1488" spans="1:38" s="74" customFormat="1" outlineLevel="1">
      <c r="A1488" s="156"/>
      <c r="B1488" s="225" t="s">
        <v>52</v>
      </c>
      <c r="C1488" s="514" t="s">
        <v>863</v>
      </c>
      <c r="D1488" s="515"/>
      <c r="E1488" s="225">
        <v>12064381001</v>
      </c>
      <c r="F1488" s="516" t="s">
        <v>1176</v>
      </c>
      <c r="G1488" s="502"/>
      <c r="H1488" s="515" t="s">
        <v>65</v>
      </c>
      <c r="I1488" s="515">
        <v>1</v>
      </c>
      <c r="J1488" s="229" t="s">
        <v>49</v>
      </c>
      <c r="K1488" s="229"/>
      <c r="L1488" s="517"/>
      <c r="M1488" s="229"/>
      <c r="N1488" s="229"/>
      <c r="O1488" s="230"/>
      <c r="P1488" s="230"/>
      <c r="Q1488" s="132"/>
      <c r="R1488" s="97"/>
      <c r="AK1488"/>
      <c r="AL1488"/>
    </row>
    <row r="1489" spans="1:38" s="74" customFormat="1" outlineLevel="1">
      <c r="A1489" s="156"/>
      <c r="B1489" s="225" t="s">
        <v>52</v>
      </c>
      <c r="C1489" s="514" t="s">
        <v>863</v>
      </c>
      <c r="D1489" s="515"/>
      <c r="E1489" s="225">
        <v>12064391001</v>
      </c>
      <c r="F1489" s="516" t="s">
        <v>1177</v>
      </c>
      <c r="G1489" s="502"/>
      <c r="H1489" s="515" t="s">
        <v>65</v>
      </c>
      <c r="I1489" s="515">
        <v>1</v>
      </c>
      <c r="J1489" s="229" t="s">
        <v>49</v>
      </c>
      <c r="K1489" s="229"/>
      <c r="L1489" s="517"/>
      <c r="M1489" s="229"/>
      <c r="N1489" s="229"/>
      <c r="O1489" s="230"/>
      <c r="P1489" s="230"/>
      <c r="Q1489" s="132"/>
      <c r="R1489" s="97"/>
      <c r="AK1489"/>
      <c r="AL1489"/>
    </row>
    <row r="1490" spans="1:38" outlineLevel="1">
      <c r="A1490" s="36"/>
      <c r="B1490" s="456"/>
      <c r="C1490" s="500"/>
      <c r="D1490" s="387"/>
      <c r="E1490" s="188"/>
      <c r="F1490" s="388"/>
      <c r="G1490" s="455"/>
      <c r="H1490" s="387"/>
      <c r="I1490" s="387"/>
      <c r="J1490" s="212"/>
      <c r="K1490" s="212"/>
      <c r="L1490" s="392"/>
      <c r="M1490" s="279"/>
      <c r="N1490" s="279"/>
      <c r="O1490" s="333"/>
      <c r="P1490" s="333"/>
      <c r="Q1490" s="132"/>
      <c r="R1490" s="98"/>
      <c r="AL1490" s="73"/>
    </row>
    <row r="1491" spans="1:38" outlineLevel="1">
      <c r="A1491" s="36"/>
      <c r="B1491" s="520" t="s">
        <v>52</v>
      </c>
      <c r="C1491" s="514" t="s">
        <v>863</v>
      </c>
      <c r="D1491" s="515"/>
      <c r="E1491" s="225">
        <v>12016951001</v>
      </c>
      <c r="F1491" s="516" t="s">
        <v>1178</v>
      </c>
      <c r="G1491" s="502"/>
      <c r="H1491" s="515" t="s">
        <v>65</v>
      </c>
      <c r="I1491" s="515">
        <v>1</v>
      </c>
      <c r="J1491" s="229" t="s">
        <v>895</v>
      </c>
      <c r="K1491" s="229"/>
      <c r="L1491" s="517"/>
      <c r="M1491" s="229"/>
      <c r="N1491" s="229"/>
      <c r="O1491" s="230"/>
      <c r="P1491" s="230"/>
      <c r="Q1491" s="132"/>
      <c r="R1491" s="94"/>
    </row>
    <row r="1492" spans="1:38" outlineLevel="1">
      <c r="A1492" s="36"/>
      <c r="B1492" s="520"/>
      <c r="C1492" s="514"/>
      <c r="D1492" s="387"/>
      <c r="E1492" s="188"/>
      <c r="F1492" s="388"/>
      <c r="G1492" s="455"/>
      <c r="H1492" s="387"/>
      <c r="I1492" s="387"/>
      <c r="J1492" s="212"/>
      <c r="K1492" s="212"/>
      <c r="L1492" s="392"/>
      <c r="M1492" s="279"/>
      <c r="N1492" s="279"/>
      <c r="O1492" s="333"/>
      <c r="P1492" s="333"/>
      <c r="Q1492" s="132"/>
      <c r="R1492" s="94"/>
    </row>
    <row r="1493" spans="1:38" s="73" customFormat="1" outlineLevel="1">
      <c r="A1493" s="152"/>
      <c r="B1493" s="188"/>
      <c r="C1493" s="487" t="s">
        <v>863</v>
      </c>
      <c r="D1493" s="488"/>
      <c r="E1493" s="511"/>
      <c r="F1493" s="490" t="s">
        <v>1179</v>
      </c>
      <c r="G1493" s="518"/>
      <c r="H1493" s="492"/>
      <c r="I1493" s="492"/>
      <c r="J1493" s="418"/>
      <c r="K1493" s="418"/>
      <c r="L1493" s="493"/>
      <c r="M1493" s="494"/>
      <c r="N1493" s="494"/>
      <c r="O1493" s="525"/>
      <c r="P1493" s="493"/>
      <c r="Q1493" s="132"/>
      <c r="R1493" s="94"/>
      <c r="AK1493"/>
      <c r="AL1493"/>
    </row>
    <row r="1494" spans="1:38" outlineLevel="1">
      <c r="A1494" s="36"/>
      <c r="B1494" s="311"/>
      <c r="C1494" s="528" t="s">
        <v>863</v>
      </c>
      <c r="D1494" s="472"/>
      <c r="E1494" s="311">
        <v>12450021001</v>
      </c>
      <c r="F1494" s="529" t="s">
        <v>1180</v>
      </c>
      <c r="G1494" s="530"/>
      <c r="H1494" s="472" t="s">
        <v>65</v>
      </c>
      <c r="I1494" s="472">
        <v>1</v>
      </c>
      <c r="J1494" s="279" t="s">
        <v>49</v>
      </c>
      <c r="K1494" s="279"/>
      <c r="L1494" s="392"/>
      <c r="M1494" s="279"/>
      <c r="N1494" s="279"/>
      <c r="O1494" s="333"/>
      <c r="P1494" s="333"/>
      <c r="Q1494" s="132"/>
      <c r="R1494" s="94"/>
    </row>
    <row r="1495" spans="1:38" outlineLevel="1">
      <c r="A1495" s="36"/>
      <c r="B1495" s="311"/>
      <c r="C1495" s="528" t="s">
        <v>863</v>
      </c>
      <c r="D1495" s="472"/>
      <c r="E1495" s="311">
        <v>12450121001</v>
      </c>
      <c r="F1495" s="529" t="s">
        <v>1181</v>
      </c>
      <c r="G1495" s="530"/>
      <c r="H1495" s="472" t="s">
        <v>65</v>
      </c>
      <c r="I1495" s="472">
        <v>1</v>
      </c>
      <c r="J1495" s="279" t="s">
        <v>49</v>
      </c>
      <c r="K1495" s="279"/>
      <c r="L1495" s="392"/>
      <c r="M1495" s="279"/>
      <c r="N1495" s="279"/>
      <c r="O1495" s="333"/>
      <c r="P1495" s="333"/>
      <c r="Q1495" s="132"/>
      <c r="R1495" s="94"/>
    </row>
    <row r="1496" spans="1:38" outlineLevel="1">
      <c r="A1496" s="36"/>
      <c r="B1496" s="311"/>
      <c r="C1496" s="528" t="s">
        <v>863</v>
      </c>
      <c r="D1496" s="472"/>
      <c r="E1496" s="311">
        <v>12450221001</v>
      </c>
      <c r="F1496" s="529" t="s">
        <v>1182</v>
      </c>
      <c r="G1496" s="530"/>
      <c r="H1496" s="472" t="s">
        <v>65</v>
      </c>
      <c r="I1496" s="472">
        <v>1</v>
      </c>
      <c r="J1496" s="279" t="s">
        <v>49</v>
      </c>
      <c r="K1496" s="279"/>
      <c r="L1496" s="392"/>
      <c r="M1496" s="279"/>
      <c r="N1496" s="279"/>
      <c r="O1496" s="333"/>
      <c r="P1496" s="333"/>
      <c r="Q1496" s="132"/>
      <c r="R1496" s="94"/>
    </row>
    <row r="1497" spans="1:38" outlineLevel="1">
      <c r="A1497" s="36"/>
      <c r="B1497" s="311"/>
      <c r="C1497" s="528" t="s">
        <v>863</v>
      </c>
      <c r="D1497" s="472"/>
      <c r="E1497" s="311">
        <v>12450321001</v>
      </c>
      <c r="F1497" s="529" t="s">
        <v>1183</v>
      </c>
      <c r="G1497" s="530"/>
      <c r="H1497" s="472" t="s">
        <v>65</v>
      </c>
      <c r="I1497" s="472">
        <v>1</v>
      </c>
      <c r="J1497" s="279" t="s">
        <v>49</v>
      </c>
      <c r="K1497" s="279"/>
      <c r="L1497" s="392"/>
      <c r="M1497" s="279"/>
      <c r="N1497" s="279"/>
      <c r="O1497" s="333"/>
      <c r="P1497" s="333"/>
      <c r="Q1497" s="132"/>
      <c r="R1497" s="94"/>
    </row>
    <row r="1498" spans="1:38" outlineLevel="1">
      <c r="A1498" s="36"/>
      <c r="B1498" s="311"/>
      <c r="C1498" s="528" t="s">
        <v>863</v>
      </c>
      <c r="D1498" s="472"/>
      <c r="E1498" s="311">
        <v>12450421001</v>
      </c>
      <c r="F1498" s="529" t="s">
        <v>1184</v>
      </c>
      <c r="G1498" s="530"/>
      <c r="H1498" s="472" t="s">
        <v>65</v>
      </c>
      <c r="I1498" s="472">
        <v>1</v>
      </c>
      <c r="J1498" s="279" t="s">
        <v>49</v>
      </c>
      <c r="K1498" s="279"/>
      <c r="L1498" s="392"/>
      <c r="M1498" s="279"/>
      <c r="N1498" s="279"/>
      <c r="O1498" s="333"/>
      <c r="P1498" s="333"/>
      <c r="Q1498" s="132"/>
      <c r="R1498" s="94"/>
    </row>
    <row r="1499" spans="1:38" outlineLevel="1">
      <c r="A1499" s="36"/>
      <c r="B1499" s="311"/>
      <c r="C1499" s="528" t="s">
        <v>863</v>
      </c>
      <c r="D1499" s="472"/>
      <c r="E1499" s="311">
        <v>12450521001</v>
      </c>
      <c r="F1499" s="529" t="s">
        <v>1185</v>
      </c>
      <c r="G1499" s="530"/>
      <c r="H1499" s="472" t="s">
        <v>65</v>
      </c>
      <c r="I1499" s="472">
        <v>1</v>
      </c>
      <c r="J1499" s="279" t="s">
        <v>49</v>
      </c>
      <c r="K1499" s="279"/>
      <c r="L1499" s="392"/>
      <c r="M1499" s="279"/>
      <c r="N1499" s="279"/>
      <c r="O1499" s="333"/>
      <c r="P1499" s="333"/>
      <c r="Q1499" s="132"/>
      <c r="R1499" s="94"/>
    </row>
    <row r="1500" spans="1:38" outlineLevel="1">
      <c r="A1500" s="36"/>
      <c r="B1500" s="311"/>
      <c r="C1500" s="528" t="s">
        <v>863</v>
      </c>
      <c r="D1500" s="472"/>
      <c r="E1500" s="311">
        <v>12450621001</v>
      </c>
      <c r="F1500" s="529" t="s">
        <v>1186</v>
      </c>
      <c r="G1500" s="530"/>
      <c r="H1500" s="472" t="s">
        <v>65</v>
      </c>
      <c r="I1500" s="472">
        <v>1</v>
      </c>
      <c r="J1500" s="279" t="s">
        <v>49</v>
      </c>
      <c r="K1500" s="279"/>
      <c r="L1500" s="392"/>
      <c r="M1500" s="279"/>
      <c r="N1500" s="279"/>
      <c r="O1500" s="333"/>
      <c r="P1500" s="333"/>
      <c r="Q1500" s="132"/>
      <c r="R1500" s="94"/>
    </row>
    <row r="1501" spans="1:38" outlineLevel="1">
      <c r="A1501" s="36"/>
      <c r="B1501" s="311"/>
      <c r="C1501" s="528" t="s">
        <v>863</v>
      </c>
      <c r="D1501" s="472"/>
      <c r="E1501" s="311">
        <v>12450721001</v>
      </c>
      <c r="F1501" s="529" t="s">
        <v>1187</v>
      </c>
      <c r="G1501" s="530"/>
      <c r="H1501" s="472" t="s">
        <v>65</v>
      </c>
      <c r="I1501" s="472">
        <v>1</v>
      </c>
      <c r="J1501" s="279" t="s">
        <v>49</v>
      </c>
      <c r="K1501" s="279"/>
      <c r="L1501" s="392"/>
      <c r="M1501" s="279"/>
      <c r="N1501" s="279"/>
      <c r="O1501" s="333"/>
      <c r="P1501" s="333"/>
      <c r="Q1501" s="132"/>
      <c r="R1501" s="94"/>
    </row>
    <row r="1502" spans="1:38" outlineLevel="1">
      <c r="A1502" s="36"/>
      <c r="B1502" s="311"/>
      <c r="C1502" s="528" t="s">
        <v>863</v>
      </c>
      <c r="D1502" s="472"/>
      <c r="E1502" s="311">
        <v>12450821001</v>
      </c>
      <c r="F1502" s="529" t="s">
        <v>1188</v>
      </c>
      <c r="G1502" s="530"/>
      <c r="H1502" s="472" t="s">
        <v>65</v>
      </c>
      <c r="I1502" s="472">
        <v>1</v>
      </c>
      <c r="J1502" s="279" t="s">
        <v>49</v>
      </c>
      <c r="K1502" s="279"/>
      <c r="L1502" s="392"/>
      <c r="M1502" s="279"/>
      <c r="N1502" s="279"/>
      <c r="O1502" s="333"/>
      <c r="P1502" s="333"/>
      <c r="Q1502" s="132"/>
      <c r="R1502" s="96"/>
    </row>
    <row r="1503" spans="1:38" outlineLevel="1">
      <c r="A1503" s="36"/>
      <c r="B1503" s="311"/>
      <c r="C1503" s="528" t="s">
        <v>863</v>
      </c>
      <c r="D1503" s="472"/>
      <c r="E1503" s="311">
        <v>12330621001</v>
      </c>
      <c r="F1503" s="529" t="s">
        <v>1189</v>
      </c>
      <c r="G1503" s="530"/>
      <c r="H1503" s="472" t="s">
        <v>65</v>
      </c>
      <c r="I1503" s="472">
        <v>1</v>
      </c>
      <c r="J1503" s="279" t="s">
        <v>49</v>
      </c>
      <c r="K1503" s="279"/>
      <c r="L1503" s="392"/>
      <c r="M1503" s="279"/>
      <c r="N1503" s="279"/>
      <c r="O1503" s="333"/>
      <c r="P1503" s="333"/>
      <c r="Q1503" s="132"/>
      <c r="R1503" s="94"/>
    </row>
    <row r="1504" spans="1:38" outlineLevel="1">
      <c r="A1504" s="36"/>
      <c r="B1504" s="311"/>
      <c r="C1504" s="528" t="s">
        <v>863</v>
      </c>
      <c r="D1504" s="472"/>
      <c r="E1504" s="311">
        <v>12451121001</v>
      </c>
      <c r="F1504" s="529" t="s">
        <v>1190</v>
      </c>
      <c r="G1504" s="530"/>
      <c r="H1504" s="472" t="s">
        <v>65</v>
      </c>
      <c r="I1504" s="472">
        <v>1</v>
      </c>
      <c r="J1504" s="279" t="s">
        <v>49</v>
      </c>
      <c r="K1504" s="279"/>
      <c r="L1504" s="392"/>
      <c r="M1504" s="279"/>
      <c r="N1504" s="279"/>
      <c r="O1504" s="333"/>
      <c r="P1504" s="333"/>
      <c r="Q1504" s="132"/>
      <c r="R1504" s="94"/>
    </row>
    <row r="1505" spans="1:18" outlineLevel="1">
      <c r="A1505" s="36"/>
      <c r="B1505" s="456"/>
      <c r="C1505" s="500"/>
      <c r="D1505" s="387"/>
      <c r="E1505" s="188"/>
      <c r="F1505" s="388"/>
      <c r="G1505" s="455"/>
      <c r="H1505" s="387"/>
      <c r="I1505" s="387"/>
      <c r="J1505" s="212"/>
      <c r="K1505" s="212"/>
      <c r="L1505" s="392"/>
      <c r="M1505" s="279"/>
      <c r="N1505" s="279"/>
      <c r="O1505" s="333"/>
      <c r="P1505" s="333"/>
      <c r="Q1505" s="132"/>
      <c r="R1505" s="94"/>
    </row>
    <row r="1506" spans="1:18" outlineLevel="1">
      <c r="A1506" s="36"/>
      <c r="B1506" s="311"/>
      <c r="C1506" s="528" t="s">
        <v>863</v>
      </c>
      <c r="D1506" s="472"/>
      <c r="E1506" s="311">
        <v>12452421001</v>
      </c>
      <c r="F1506" s="529" t="s">
        <v>1191</v>
      </c>
      <c r="G1506" s="530"/>
      <c r="H1506" s="472" t="s">
        <v>65</v>
      </c>
      <c r="I1506" s="472">
        <v>1</v>
      </c>
      <c r="J1506" s="279" t="s">
        <v>49</v>
      </c>
      <c r="K1506" s="279"/>
      <c r="L1506" s="392"/>
      <c r="M1506" s="279"/>
      <c r="N1506" s="279"/>
      <c r="O1506" s="333"/>
      <c r="P1506" s="333"/>
      <c r="Q1506" s="132"/>
      <c r="R1506" s="94"/>
    </row>
    <row r="1507" spans="1:18" outlineLevel="1">
      <c r="A1507" s="36"/>
      <c r="B1507" s="311"/>
      <c r="C1507" s="528" t="s">
        <v>863</v>
      </c>
      <c r="D1507" s="472"/>
      <c r="E1507" s="311">
        <v>12452521001</v>
      </c>
      <c r="F1507" s="529" t="s">
        <v>1192</v>
      </c>
      <c r="G1507" s="530"/>
      <c r="H1507" s="472" t="s">
        <v>65</v>
      </c>
      <c r="I1507" s="472">
        <v>1</v>
      </c>
      <c r="J1507" s="279" t="s">
        <v>49</v>
      </c>
      <c r="K1507" s="279"/>
      <c r="L1507" s="392"/>
      <c r="M1507" s="279"/>
      <c r="N1507" s="279"/>
      <c r="O1507" s="333"/>
      <c r="P1507" s="333"/>
      <c r="Q1507" s="132"/>
      <c r="R1507" s="94"/>
    </row>
    <row r="1508" spans="1:18" outlineLevel="1">
      <c r="A1508" s="36"/>
      <c r="B1508" s="311"/>
      <c r="C1508" s="528" t="s">
        <v>863</v>
      </c>
      <c r="D1508" s="472"/>
      <c r="E1508" s="311">
        <v>12452621001</v>
      </c>
      <c r="F1508" s="529" t="s">
        <v>1193</v>
      </c>
      <c r="G1508" s="530"/>
      <c r="H1508" s="472" t="s">
        <v>65</v>
      </c>
      <c r="I1508" s="472">
        <v>1</v>
      </c>
      <c r="J1508" s="279" t="s">
        <v>49</v>
      </c>
      <c r="K1508" s="279"/>
      <c r="L1508" s="392"/>
      <c r="M1508" s="279"/>
      <c r="N1508" s="279"/>
      <c r="O1508" s="333"/>
      <c r="P1508" s="333"/>
      <c r="Q1508" s="132"/>
      <c r="R1508" s="94"/>
    </row>
    <row r="1509" spans="1:18" outlineLevel="1">
      <c r="A1509" s="36"/>
      <c r="B1509" s="311"/>
      <c r="C1509" s="528" t="s">
        <v>863</v>
      </c>
      <c r="D1509" s="472"/>
      <c r="E1509" s="311">
        <v>12891491001</v>
      </c>
      <c r="F1509" s="529" t="s">
        <v>1194</v>
      </c>
      <c r="G1509" s="530"/>
      <c r="H1509" s="472" t="s">
        <v>65</v>
      </c>
      <c r="I1509" s="472">
        <v>1</v>
      </c>
      <c r="J1509" s="279" t="s">
        <v>49</v>
      </c>
      <c r="K1509" s="279"/>
      <c r="L1509" s="392"/>
      <c r="M1509" s="279"/>
      <c r="N1509" s="279"/>
      <c r="O1509" s="333"/>
      <c r="P1509" s="333"/>
      <c r="Q1509" s="132"/>
      <c r="R1509" s="94"/>
    </row>
    <row r="1510" spans="1:18" outlineLevel="1">
      <c r="A1510" s="36"/>
      <c r="B1510" s="311"/>
      <c r="C1510" s="528" t="s">
        <v>863</v>
      </c>
      <c r="D1510" s="472"/>
      <c r="E1510" s="311">
        <v>12452721001</v>
      </c>
      <c r="F1510" s="529" t="s">
        <v>1195</v>
      </c>
      <c r="G1510" s="530"/>
      <c r="H1510" s="472" t="s">
        <v>65</v>
      </c>
      <c r="I1510" s="472">
        <v>1</v>
      </c>
      <c r="J1510" s="279" t="s">
        <v>49</v>
      </c>
      <c r="K1510" s="279"/>
      <c r="L1510" s="392"/>
      <c r="M1510" s="279"/>
      <c r="N1510" s="279"/>
      <c r="O1510" s="333"/>
      <c r="P1510" s="333"/>
      <c r="Q1510" s="132"/>
      <c r="R1510" s="94"/>
    </row>
    <row r="1511" spans="1:18" outlineLevel="1">
      <c r="A1511" s="36"/>
      <c r="B1511" s="311"/>
      <c r="C1511" s="528" t="s">
        <v>863</v>
      </c>
      <c r="D1511" s="472"/>
      <c r="E1511" s="311">
        <v>12891511001</v>
      </c>
      <c r="F1511" s="529" t="s">
        <v>1196</v>
      </c>
      <c r="G1511" s="530"/>
      <c r="H1511" s="472" t="s">
        <v>65</v>
      </c>
      <c r="I1511" s="472">
        <v>1</v>
      </c>
      <c r="J1511" s="279" t="s">
        <v>49</v>
      </c>
      <c r="K1511" s="279"/>
      <c r="L1511" s="392"/>
      <c r="M1511" s="279"/>
      <c r="N1511" s="279"/>
      <c r="O1511" s="333"/>
      <c r="P1511" s="333"/>
      <c r="Q1511" s="132"/>
      <c r="R1511" s="94"/>
    </row>
    <row r="1512" spans="1:18" outlineLevel="1">
      <c r="A1512" s="36"/>
      <c r="B1512" s="311"/>
      <c r="C1512" s="528" t="s">
        <v>863</v>
      </c>
      <c r="D1512" s="472"/>
      <c r="E1512" s="311">
        <v>12452821001</v>
      </c>
      <c r="F1512" s="529" t="s">
        <v>1197</v>
      </c>
      <c r="G1512" s="530"/>
      <c r="H1512" s="472" t="s">
        <v>65</v>
      </c>
      <c r="I1512" s="472">
        <v>1</v>
      </c>
      <c r="J1512" s="279" t="s">
        <v>49</v>
      </c>
      <c r="K1512" s="279"/>
      <c r="L1512" s="392"/>
      <c r="M1512" s="279"/>
      <c r="N1512" s="279"/>
      <c r="O1512" s="333"/>
      <c r="P1512" s="333"/>
      <c r="Q1512" s="132"/>
      <c r="R1512" s="94"/>
    </row>
    <row r="1513" spans="1:18" outlineLevel="1">
      <c r="A1513" s="36"/>
      <c r="B1513" s="311"/>
      <c r="C1513" s="528" t="s">
        <v>863</v>
      </c>
      <c r="D1513" s="472"/>
      <c r="E1513" s="311">
        <v>12452921001</v>
      </c>
      <c r="F1513" s="529" t="s">
        <v>1198</v>
      </c>
      <c r="G1513" s="530"/>
      <c r="H1513" s="472" t="s">
        <v>65</v>
      </c>
      <c r="I1513" s="472">
        <v>1</v>
      </c>
      <c r="J1513" s="279" t="s">
        <v>49</v>
      </c>
      <c r="K1513" s="279"/>
      <c r="L1513" s="392"/>
      <c r="M1513" s="279"/>
      <c r="N1513" s="279"/>
      <c r="O1513" s="333"/>
      <c r="P1513" s="333"/>
      <c r="Q1513" s="132"/>
      <c r="R1513" s="94"/>
    </row>
    <row r="1514" spans="1:18" outlineLevel="1">
      <c r="A1514" s="36"/>
      <c r="B1514" s="311"/>
      <c r="C1514" s="528" t="s">
        <v>863</v>
      </c>
      <c r="D1514" s="472"/>
      <c r="E1514" s="311">
        <v>12453021001</v>
      </c>
      <c r="F1514" s="529" t="s">
        <v>1199</v>
      </c>
      <c r="G1514" s="530"/>
      <c r="H1514" s="472" t="s">
        <v>65</v>
      </c>
      <c r="I1514" s="472">
        <v>1</v>
      </c>
      <c r="J1514" s="279" t="s">
        <v>49</v>
      </c>
      <c r="K1514" s="279"/>
      <c r="L1514" s="392"/>
      <c r="M1514" s="279"/>
      <c r="N1514" s="279"/>
      <c r="O1514" s="333"/>
      <c r="P1514" s="333"/>
      <c r="Q1514" s="132"/>
      <c r="R1514" s="94"/>
    </row>
    <row r="1515" spans="1:18" outlineLevel="1">
      <c r="A1515" s="36"/>
      <c r="B1515" s="311"/>
      <c r="C1515" s="528" t="s">
        <v>863</v>
      </c>
      <c r="D1515" s="472"/>
      <c r="E1515" s="311">
        <v>12453121001</v>
      </c>
      <c r="F1515" s="529" t="s">
        <v>1200</v>
      </c>
      <c r="G1515" s="530"/>
      <c r="H1515" s="472" t="s">
        <v>65</v>
      </c>
      <c r="I1515" s="472">
        <v>1</v>
      </c>
      <c r="J1515" s="279" t="s">
        <v>49</v>
      </c>
      <c r="K1515" s="279"/>
      <c r="L1515" s="392"/>
      <c r="M1515" s="279"/>
      <c r="N1515" s="279"/>
      <c r="O1515" s="333"/>
      <c r="P1515" s="333"/>
      <c r="Q1515" s="132"/>
      <c r="R1515" s="94"/>
    </row>
    <row r="1516" spans="1:18" outlineLevel="1">
      <c r="A1516" s="36"/>
      <c r="B1516" s="311"/>
      <c r="C1516" s="528" t="s">
        <v>863</v>
      </c>
      <c r="D1516" s="472"/>
      <c r="E1516" s="311">
        <v>12453221001</v>
      </c>
      <c r="F1516" s="529" t="s">
        <v>1201</v>
      </c>
      <c r="G1516" s="530"/>
      <c r="H1516" s="472" t="s">
        <v>65</v>
      </c>
      <c r="I1516" s="472">
        <v>1</v>
      </c>
      <c r="J1516" s="279" t="s">
        <v>49</v>
      </c>
      <c r="K1516" s="279"/>
      <c r="L1516" s="392"/>
      <c r="M1516" s="279"/>
      <c r="N1516" s="279"/>
      <c r="O1516" s="333"/>
      <c r="P1516" s="333"/>
      <c r="Q1516" s="132"/>
      <c r="R1516" s="94"/>
    </row>
    <row r="1517" spans="1:18" outlineLevel="1">
      <c r="A1517" s="36"/>
      <c r="B1517" s="311"/>
      <c r="C1517" s="528" t="s">
        <v>863</v>
      </c>
      <c r="D1517" s="472"/>
      <c r="E1517" s="311">
        <v>12496271001</v>
      </c>
      <c r="F1517" s="529" t="s">
        <v>1202</v>
      </c>
      <c r="G1517" s="530"/>
      <c r="H1517" s="472" t="s">
        <v>65</v>
      </c>
      <c r="I1517" s="472">
        <v>1</v>
      </c>
      <c r="J1517" s="279" t="s">
        <v>49</v>
      </c>
      <c r="K1517" s="279"/>
      <c r="L1517" s="392"/>
      <c r="M1517" s="279"/>
      <c r="N1517" s="279"/>
      <c r="O1517" s="333"/>
      <c r="P1517" s="333"/>
      <c r="Q1517" s="132"/>
      <c r="R1517" s="94"/>
    </row>
    <row r="1518" spans="1:18" outlineLevel="1">
      <c r="A1518" s="36"/>
      <c r="B1518" s="311"/>
      <c r="C1518" s="528" t="s">
        <v>863</v>
      </c>
      <c r="D1518" s="472"/>
      <c r="E1518" s="311">
        <v>12480041001</v>
      </c>
      <c r="F1518" s="529" t="s">
        <v>1203</v>
      </c>
      <c r="G1518" s="530"/>
      <c r="H1518" s="472" t="s">
        <v>65</v>
      </c>
      <c r="I1518" s="472">
        <v>1</v>
      </c>
      <c r="J1518" s="279" t="s">
        <v>49</v>
      </c>
      <c r="K1518" s="279"/>
      <c r="L1518" s="392"/>
      <c r="M1518" s="279"/>
      <c r="N1518" s="279"/>
      <c r="O1518" s="333"/>
      <c r="P1518" s="333"/>
      <c r="Q1518" s="132"/>
      <c r="R1518" s="94"/>
    </row>
    <row r="1519" spans="1:18" outlineLevel="1">
      <c r="A1519" s="36"/>
      <c r="B1519" s="311"/>
      <c r="C1519" s="528" t="s">
        <v>863</v>
      </c>
      <c r="D1519" s="472"/>
      <c r="E1519" s="311">
        <v>12453321001</v>
      </c>
      <c r="F1519" s="529" t="s">
        <v>1204</v>
      </c>
      <c r="G1519" s="530"/>
      <c r="H1519" s="472" t="s">
        <v>65</v>
      </c>
      <c r="I1519" s="472">
        <v>1</v>
      </c>
      <c r="J1519" s="279" t="s">
        <v>49</v>
      </c>
      <c r="K1519" s="279"/>
      <c r="L1519" s="392"/>
      <c r="M1519" s="279"/>
      <c r="N1519" s="279"/>
      <c r="O1519" s="333"/>
      <c r="P1519" s="333"/>
      <c r="Q1519" s="132"/>
      <c r="R1519" s="94"/>
    </row>
    <row r="1520" spans="1:18" outlineLevel="1">
      <c r="A1520" s="36"/>
      <c r="B1520" s="311"/>
      <c r="C1520" s="528" t="s">
        <v>863</v>
      </c>
      <c r="D1520" s="472"/>
      <c r="E1520" s="311">
        <v>12252431001</v>
      </c>
      <c r="F1520" s="529" t="s">
        <v>1205</v>
      </c>
      <c r="G1520" s="530"/>
      <c r="H1520" s="472" t="s">
        <v>65</v>
      </c>
      <c r="I1520" s="472">
        <v>1</v>
      </c>
      <c r="J1520" s="279" t="s">
        <v>49</v>
      </c>
      <c r="K1520" s="279"/>
      <c r="L1520" s="392"/>
      <c r="M1520" s="279"/>
      <c r="N1520" s="279"/>
      <c r="O1520" s="333"/>
      <c r="P1520" s="333"/>
      <c r="Q1520" s="132"/>
      <c r="R1520" s="94"/>
    </row>
    <row r="1521" spans="1:38" outlineLevel="1">
      <c r="A1521" s="36"/>
      <c r="B1521" s="311"/>
      <c r="C1521" s="528" t="s">
        <v>863</v>
      </c>
      <c r="D1521" s="472"/>
      <c r="E1521" s="311">
        <v>12451021001</v>
      </c>
      <c r="F1521" s="529" t="s">
        <v>1206</v>
      </c>
      <c r="G1521" s="530"/>
      <c r="H1521" s="472" t="s">
        <v>65</v>
      </c>
      <c r="I1521" s="472">
        <v>1</v>
      </c>
      <c r="J1521" s="279" t="s">
        <v>49</v>
      </c>
      <c r="K1521" s="279"/>
      <c r="L1521" s="392"/>
      <c r="M1521" s="279"/>
      <c r="N1521" s="279"/>
      <c r="O1521" s="333"/>
      <c r="P1521" s="333"/>
      <c r="Q1521" s="132"/>
      <c r="R1521" s="94"/>
    </row>
    <row r="1522" spans="1:38" outlineLevel="1">
      <c r="A1522" s="36"/>
      <c r="B1522" s="311"/>
      <c r="C1522" s="528" t="s">
        <v>863</v>
      </c>
      <c r="D1522" s="472"/>
      <c r="E1522" s="311">
        <v>12453421001</v>
      </c>
      <c r="F1522" s="529" t="s">
        <v>1207</v>
      </c>
      <c r="G1522" s="530"/>
      <c r="H1522" s="472" t="s">
        <v>65</v>
      </c>
      <c r="I1522" s="472">
        <v>1</v>
      </c>
      <c r="J1522" s="279" t="s">
        <v>49</v>
      </c>
      <c r="K1522" s="279"/>
      <c r="L1522" s="392"/>
      <c r="M1522" s="279"/>
      <c r="N1522" s="279"/>
      <c r="O1522" s="333"/>
      <c r="P1522" s="333"/>
      <c r="Q1522" s="132"/>
      <c r="R1522" s="94"/>
    </row>
    <row r="1523" spans="1:38" outlineLevel="1">
      <c r="A1523" s="36"/>
      <c r="B1523" s="311"/>
      <c r="C1523" s="528" t="s">
        <v>863</v>
      </c>
      <c r="D1523" s="472"/>
      <c r="E1523" s="311">
        <v>12330821001</v>
      </c>
      <c r="F1523" s="529" t="s">
        <v>1208</v>
      </c>
      <c r="G1523" s="530"/>
      <c r="H1523" s="472" t="s">
        <v>65</v>
      </c>
      <c r="I1523" s="472">
        <v>1</v>
      </c>
      <c r="J1523" s="279" t="s">
        <v>49</v>
      </c>
      <c r="K1523" s="279"/>
      <c r="L1523" s="392"/>
      <c r="M1523" s="279"/>
      <c r="N1523" s="279"/>
      <c r="O1523" s="333"/>
      <c r="P1523" s="333"/>
      <c r="Q1523" s="132"/>
      <c r="R1523" s="94"/>
    </row>
    <row r="1524" spans="1:38" outlineLevel="1">
      <c r="A1524" s="36"/>
      <c r="B1524" s="311"/>
      <c r="C1524" s="528" t="s">
        <v>863</v>
      </c>
      <c r="D1524" s="472"/>
      <c r="E1524" s="311">
        <v>12336221001</v>
      </c>
      <c r="F1524" s="529" t="s">
        <v>1209</v>
      </c>
      <c r="G1524" s="530"/>
      <c r="H1524" s="472" t="s">
        <v>65</v>
      </c>
      <c r="I1524" s="472">
        <v>1</v>
      </c>
      <c r="J1524" s="279" t="s">
        <v>49</v>
      </c>
      <c r="K1524" s="279"/>
      <c r="L1524" s="392"/>
      <c r="M1524" s="279"/>
      <c r="N1524" s="279"/>
      <c r="O1524" s="333"/>
      <c r="P1524" s="333"/>
      <c r="Q1524" s="132"/>
      <c r="R1524" s="94"/>
    </row>
    <row r="1525" spans="1:38" outlineLevel="1">
      <c r="A1525" s="36"/>
      <c r="B1525" s="311"/>
      <c r="C1525" s="528" t="s">
        <v>863</v>
      </c>
      <c r="D1525" s="472"/>
      <c r="E1525" s="311">
        <v>12389401001</v>
      </c>
      <c r="F1525" s="529" t="s">
        <v>1210</v>
      </c>
      <c r="G1525" s="530"/>
      <c r="H1525" s="472" t="s">
        <v>65</v>
      </c>
      <c r="I1525" s="472">
        <v>1</v>
      </c>
      <c r="J1525" s="279" t="s">
        <v>49</v>
      </c>
      <c r="K1525" s="279"/>
      <c r="L1525" s="392"/>
      <c r="M1525" s="279"/>
      <c r="N1525" s="279"/>
      <c r="O1525" s="333"/>
      <c r="P1525" s="333"/>
      <c r="Q1525" s="132"/>
      <c r="R1525" s="96"/>
    </row>
    <row r="1526" spans="1:38" outlineLevel="1">
      <c r="A1526" s="36"/>
      <c r="B1526" s="311"/>
      <c r="C1526" s="528" t="s">
        <v>863</v>
      </c>
      <c r="D1526" s="472"/>
      <c r="E1526" s="311">
        <v>12389481001</v>
      </c>
      <c r="F1526" s="529" t="s">
        <v>1211</v>
      </c>
      <c r="G1526" s="530"/>
      <c r="H1526" s="472" t="s">
        <v>65</v>
      </c>
      <c r="I1526" s="472">
        <v>1</v>
      </c>
      <c r="J1526" s="279" t="s">
        <v>49</v>
      </c>
      <c r="K1526" s="279"/>
      <c r="L1526" s="392"/>
      <c r="M1526" s="279"/>
      <c r="N1526" s="279"/>
      <c r="O1526" s="333"/>
      <c r="P1526" s="333"/>
      <c r="Q1526" s="132"/>
      <c r="R1526" s="94"/>
      <c r="AL1526" s="74"/>
    </row>
    <row r="1527" spans="1:38" outlineLevel="1">
      <c r="A1527" s="36"/>
      <c r="B1527" s="311"/>
      <c r="C1527" s="528" t="s">
        <v>863</v>
      </c>
      <c r="D1527" s="472"/>
      <c r="E1527" s="311">
        <v>12389501001</v>
      </c>
      <c r="F1527" s="529" t="s">
        <v>1212</v>
      </c>
      <c r="G1527" s="530"/>
      <c r="H1527" s="472" t="s">
        <v>65</v>
      </c>
      <c r="I1527" s="472">
        <v>1</v>
      </c>
      <c r="J1527" s="279" t="s">
        <v>49</v>
      </c>
      <c r="K1527" s="279"/>
      <c r="L1527" s="392"/>
      <c r="M1527" s="279"/>
      <c r="N1527" s="279"/>
      <c r="O1527" s="333"/>
      <c r="P1527" s="333"/>
      <c r="Q1527" s="132"/>
      <c r="R1527" s="94"/>
      <c r="AL1527" s="74"/>
    </row>
    <row r="1528" spans="1:38" outlineLevel="1">
      <c r="A1528" s="36"/>
      <c r="B1528" s="456"/>
      <c r="C1528" s="500"/>
      <c r="D1528" s="387"/>
      <c r="E1528" s="188"/>
      <c r="F1528" s="388"/>
      <c r="G1528" s="455"/>
      <c r="H1528" s="387"/>
      <c r="I1528" s="387"/>
      <c r="J1528" s="212"/>
      <c r="K1528" s="212"/>
      <c r="L1528" s="392"/>
      <c r="M1528" s="279"/>
      <c r="N1528" s="279"/>
      <c r="O1528" s="333"/>
      <c r="P1528" s="333"/>
      <c r="Q1528" s="132"/>
      <c r="R1528" s="94"/>
      <c r="AL1528" s="74"/>
    </row>
    <row r="1529" spans="1:38" s="74" customFormat="1" outlineLevel="1">
      <c r="A1529" s="156"/>
      <c r="B1529" s="225" t="s">
        <v>52</v>
      </c>
      <c r="C1529" s="514" t="s">
        <v>863</v>
      </c>
      <c r="D1529" s="515"/>
      <c r="E1529" s="225">
        <v>12428471001</v>
      </c>
      <c r="F1529" s="516" t="s">
        <v>1213</v>
      </c>
      <c r="G1529" s="502"/>
      <c r="H1529" s="515" t="s">
        <v>65</v>
      </c>
      <c r="I1529" s="515">
        <v>1</v>
      </c>
      <c r="J1529" s="229" t="s">
        <v>49</v>
      </c>
      <c r="K1529" s="229"/>
      <c r="L1529" s="517"/>
      <c r="M1529" s="229"/>
      <c r="N1529" s="229"/>
      <c r="O1529" s="230"/>
      <c r="P1529" s="230"/>
      <c r="Q1529" s="132"/>
      <c r="R1529" s="94"/>
      <c r="AK1529"/>
    </row>
    <row r="1530" spans="1:38" s="74" customFormat="1" outlineLevel="1">
      <c r="A1530" s="156"/>
      <c r="B1530" s="225" t="s">
        <v>52</v>
      </c>
      <c r="C1530" s="514" t="s">
        <v>863</v>
      </c>
      <c r="D1530" s="515"/>
      <c r="E1530" s="225">
        <v>12428671001</v>
      </c>
      <c r="F1530" s="516" t="s">
        <v>1214</v>
      </c>
      <c r="G1530" s="502"/>
      <c r="H1530" s="515" t="s">
        <v>65</v>
      </c>
      <c r="I1530" s="515">
        <v>1</v>
      </c>
      <c r="J1530" s="229" t="s">
        <v>49</v>
      </c>
      <c r="K1530" s="229"/>
      <c r="L1530" s="517"/>
      <c r="M1530" s="229"/>
      <c r="N1530" s="229"/>
      <c r="O1530" s="230"/>
      <c r="P1530" s="230"/>
      <c r="Q1530" s="132"/>
      <c r="R1530" s="94"/>
      <c r="AK1530"/>
    </row>
    <row r="1531" spans="1:38" s="74" customFormat="1" outlineLevel="1">
      <c r="A1531" s="156"/>
      <c r="B1531" s="225" t="s">
        <v>52</v>
      </c>
      <c r="C1531" s="514" t="s">
        <v>863</v>
      </c>
      <c r="D1531" s="515"/>
      <c r="E1531" s="225">
        <v>12428771001</v>
      </c>
      <c r="F1531" s="516" t="s">
        <v>1215</v>
      </c>
      <c r="G1531" s="502"/>
      <c r="H1531" s="515" t="s">
        <v>65</v>
      </c>
      <c r="I1531" s="515">
        <v>1</v>
      </c>
      <c r="J1531" s="229" t="s">
        <v>49</v>
      </c>
      <c r="K1531" s="229"/>
      <c r="L1531" s="517"/>
      <c r="M1531" s="229"/>
      <c r="N1531" s="229"/>
      <c r="O1531" s="230"/>
      <c r="P1531" s="230"/>
      <c r="Q1531" s="132"/>
      <c r="R1531" s="94"/>
      <c r="AK1531"/>
      <c r="AL1531"/>
    </row>
    <row r="1532" spans="1:38" s="74" customFormat="1" outlineLevel="1">
      <c r="A1532" s="156"/>
      <c r="B1532" s="225" t="s">
        <v>52</v>
      </c>
      <c r="C1532" s="514" t="s">
        <v>863</v>
      </c>
      <c r="D1532" s="515"/>
      <c r="E1532" s="225">
        <v>12428871001</v>
      </c>
      <c r="F1532" s="516" t="s">
        <v>1216</v>
      </c>
      <c r="G1532" s="502"/>
      <c r="H1532" s="515" t="s">
        <v>65</v>
      </c>
      <c r="I1532" s="515">
        <v>1</v>
      </c>
      <c r="J1532" s="229" t="s">
        <v>49</v>
      </c>
      <c r="K1532" s="229"/>
      <c r="L1532" s="517"/>
      <c r="M1532" s="229"/>
      <c r="N1532" s="229"/>
      <c r="O1532" s="230"/>
      <c r="P1532" s="230"/>
      <c r="Q1532" s="132"/>
      <c r="R1532" s="94"/>
      <c r="AK1532"/>
    </row>
    <row r="1533" spans="1:38" s="74" customFormat="1" outlineLevel="1">
      <c r="A1533" s="156"/>
      <c r="B1533" s="225" t="s">
        <v>52</v>
      </c>
      <c r="C1533" s="514" t="s">
        <v>863</v>
      </c>
      <c r="D1533" s="515"/>
      <c r="E1533" s="225">
        <v>12428971001</v>
      </c>
      <c r="F1533" s="516" t="s">
        <v>1217</v>
      </c>
      <c r="G1533" s="502"/>
      <c r="H1533" s="515" t="s">
        <v>65</v>
      </c>
      <c r="I1533" s="515">
        <v>1</v>
      </c>
      <c r="J1533" s="229" t="s">
        <v>49</v>
      </c>
      <c r="K1533" s="229"/>
      <c r="L1533" s="517"/>
      <c r="M1533" s="229"/>
      <c r="N1533" s="229"/>
      <c r="O1533" s="230"/>
      <c r="P1533" s="230"/>
      <c r="Q1533" s="132"/>
      <c r="R1533" s="94"/>
      <c r="AK1533"/>
      <c r="AL1533"/>
    </row>
    <row r="1534" spans="1:38" outlineLevel="1">
      <c r="A1534" s="36"/>
      <c r="B1534" s="225" t="s">
        <v>52</v>
      </c>
      <c r="C1534" s="514" t="s">
        <v>863</v>
      </c>
      <c r="D1534" s="515"/>
      <c r="E1534" s="225">
        <v>12429071001</v>
      </c>
      <c r="F1534" s="516" t="s">
        <v>1218</v>
      </c>
      <c r="G1534" s="502"/>
      <c r="H1534" s="515" t="s">
        <v>65</v>
      </c>
      <c r="I1534" s="515">
        <v>1</v>
      </c>
      <c r="J1534" s="229" t="s">
        <v>49</v>
      </c>
      <c r="K1534" s="229"/>
      <c r="L1534" s="517"/>
      <c r="M1534" s="229"/>
      <c r="N1534" s="229"/>
      <c r="O1534" s="230"/>
      <c r="P1534" s="230"/>
      <c r="Q1534" s="132"/>
      <c r="R1534" s="94"/>
    </row>
    <row r="1535" spans="1:38" s="74" customFormat="1" outlineLevel="1">
      <c r="A1535" s="156"/>
      <c r="B1535" s="225" t="s">
        <v>52</v>
      </c>
      <c r="C1535" s="514" t="s">
        <v>863</v>
      </c>
      <c r="D1535" s="515"/>
      <c r="E1535" s="225">
        <v>12429171001</v>
      </c>
      <c r="F1535" s="516" t="s">
        <v>1219</v>
      </c>
      <c r="G1535" s="502"/>
      <c r="H1535" s="515" t="s">
        <v>65</v>
      </c>
      <c r="I1535" s="515">
        <v>1</v>
      </c>
      <c r="J1535" s="229" t="s">
        <v>49</v>
      </c>
      <c r="K1535" s="229"/>
      <c r="L1535" s="517"/>
      <c r="M1535" s="229"/>
      <c r="N1535" s="229"/>
      <c r="O1535" s="230"/>
      <c r="P1535" s="230"/>
      <c r="Q1535" s="132"/>
      <c r="R1535" s="94"/>
      <c r="AK1535"/>
      <c r="AL1535"/>
    </row>
    <row r="1536" spans="1:38" outlineLevel="1">
      <c r="A1536" s="36"/>
      <c r="B1536" s="225" t="s">
        <v>52</v>
      </c>
      <c r="C1536" s="514" t="s">
        <v>863</v>
      </c>
      <c r="D1536" s="515"/>
      <c r="E1536" s="225">
        <v>12429271001</v>
      </c>
      <c r="F1536" s="516" t="s">
        <v>1220</v>
      </c>
      <c r="G1536" s="502"/>
      <c r="H1536" s="515" t="s">
        <v>65</v>
      </c>
      <c r="I1536" s="515">
        <v>1</v>
      </c>
      <c r="J1536" s="229" t="s">
        <v>49</v>
      </c>
      <c r="K1536" s="229"/>
      <c r="L1536" s="517"/>
      <c r="M1536" s="229"/>
      <c r="N1536" s="229"/>
      <c r="O1536" s="230"/>
      <c r="P1536" s="230"/>
      <c r="Q1536" s="132"/>
      <c r="R1536" s="94"/>
    </row>
    <row r="1537" spans="1:38" outlineLevel="1">
      <c r="A1537" s="36"/>
      <c r="B1537" s="225" t="s">
        <v>52</v>
      </c>
      <c r="C1537" s="514" t="s">
        <v>863</v>
      </c>
      <c r="D1537" s="515"/>
      <c r="E1537" s="225">
        <v>12342441001</v>
      </c>
      <c r="F1537" s="516" t="s">
        <v>1221</v>
      </c>
      <c r="G1537" s="502"/>
      <c r="H1537" s="515" t="s">
        <v>65</v>
      </c>
      <c r="I1537" s="515">
        <v>1</v>
      </c>
      <c r="J1537" s="229" t="s">
        <v>49</v>
      </c>
      <c r="K1537" s="229"/>
      <c r="L1537" s="517"/>
      <c r="M1537" s="229"/>
      <c r="N1537" s="229"/>
      <c r="O1537" s="230"/>
      <c r="P1537" s="230"/>
      <c r="Q1537" s="132"/>
      <c r="R1537" s="94"/>
      <c r="AL1537" s="74"/>
    </row>
    <row r="1538" spans="1:38" outlineLevel="1">
      <c r="A1538" s="36"/>
      <c r="B1538" s="225" t="s">
        <v>52</v>
      </c>
      <c r="C1538" s="514" t="s">
        <v>863</v>
      </c>
      <c r="D1538" s="515"/>
      <c r="E1538" s="225">
        <v>12429371001</v>
      </c>
      <c r="F1538" s="516" t="s">
        <v>1222</v>
      </c>
      <c r="G1538" s="502"/>
      <c r="H1538" s="515" t="s">
        <v>65</v>
      </c>
      <c r="I1538" s="515">
        <v>1</v>
      </c>
      <c r="J1538" s="229" t="s">
        <v>49</v>
      </c>
      <c r="K1538" s="229"/>
      <c r="L1538" s="517"/>
      <c r="M1538" s="229"/>
      <c r="N1538" s="229"/>
      <c r="O1538" s="230"/>
      <c r="P1538" s="230"/>
      <c r="Q1538" s="132"/>
      <c r="R1538" s="94"/>
    </row>
    <row r="1539" spans="1:38" outlineLevel="1">
      <c r="A1539" s="36"/>
      <c r="B1539" s="225" t="s">
        <v>52</v>
      </c>
      <c r="C1539" s="514" t="s">
        <v>863</v>
      </c>
      <c r="D1539" s="515"/>
      <c r="E1539" s="225">
        <v>12429471001</v>
      </c>
      <c r="F1539" s="516" t="s">
        <v>1223</v>
      </c>
      <c r="G1539" s="502"/>
      <c r="H1539" s="515" t="s">
        <v>65</v>
      </c>
      <c r="I1539" s="515">
        <v>1</v>
      </c>
      <c r="J1539" s="229" t="s">
        <v>49</v>
      </c>
      <c r="K1539" s="229"/>
      <c r="L1539" s="517"/>
      <c r="M1539" s="229"/>
      <c r="N1539" s="229"/>
      <c r="O1539" s="230"/>
      <c r="P1539" s="230"/>
      <c r="Q1539" s="132"/>
      <c r="R1539" s="94"/>
      <c r="AL1539" s="74"/>
    </row>
    <row r="1540" spans="1:38" s="74" customFormat="1" outlineLevel="1">
      <c r="A1540" s="156"/>
      <c r="B1540" s="225" t="s">
        <v>52</v>
      </c>
      <c r="C1540" s="514" t="s">
        <v>863</v>
      </c>
      <c r="D1540" s="515"/>
      <c r="E1540" s="225">
        <v>12429571001</v>
      </c>
      <c r="F1540" s="516" t="s">
        <v>1224</v>
      </c>
      <c r="G1540" s="502"/>
      <c r="H1540" s="515" t="s">
        <v>65</v>
      </c>
      <c r="I1540" s="515">
        <v>1</v>
      </c>
      <c r="J1540" s="229" t="s">
        <v>49</v>
      </c>
      <c r="K1540" s="229"/>
      <c r="L1540" s="517"/>
      <c r="M1540" s="229"/>
      <c r="N1540" s="229"/>
      <c r="O1540" s="230"/>
      <c r="P1540" s="230"/>
      <c r="Q1540" s="132"/>
      <c r="R1540" s="94"/>
      <c r="AK1540"/>
    </row>
    <row r="1541" spans="1:38" outlineLevel="1">
      <c r="A1541" s="36"/>
      <c r="B1541" s="225" t="s">
        <v>52</v>
      </c>
      <c r="C1541" s="514" t="s">
        <v>863</v>
      </c>
      <c r="D1541" s="515"/>
      <c r="E1541" s="225">
        <v>12342541001</v>
      </c>
      <c r="F1541" s="516" t="s">
        <v>1225</v>
      </c>
      <c r="G1541" s="502"/>
      <c r="H1541" s="515" t="s">
        <v>65</v>
      </c>
      <c r="I1541" s="515">
        <v>1</v>
      </c>
      <c r="J1541" s="229" t="s">
        <v>49</v>
      </c>
      <c r="K1541" s="229"/>
      <c r="L1541" s="517"/>
      <c r="M1541" s="229"/>
      <c r="N1541" s="229"/>
      <c r="O1541" s="230"/>
      <c r="P1541" s="230"/>
      <c r="Q1541" s="132"/>
      <c r="R1541" s="94"/>
      <c r="AL1541" s="74"/>
    </row>
    <row r="1542" spans="1:38" s="74" customFormat="1" outlineLevel="1">
      <c r="A1542" s="156"/>
      <c r="B1542" s="225" t="s">
        <v>52</v>
      </c>
      <c r="C1542" s="514" t="s">
        <v>863</v>
      </c>
      <c r="D1542" s="515"/>
      <c r="E1542" s="225">
        <v>12429671001</v>
      </c>
      <c r="F1542" s="516" t="s">
        <v>1226</v>
      </c>
      <c r="G1542" s="502"/>
      <c r="H1542" s="515" t="s">
        <v>65</v>
      </c>
      <c r="I1542" s="515">
        <v>1</v>
      </c>
      <c r="J1542" s="229" t="s">
        <v>49</v>
      </c>
      <c r="K1542" s="229"/>
      <c r="L1542" s="517"/>
      <c r="M1542" s="229"/>
      <c r="N1542" s="229"/>
      <c r="O1542" s="230"/>
      <c r="P1542" s="230"/>
      <c r="Q1542" s="132"/>
      <c r="R1542" s="94"/>
      <c r="AK1542"/>
    </row>
    <row r="1543" spans="1:38" s="74" customFormat="1" outlineLevel="1">
      <c r="A1543" s="156"/>
      <c r="B1543" s="225" t="s">
        <v>52</v>
      </c>
      <c r="C1543" s="514" t="s">
        <v>863</v>
      </c>
      <c r="D1543" s="515"/>
      <c r="E1543" s="225">
        <v>12330921001</v>
      </c>
      <c r="F1543" s="516" t="s">
        <v>1227</v>
      </c>
      <c r="G1543" s="502"/>
      <c r="H1543" s="515" t="s">
        <v>65</v>
      </c>
      <c r="I1543" s="515">
        <v>1</v>
      </c>
      <c r="J1543" s="229" t="s">
        <v>49</v>
      </c>
      <c r="K1543" s="229"/>
      <c r="L1543" s="517"/>
      <c r="M1543" s="229"/>
      <c r="N1543" s="229"/>
      <c r="O1543" s="230"/>
      <c r="P1543" s="230"/>
      <c r="Q1543" s="132"/>
      <c r="R1543" s="94"/>
      <c r="AK1543"/>
    </row>
    <row r="1544" spans="1:38" s="74" customFormat="1" outlineLevel="1">
      <c r="A1544" s="156"/>
      <c r="B1544" s="225" t="s">
        <v>52</v>
      </c>
      <c r="C1544" s="514" t="s">
        <v>863</v>
      </c>
      <c r="D1544" s="515"/>
      <c r="E1544" s="225">
        <v>12331021001</v>
      </c>
      <c r="F1544" s="516" t="s">
        <v>1228</v>
      </c>
      <c r="G1544" s="502"/>
      <c r="H1544" s="515" t="s">
        <v>65</v>
      </c>
      <c r="I1544" s="515">
        <v>1</v>
      </c>
      <c r="J1544" s="229" t="s">
        <v>49</v>
      </c>
      <c r="K1544" s="229"/>
      <c r="L1544" s="517"/>
      <c r="M1544" s="229"/>
      <c r="N1544" s="229"/>
      <c r="O1544" s="230"/>
      <c r="P1544" s="230"/>
      <c r="Q1544" s="132"/>
      <c r="R1544" s="94"/>
      <c r="AK1544"/>
      <c r="AL1544"/>
    </row>
    <row r="1545" spans="1:38" s="74" customFormat="1" outlineLevel="1">
      <c r="A1545" s="156"/>
      <c r="B1545" s="225" t="s">
        <v>52</v>
      </c>
      <c r="C1545" s="514" t="s">
        <v>863</v>
      </c>
      <c r="D1545" s="515"/>
      <c r="E1545" s="225">
        <v>12331121001</v>
      </c>
      <c r="F1545" s="516" t="s">
        <v>1229</v>
      </c>
      <c r="G1545" s="502"/>
      <c r="H1545" s="515" t="s">
        <v>65</v>
      </c>
      <c r="I1545" s="515">
        <v>1</v>
      </c>
      <c r="J1545" s="229" t="s">
        <v>49</v>
      </c>
      <c r="K1545" s="229"/>
      <c r="L1545" s="517"/>
      <c r="M1545" s="229"/>
      <c r="N1545" s="229"/>
      <c r="O1545" s="230"/>
      <c r="P1545" s="230"/>
      <c r="Q1545" s="132"/>
      <c r="R1545" s="94"/>
      <c r="AK1545"/>
    </row>
    <row r="1546" spans="1:38" s="74" customFormat="1" outlineLevel="1">
      <c r="A1546" s="156"/>
      <c r="B1546" s="225" t="s">
        <v>52</v>
      </c>
      <c r="C1546" s="514" t="s">
        <v>863</v>
      </c>
      <c r="D1546" s="515"/>
      <c r="E1546" s="225">
        <v>12429771001</v>
      </c>
      <c r="F1546" s="516" t="s">
        <v>1230</v>
      </c>
      <c r="G1546" s="502"/>
      <c r="H1546" s="515" t="s">
        <v>65</v>
      </c>
      <c r="I1546" s="515">
        <v>1</v>
      </c>
      <c r="J1546" s="229" t="s">
        <v>49</v>
      </c>
      <c r="K1546" s="229"/>
      <c r="L1546" s="517"/>
      <c r="M1546" s="229"/>
      <c r="N1546" s="229"/>
      <c r="O1546" s="230"/>
      <c r="P1546" s="230"/>
      <c r="Q1546" s="132"/>
      <c r="R1546" s="97"/>
      <c r="AK1546"/>
      <c r="AL1546"/>
    </row>
    <row r="1547" spans="1:38" outlineLevel="1">
      <c r="A1547" s="36"/>
      <c r="B1547" s="225" t="s">
        <v>52</v>
      </c>
      <c r="C1547" s="514" t="s">
        <v>863</v>
      </c>
      <c r="D1547" s="515"/>
      <c r="E1547" s="225">
        <v>12429871001</v>
      </c>
      <c r="F1547" s="516" t="s">
        <v>1231</v>
      </c>
      <c r="G1547" s="502"/>
      <c r="H1547" s="515" t="s">
        <v>65</v>
      </c>
      <c r="I1547" s="515">
        <v>1</v>
      </c>
      <c r="J1547" s="229" t="s">
        <v>49</v>
      </c>
      <c r="K1547" s="229"/>
      <c r="L1547" s="517"/>
      <c r="M1547" s="229"/>
      <c r="N1547" s="229"/>
      <c r="O1547" s="230"/>
      <c r="P1547" s="230"/>
      <c r="Q1547" s="132"/>
      <c r="R1547" s="94"/>
    </row>
    <row r="1548" spans="1:38" s="74" customFormat="1" outlineLevel="1">
      <c r="A1548" s="156"/>
      <c r="B1548" s="225" t="s">
        <v>52</v>
      </c>
      <c r="C1548" s="514" t="s">
        <v>863</v>
      </c>
      <c r="D1548" s="515"/>
      <c r="E1548" s="225">
        <v>12336321001</v>
      </c>
      <c r="F1548" s="516" t="s">
        <v>1232</v>
      </c>
      <c r="G1548" s="502"/>
      <c r="H1548" s="515" t="s">
        <v>65</v>
      </c>
      <c r="I1548" s="515">
        <v>1</v>
      </c>
      <c r="J1548" s="229" t="s">
        <v>49</v>
      </c>
      <c r="K1548" s="229"/>
      <c r="L1548" s="517"/>
      <c r="M1548" s="229"/>
      <c r="N1548" s="229"/>
      <c r="O1548" s="230"/>
      <c r="P1548" s="230"/>
      <c r="Q1548" s="132"/>
      <c r="R1548" s="94"/>
      <c r="AK1548"/>
      <c r="AL1548"/>
    </row>
    <row r="1549" spans="1:38" outlineLevel="1">
      <c r="A1549" s="36"/>
      <c r="B1549" s="456"/>
      <c r="C1549" s="500"/>
      <c r="D1549" s="387"/>
      <c r="E1549" s="188"/>
      <c r="F1549" s="388"/>
      <c r="G1549" s="455"/>
      <c r="H1549" s="387"/>
      <c r="I1549" s="387"/>
      <c r="J1549" s="212"/>
      <c r="K1549" s="212"/>
      <c r="L1549" s="392"/>
      <c r="M1549" s="279"/>
      <c r="N1549" s="279"/>
      <c r="O1549" s="333"/>
      <c r="P1549" s="333"/>
      <c r="Q1549" s="132"/>
      <c r="R1549" s="94"/>
    </row>
    <row r="1550" spans="1:38" outlineLevel="1">
      <c r="A1550" s="36"/>
      <c r="B1550" s="311"/>
      <c r="C1550" s="528" t="s">
        <v>863</v>
      </c>
      <c r="D1550" s="472"/>
      <c r="E1550" s="311">
        <v>12461841001</v>
      </c>
      <c r="F1550" s="529" t="s">
        <v>1233</v>
      </c>
      <c r="G1550" s="530"/>
      <c r="H1550" s="472" t="s">
        <v>65</v>
      </c>
      <c r="I1550" s="472">
        <v>1</v>
      </c>
      <c r="J1550" s="279" t="s">
        <v>49</v>
      </c>
      <c r="K1550" s="279"/>
      <c r="L1550" s="392"/>
      <c r="M1550" s="279"/>
      <c r="N1550" s="279"/>
      <c r="O1550" s="333"/>
      <c r="P1550" s="333"/>
      <c r="Q1550" s="132"/>
      <c r="R1550" s="94"/>
    </row>
    <row r="1551" spans="1:38" outlineLevel="1">
      <c r="A1551" s="36"/>
      <c r="B1551" s="311"/>
      <c r="C1551" s="528" t="s">
        <v>863</v>
      </c>
      <c r="D1551" s="472"/>
      <c r="E1551" s="311">
        <v>12457621001</v>
      </c>
      <c r="F1551" s="529" t="s">
        <v>1234</v>
      </c>
      <c r="G1551" s="530"/>
      <c r="H1551" s="472" t="s">
        <v>65</v>
      </c>
      <c r="I1551" s="472">
        <v>1</v>
      </c>
      <c r="J1551" s="279" t="s">
        <v>49</v>
      </c>
      <c r="K1551" s="279"/>
      <c r="L1551" s="392"/>
      <c r="M1551" s="279"/>
      <c r="N1551" s="279"/>
      <c r="O1551" s="333"/>
      <c r="P1551" s="333"/>
      <c r="Q1551" s="132"/>
      <c r="R1551" s="94"/>
    </row>
    <row r="1552" spans="1:38" outlineLevel="1">
      <c r="A1552" s="36"/>
      <c r="B1552" s="311"/>
      <c r="C1552" s="528" t="s">
        <v>863</v>
      </c>
      <c r="D1552" s="472"/>
      <c r="E1552" s="311">
        <v>12354251001</v>
      </c>
      <c r="F1552" s="529" t="s">
        <v>1235</v>
      </c>
      <c r="G1552" s="530"/>
      <c r="H1552" s="277" t="s">
        <v>65</v>
      </c>
      <c r="I1552" s="472"/>
      <c r="J1552" s="279" t="s">
        <v>49</v>
      </c>
      <c r="K1552" s="279"/>
      <c r="L1552" s="392"/>
      <c r="M1552" s="279"/>
      <c r="N1552" s="279"/>
      <c r="O1552" s="333"/>
      <c r="P1552" s="333"/>
      <c r="Q1552" s="132"/>
      <c r="R1552" s="94"/>
    </row>
    <row r="1553" spans="1:38" outlineLevel="1">
      <c r="A1553" s="36"/>
      <c r="B1553" s="311"/>
      <c r="C1553" s="528" t="s">
        <v>863</v>
      </c>
      <c r="D1553" s="472"/>
      <c r="E1553" s="311">
        <v>12354351001</v>
      </c>
      <c r="F1553" s="529" t="s">
        <v>1236</v>
      </c>
      <c r="G1553" s="530"/>
      <c r="H1553" s="277" t="s">
        <v>65</v>
      </c>
      <c r="I1553" s="472"/>
      <c r="J1553" s="279" t="s">
        <v>49</v>
      </c>
      <c r="K1553" s="279"/>
      <c r="L1553" s="392"/>
      <c r="M1553" s="279"/>
      <c r="N1553" s="279"/>
      <c r="O1553" s="333"/>
      <c r="P1553" s="333"/>
      <c r="Q1553" s="132"/>
      <c r="R1553" s="94"/>
    </row>
    <row r="1554" spans="1:38" outlineLevel="1">
      <c r="A1554" s="36"/>
      <c r="B1554" s="311"/>
      <c r="C1554" s="528" t="s">
        <v>863</v>
      </c>
      <c r="D1554" s="472"/>
      <c r="E1554" s="311">
        <v>12457721001</v>
      </c>
      <c r="F1554" s="529" t="s">
        <v>1237</v>
      </c>
      <c r="G1554" s="530"/>
      <c r="H1554" s="472" t="s">
        <v>65</v>
      </c>
      <c r="I1554" s="472">
        <v>1</v>
      </c>
      <c r="J1554" s="279" t="s">
        <v>49</v>
      </c>
      <c r="K1554" s="279"/>
      <c r="L1554" s="392"/>
      <c r="M1554" s="279"/>
      <c r="N1554" s="279"/>
      <c r="O1554" s="333"/>
      <c r="P1554" s="333"/>
      <c r="Q1554" s="132"/>
      <c r="R1554" s="94"/>
    </row>
    <row r="1555" spans="1:38" outlineLevel="1">
      <c r="A1555" s="36"/>
      <c r="B1555" s="311"/>
      <c r="C1555" s="528" t="s">
        <v>863</v>
      </c>
      <c r="D1555" s="472"/>
      <c r="E1555" s="311">
        <v>12457821001</v>
      </c>
      <c r="F1555" s="529" t="s">
        <v>1238</v>
      </c>
      <c r="G1555" s="530"/>
      <c r="H1555" s="472" t="s">
        <v>65</v>
      </c>
      <c r="I1555" s="472">
        <v>1</v>
      </c>
      <c r="J1555" s="279" t="s">
        <v>49</v>
      </c>
      <c r="K1555" s="279"/>
      <c r="L1555" s="392"/>
      <c r="M1555" s="279"/>
      <c r="N1555" s="279"/>
      <c r="O1555" s="333"/>
      <c r="P1555" s="333"/>
      <c r="Q1555" s="132"/>
      <c r="R1555" s="94"/>
    </row>
    <row r="1556" spans="1:38" outlineLevel="1">
      <c r="A1556" s="36"/>
      <c r="B1556" s="311"/>
      <c r="C1556" s="528" t="s">
        <v>863</v>
      </c>
      <c r="D1556" s="472"/>
      <c r="E1556" s="311">
        <v>12457921001</v>
      </c>
      <c r="F1556" s="529" t="s">
        <v>1239</v>
      </c>
      <c r="G1556" s="530"/>
      <c r="H1556" s="472" t="s">
        <v>65</v>
      </c>
      <c r="I1556" s="472">
        <v>1</v>
      </c>
      <c r="J1556" s="279" t="s">
        <v>49</v>
      </c>
      <c r="K1556" s="279"/>
      <c r="L1556" s="392"/>
      <c r="M1556" s="279"/>
      <c r="N1556" s="279"/>
      <c r="O1556" s="333"/>
      <c r="P1556" s="333"/>
      <c r="Q1556" s="132"/>
      <c r="R1556" s="94"/>
    </row>
    <row r="1557" spans="1:38" outlineLevel="1">
      <c r="A1557" s="36"/>
      <c r="B1557" s="311"/>
      <c r="C1557" s="528" t="s">
        <v>863</v>
      </c>
      <c r="D1557" s="472"/>
      <c r="E1557" s="311">
        <v>12458021001</v>
      </c>
      <c r="F1557" s="529" t="s">
        <v>1240</v>
      </c>
      <c r="G1557" s="530"/>
      <c r="H1557" s="472" t="s">
        <v>65</v>
      </c>
      <c r="I1557" s="472">
        <v>1</v>
      </c>
      <c r="J1557" s="279" t="s">
        <v>49</v>
      </c>
      <c r="K1557" s="279"/>
      <c r="L1557" s="392"/>
      <c r="M1557" s="279"/>
      <c r="N1557" s="279"/>
      <c r="O1557" s="333"/>
      <c r="P1557" s="333"/>
      <c r="Q1557" s="132"/>
      <c r="R1557" s="94"/>
    </row>
    <row r="1558" spans="1:38" outlineLevel="1">
      <c r="A1558" s="36"/>
      <c r="B1558" s="311"/>
      <c r="C1558" s="528" t="s">
        <v>863</v>
      </c>
      <c r="D1558" s="472"/>
      <c r="E1558" s="311">
        <v>12458121001</v>
      </c>
      <c r="F1558" s="529" t="s">
        <v>1241</v>
      </c>
      <c r="G1558" s="530"/>
      <c r="H1558" s="472" t="s">
        <v>65</v>
      </c>
      <c r="I1558" s="472">
        <v>1</v>
      </c>
      <c r="J1558" s="279" t="s">
        <v>49</v>
      </c>
      <c r="K1558" s="279"/>
      <c r="L1558" s="392"/>
      <c r="M1558" s="279"/>
      <c r="N1558" s="279"/>
      <c r="O1558" s="333"/>
      <c r="P1558" s="333"/>
      <c r="Q1558" s="132"/>
      <c r="R1558" s="94"/>
    </row>
    <row r="1559" spans="1:38" outlineLevel="1">
      <c r="A1559" s="36"/>
      <c r="B1559" s="311"/>
      <c r="C1559" s="528" t="s">
        <v>863</v>
      </c>
      <c r="D1559" s="472"/>
      <c r="E1559" s="311">
        <v>12458221001</v>
      </c>
      <c r="F1559" s="529" t="s">
        <v>1242</v>
      </c>
      <c r="G1559" s="530"/>
      <c r="H1559" s="472" t="s">
        <v>65</v>
      </c>
      <c r="I1559" s="472">
        <v>1</v>
      </c>
      <c r="J1559" s="279" t="s">
        <v>49</v>
      </c>
      <c r="K1559" s="279"/>
      <c r="L1559" s="392"/>
      <c r="M1559" s="279"/>
      <c r="N1559" s="279"/>
      <c r="O1559" s="333"/>
      <c r="P1559" s="333"/>
      <c r="Q1559" s="132"/>
      <c r="R1559" s="94"/>
    </row>
    <row r="1560" spans="1:38" outlineLevel="1">
      <c r="A1560" s="36"/>
      <c r="B1560" s="311"/>
      <c r="C1560" s="528" t="s">
        <v>863</v>
      </c>
      <c r="D1560" s="472"/>
      <c r="E1560" s="311">
        <v>12458321001</v>
      </c>
      <c r="F1560" s="529" t="s">
        <v>1243</v>
      </c>
      <c r="G1560" s="530"/>
      <c r="H1560" s="472" t="s">
        <v>65</v>
      </c>
      <c r="I1560" s="472">
        <v>1</v>
      </c>
      <c r="J1560" s="279" t="s">
        <v>49</v>
      </c>
      <c r="K1560" s="279"/>
      <c r="L1560" s="392"/>
      <c r="M1560" s="279"/>
      <c r="N1560" s="279"/>
      <c r="O1560" s="333"/>
      <c r="P1560" s="333"/>
      <c r="Q1560" s="132"/>
      <c r="R1560" s="94"/>
    </row>
    <row r="1561" spans="1:38" outlineLevel="1">
      <c r="A1561" s="36"/>
      <c r="B1561" s="311"/>
      <c r="C1561" s="528" t="s">
        <v>863</v>
      </c>
      <c r="D1561" s="472"/>
      <c r="E1561" s="311">
        <v>12458421001</v>
      </c>
      <c r="F1561" s="529" t="s">
        <v>1244</v>
      </c>
      <c r="G1561" s="530"/>
      <c r="H1561" s="472" t="s">
        <v>65</v>
      </c>
      <c r="I1561" s="472">
        <v>1</v>
      </c>
      <c r="J1561" s="279" t="s">
        <v>49</v>
      </c>
      <c r="K1561" s="279"/>
      <c r="L1561" s="392"/>
      <c r="M1561" s="279"/>
      <c r="N1561" s="279"/>
      <c r="O1561" s="333"/>
      <c r="P1561" s="333"/>
      <c r="Q1561" s="132"/>
      <c r="R1561" s="94"/>
    </row>
    <row r="1562" spans="1:38" outlineLevel="1">
      <c r="A1562" s="36"/>
      <c r="B1562" s="311"/>
      <c r="C1562" s="528" t="s">
        <v>863</v>
      </c>
      <c r="D1562" s="472"/>
      <c r="E1562" s="311">
        <v>12458521001</v>
      </c>
      <c r="F1562" s="529" t="s">
        <v>1245</v>
      </c>
      <c r="G1562" s="530"/>
      <c r="H1562" s="472" t="s">
        <v>65</v>
      </c>
      <c r="I1562" s="472">
        <v>1</v>
      </c>
      <c r="J1562" s="279" t="s">
        <v>49</v>
      </c>
      <c r="K1562" s="279"/>
      <c r="L1562" s="392"/>
      <c r="M1562" s="279"/>
      <c r="N1562" s="279"/>
      <c r="O1562" s="333"/>
      <c r="P1562" s="333"/>
      <c r="Q1562" s="132"/>
      <c r="R1562" s="94"/>
    </row>
    <row r="1563" spans="1:38" outlineLevel="1">
      <c r="A1563" s="36"/>
      <c r="B1563" s="311"/>
      <c r="C1563" s="528" t="s">
        <v>863</v>
      </c>
      <c r="D1563" s="472"/>
      <c r="E1563" s="311">
        <v>12458621001</v>
      </c>
      <c r="F1563" s="529" t="s">
        <v>1246</v>
      </c>
      <c r="G1563" s="530"/>
      <c r="H1563" s="472" t="s">
        <v>65</v>
      </c>
      <c r="I1563" s="472">
        <v>1</v>
      </c>
      <c r="J1563" s="279" t="s">
        <v>49</v>
      </c>
      <c r="K1563" s="279"/>
      <c r="L1563" s="392"/>
      <c r="M1563" s="279"/>
      <c r="N1563" s="279"/>
      <c r="O1563" s="333"/>
      <c r="P1563" s="333"/>
      <c r="Q1563" s="132"/>
      <c r="R1563" s="94"/>
    </row>
    <row r="1564" spans="1:38" outlineLevel="1">
      <c r="A1564" s="36"/>
      <c r="B1564" s="311"/>
      <c r="C1564" s="528" t="s">
        <v>863</v>
      </c>
      <c r="D1564" s="472"/>
      <c r="E1564" s="311">
        <v>12458721001</v>
      </c>
      <c r="F1564" s="529" t="s">
        <v>1247</v>
      </c>
      <c r="G1564" s="530"/>
      <c r="H1564" s="472" t="s">
        <v>65</v>
      </c>
      <c r="I1564" s="472">
        <v>1</v>
      </c>
      <c r="J1564" s="279" t="s">
        <v>49</v>
      </c>
      <c r="K1564" s="279"/>
      <c r="L1564" s="392"/>
      <c r="M1564" s="279"/>
      <c r="N1564" s="279"/>
      <c r="O1564" s="333"/>
      <c r="P1564" s="333"/>
      <c r="Q1564" s="132"/>
      <c r="R1564" s="94"/>
    </row>
    <row r="1565" spans="1:38" outlineLevel="1">
      <c r="A1565" s="36"/>
      <c r="B1565" s="311"/>
      <c r="C1565" s="528" t="s">
        <v>863</v>
      </c>
      <c r="D1565" s="472"/>
      <c r="E1565" s="311">
        <v>12458821001</v>
      </c>
      <c r="F1565" s="529" t="s">
        <v>1248</v>
      </c>
      <c r="G1565" s="530"/>
      <c r="H1565" s="472" t="s">
        <v>65</v>
      </c>
      <c r="I1565" s="472">
        <v>1</v>
      </c>
      <c r="J1565" s="279" t="s">
        <v>49</v>
      </c>
      <c r="K1565" s="279"/>
      <c r="L1565" s="392"/>
      <c r="M1565" s="279"/>
      <c r="N1565" s="279"/>
      <c r="O1565" s="333"/>
      <c r="P1565" s="333"/>
      <c r="Q1565" s="132"/>
      <c r="R1565" s="94"/>
    </row>
    <row r="1566" spans="1:38" outlineLevel="1">
      <c r="A1566" s="36"/>
      <c r="B1566" s="311"/>
      <c r="C1566" s="528" t="s">
        <v>863</v>
      </c>
      <c r="D1566" s="472"/>
      <c r="E1566" s="311">
        <v>12458921001</v>
      </c>
      <c r="F1566" s="529" t="s">
        <v>1249</v>
      </c>
      <c r="G1566" s="530"/>
      <c r="H1566" s="472" t="s">
        <v>65</v>
      </c>
      <c r="I1566" s="472">
        <v>1</v>
      </c>
      <c r="J1566" s="279" t="s">
        <v>49</v>
      </c>
      <c r="K1566" s="279"/>
      <c r="L1566" s="392"/>
      <c r="M1566" s="279"/>
      <c r="N1566" s="279"/>
      <c r="O1566" s="333"/>
      <c r="P1566" s="333"/>
      <c r="Q1566" s="132"/>
      <c r="R1566" s="94"/>
    </row>
    <row r="1567" spans="1:38" outlineLevel="1">
      <c r="A1567" s="36"/>
      <c r="B1567" s="311"/>
      <c r="C1567" s="528" t="s">
        <v>863</v>
      </c>
      <c r="D1567" s="472"/>
      <c r="E1567" s="311">
        <v>12459021001</v>
      </c>
      <c r="F1567" s="529" t="s">
        <v>1250</v>
      </c>
      <c r="G1567" s="530"/>
      <c r="H1567" s="472" t="s">
        <v>65</v>
      </c>
      <c r="I1567" s="472">
        <v>1</v>
      </c>
      <c r="J1567" s="279" t="s">
        <v>49</v>
      </c>
      <c r="K1567" s="279"/>
      <c r="L1567" s="392"/>
      <c r="M1567" s="279"/>
      <c r="N1567" s="279"/>
      <c r="O1567" s="333"/>
      <c r="P1567" s="333"/>
      <c r="Q1567" s="132"/>
      <c r="R1567" s="96"/>
    </row>
    <row r="1568" spans="1:38" outlineLevel="1">
      <c r="A1568" s="36"/>
      <c r="B1568" s="311"/>
      <c r="C1568" s="528" t="s">
        <v>863</v>
      </c>
      <c r="D1568" s="472"/>
      <c r="E1568" s="311">
        <v>12468021001</v>
      </c>
      <c r="F1568" s="529" t="s">
        <v>1251</v>
      </c>
      <c r="G1568" s="530"/>
      <c r="H1568" s="472" t="s">
        <v>65</v>
      </c>
      <c r="I1568" s="472">
        <v>1</v>
      </c>
      <c r="J1568" s="279" t="s">
        <v>49</v>
      </c>
      <c r="K1568" s="279"/>
      <c r="L1568" s="392"/>
      <c r="M1568" s="279"/>
      <c r="N1568" s="279"/>
      <c r="O1568" s="333"/>
      <c r="P1568" s="333"/>
      <c r="Q1568" s="132"/>
      <c r="R1568" s="94"/>
      <c r="AL1568" s="74"/>
    </row>
    <row r="1569" spans="1:38" outlineLevel="1">
      <c r="A1569" s="36"/>
      <c r="B1569" s="311"/>
      <c r="C1569" s="528" t="s">
        <v>863</v>
      </c>
      <c r="D1569" s="472"/>
      <c r="E1569" s="311">
        <v>12454521001</v>
      </c>
      <c r="F1569" s="529" t="s">
        <v>1252</v>
      </c>
      <c r="G1569" s="530"/>
      <c r="H1569" s="472" t="s">
        <v>65</v>
      </c>
      <c r="I1569" s="472">
        <v>1</v>
      </c>
      <c r="J1569" s="279" t="s">
        <v>49</v>
      </c>
      <c r="K1569" s="279"/>
      <c r="L1569" s="392"/>
      <c r="M1569" s="279"/>
      <c r="N1569" s="279"/>
      <c r="O1569" s="333"/>
      <c r="P1569" s="333"/>
      <c r="Q1569" s="132"/>
      <c r="R1569" s="94"/>
      <c r="AL1569" s="74"/>
    </row>
    <row r="1570" spans="1:38" outlineLevel="1">
      <c r="A1570" s="36"/>
      <c r="B1570" s="456"/>
      <c r="C1570" s="500"/>
      <c r="D1570" s="387"/>
      <c r="E1570" s="188"/>
      <c r="F1570" s="388"/>
      <c r="G1570" s="455"/>
      <c r="H1570" s="387"/>
      <c r="I1570" s="387"/>
      <c r="J1570" s="212"/>
      <c r="K1570" s="212"/>
      <c r="L1570" s="392"/>
      <c r="M1570" s="279"/>
      <c r="N1570" s="279"/>
      <c r="O1570" s="333"/>
      <c r="P1570" s="333"/>
      <c r="Q1570" s="132"/>
      <c r="R1570" s="94"/>
      <c r="AL1570" s="74"/>
    </row>
    <row r="1571" spans="1:38" s="74" customFormat="1" outlineLevel="1">
      <c r="A1571" s="156"/>
      <c r="B1571" s="225" t="s">
        <v>52</v>
      </c>
      <c r="C1571" s="514" t="s">
        <v>863</v>
      </c>
      <c r="D1571" s="515"/>
      <c r="E1571" s="225">
        <v>12450371001</v>
      </c>
      <c r="F1571" s="516" t="s">
        <v>1253</v>
      </c>
      <c r="G1571" s="502"/>
      <c r="H1571" s="515" t="s">
        <v>65</v>
      </c>
      <c r="I1571" s="515">
        <v>1</v>
      </c>
      <c r="J1571" s="229" t="s">
        <v>49</v>
      </c>
      <c r="K1571" s="229"/>
      <c r="L1571" s="517"/>
      <c r="M1571" s="229"/>
      <c r="N1571" s="229"/>
      <c r="O1571" s="230"/>
      <c r="P1571" s="230"/>
      <c r="Q1571" s="132"/>
      <c r="R1571" s="94"/>
      <c r="AK1571"/>
    </row>
    <row r="1572" spans="1:38" s="74" customFormat="1" outlineLevel="1">
      <c r="A1572" s="156"/>
      <c r="B1572" s="225" t="s">
        <v>52</v>
      </c>
      <c r="C1572" s="514" t="s">
        <v>863</v>
      </c>
      <c r="D1572" s="515"/>
      <c r="E1572" s="225">
        <v>12450471001</v>
      </c>
      <c r="F1572" s="516" t="s">
        <v>1254</v>
      </c>
      <c r="G1572" s="502"/>
      <c r="H1572" s="515" t="s">
        <v>65</v>
      </c>
      <c r="I1572" s="515">
        <v>1</v>
      </c>
      <c r="J1572" s="229" t="s">
        <v>49</v>
      </c>
      <c r="K1572" s="229"/>
      <c r="L1572" s="517"/>
      <c r="M1572" s="229"/>
      <c r="N1572" s="229"/>
      <c r="O1572" s="230"/>
      <c r="P1572" s="230"/>
      <c r="Q1572" s="132"/>
      <c r="R1572" s="94"/>
      <c r="AK1572"/>
    </row>
    <row r="1573" spans="1:38" s="74" customFormat="1" outlineLevel="1">
      <c r="A1573" s="156"/>
      <c r="B1573" s="225" t="s">
        <v>52</v>
      </c>
      <c r="C1573" s="514" t="s">
        <v>863</v>
      </c>
      <c r="D1573" s="515"/>
      <c r="E1573" s="225">
        <v>12450571001</v>
      </c>
      <c r="F1573" s="516" t="s">
        <v>1255</v>
      </c>
      <c r="G1573" s="502"/>
      <c r="H1573" s="515" t="s">
        <v>65</v>
      </c>
      <c r="I1573" s="515">
        <v>1</v>
      </c>
      <c r="J1573" s="229" t="s">
        <v>49</v>
      </c>
      <c r="K1573" s="229"/>
      <c r="L1573" s="517"/>
      <c r="M1573" s="229"/>
      <c r="N1573" s="229"/>
      <c r="O1573" s="230"/>
      <c r="P1573" s="230"/>
      <c r="Q1573" s="132"/>
      <c r="R1573" s="94"/>
      <c r="AK1573"/>
    </row>
    <row r="1574" spans="1:38" s="74" customFormat="1" outlineLevel="1">
      <c r="A1574" s="156"/>
      <c r="B1574" s="225" t="s">
        <v>52</v>
      </c>
      <c r="C1574" s="514" t="s">
        <v>863</v>
      </c>
      <c r="D1574" s="515"/>
      <c r="E1574" s="225">
        <v>12450671001</v>
      </c>
      <c r="F1574" s="516" t="s">
        <v>1256</v>
      </c>
      <c r="G1574" s="502"/>
      <c r="H1574" s="515" t="s">
        <v>65</v>
      </c>
      <c r="I1574" s="515">
        <v>1</v>
      </c>
      <c r="J1574" s="229" t="s">
        <v>49</v>
      </c>
      <c r="K1574" s="229"/>
      <c r="L1574" s="517"/>
      <c r="M1574" s="229"/>
      <c r="N1574" s="229"/>
      <c r="O1574" s="230"/>
      <c r="P1574" s="230"/>
      <c r="Q1574" s="132"/>
      <c r="R1574" s="94"/>
      <c r="AK1574"/>
    </row>
    <row r="1575" spans="1:38" s="74" customFormat="1" outlineLevel="1">
      <c r="A1575" s="156"/>
      <c r="B1575" s="225" t="s">
        <v>52</v>
      </c>
      <c r="C1575" s="514" t="s">
        <v>863</v>
      </c>
      <c r="D1575" s="515"/>
      <c r="E1575" s="225">
        <v>12450771001</v>
      </c>
      <c r="F1575" s="516" t="s">
        <v>1257</v>
      </c>
      <c r="G1575" s="502"/>
      <c r="H1575" s="515" t="s">
        <v>65</v>
      </c>
      <c r="I1575" s="515">
        <v>1</v>
      </c>
      <c r="J1575" s="229" t="s">
        <v>49</v>
      </c>
      <c r="K1575" s="229"/>
      <c r="L1575" s="517"/>
      <c r="M1575" s="229"/>
      <c r="N1575" s="229"/>
      <c r="O1575" s="230"/>
      <c r="P1575" s="230"/>
      <c r="Q1575" s="132"/>
      <c r="R1575" s="94"/>
      <c r="AK1575"/>
    </row>
    <row r="1576" spans="1:38" s="74" customFormat="1" outlineLevel="1">
      <c r="A1576" s="156"/>
      <c r="B1576" s="225" t="s">
        <v>52</v>
      </c>
      <c r="C1576" s="514" t="s">
        <v>863</v>
      </c>
      <c r="D1576" s="515"/>
      <c r="E1576" s="225">
        <v>12450871001</v>
      </c>
      <c r="F1576" s="516" t="s">
        <v>1258</v>
      </c>
      <c r="G1576" s="502"/>
      <c r="H1576" s="515" t="s">
        <v>65</v>
      </c>
      <c r="I1576" s="515">
        <v>1</v>
      </c>
      <c r="J1576" s="229" t="s">
        <v>49</v>
      </c>
      <c r="K1576" s="229"/>
      <c r="L1576" s="517"/>
      <c r="M1576" s="229"/>
      <c r="N1576" s="229"/>
      <c r="O1576" s="230"/>
      <c r="P1576" s="230"/>
      <c r="Q1576" s="132"/>
      <c r="R1576" s="97"/>
      <c r="AK1576"/>
      <c r="AL1576"/>
    </row>
    <row r="1577" spans="1:38" s="74" customFormat="1" outlineLevel="1">
      <c r="A1577" s="156"/>
      <c r="B1577" s="225" t="s">
        <v>52</v>
      </c>
      <c r="C1577" s="514" t="s">
        <v>863</v>
      </c>
      <c r="D1577" s="515"/>
      <c r="E1577" s="225">
        <v>12450971001</v>
      </c>
      <c r="F1577" s="516" t="s">
        <v>1259</v>
      </c>
      <c r="G1577" s="502"/>
      <c r="H1577" s="515" t="s">
        <v>65</v>
      </c>
      <c r="I1577" s="515">
        <v>1</v>
      </c>
      <c r="J1577" s="229" t="s">
        <v>49</v>
      </c>
      <c r="K1577" s="229"/>
      <c r="L1577" s="517"/>
      <c r="M1577" s="229"/>
      <c r="N1577" s="229"/>
      <c r="O1577" s="230"/>
      <c r="P1577" s="230"/>
      <c r="Q1577" s="132"/>
      <c r="R1577" s="94"/>
      <c r="AK1577"/>
      <c r="AL1577"/>
    </row>
    <row r="1578" spans="1:38" s="74" customFormat="1" outlineLevel="1">
      <c r="A1578" s="156"/>
      <c r="B1578" s="225" t="s">
        <v>52</v>
      </c>
      <c r="C1578" s="514" t="s">
        <v>863</v>
      </c>
      <c r="D1578" s="515"/>
      <c r="E1578" s="225">
        <v>12451071001</v>
      </c>
      <c r="F1578" s="516" t="s">
        <v>1260</v>
      </c>
      <c r="G1578" s="502"/>
      <c r="H1578" s="515" t="s">
        <v>65</v>
      </c>
      <c r="I1578" s="515">
        <v>1</v>
      </c>
      <c r="J1578" s="229" t="s">
        <v>49</v>
      </c>
      <c r="K1578" s="229"/>
      <c r="L1578" s="517"/>
      <c r="M1578" s="229"/>
      <c r="N1578" s="229"/>
      <c r="O1578" s="230"/>
      <c r="P1578" s="230"/>
      <c r="Q1578" s="132"/>
      <c r="R1578" s="94"/>
      <c r="AK1578"/>
      <c r="AL1578"/>
    </row>
    <row r="1579" spans="1:38" outlineLevel="1">
      <c r="A1579" s="36"/>
      <c r="B1579" s="456"/>
      <c r="C1579" s="500"/>
      <c r="D1579" s="387"/>
      <c r="E1579" s="188"/>
      <c r="F1579" s="388"/>
      <c r="G1579" s="455"/>
      <c r="H1579" s="387"/>
      <c r="I1579" s="387"/>
      <c r="J1579" s="212"/>
      <c r="K1579" s="212"/>
      <c r="L1579" s="392"/>
      <c r="M1579" s="279"/>
      <c r="N1579" s="279"/>
      <c r="O1579" s="333"/>
      <c r="P1579" s="333"/>
      <c r="Q1579" s="132"/>
      <c r="R1579" s="94"/>
    </row>
    <row r="1580" spans="1:38" outlineLevel="1">
      <c r="A1580" s="36"/>
      <c r="B1580" s="311"/>
      <c r="C1580" s="528" t="s">
        <v>863</v>
      </c>
      <c r="D1580" s="472"/>
      <c r="E1580" s="311">
        <v>12461941001</v>
      </c>
      <c r="F1580" s="529" t="s">
        <v>1261</v>
      </c>
      <c r="G1580" s="530"/>
      <c r="H1580" s="472" t="s">
        <v>65</v>
      </c>
      <c r="I1580" s="472">
        <v>1</v>
      </c>
      <c r="J1580" s="279" t="s">
        <v>49</v>
      </c>
      <c r="K1580" s="279"/>
      <c r="L1580" s="392"/>
      <c r="M1580" s="279"/>
      <c r="N1580" s="279"/>
      <c r="O1580" s="333"/>
      <c r="P1580" s="333"/>
      <c r="Q1580" s="132"/>
      <c r="R1580" s="94"/>
    </row>
    <row r="1581" spans="1:38" outlineLevel="1">
      <c r="A1581" s="36"/>
      <c r="B1581" s="311"/>
      <c r="C1581" s="528" t="s">
        <v>863</v>
      </c>
      <c r="D1581" s="472"/>
      <c r="E1581" s="311">
        <v>12459121001</v>
      </c>
      <c r="F1581" s="529" t="s">
        <v>1262</v>
      </c>
      <c r="G1581" s="530"/>
      <c r="H1581" s="472" t="s">
        <v>65</v>
      </c>
      <c r="I1581" s="472">
        <v>1</v>
      </c>
      <c r="J1581" s="279" t="s">
        <v>49</v>
      </c>
      <c r="K1581" s="279"/>
      <c r="L1581" s="392"/>
      <c r="M1581" s="279"/>
      <c r="N1581" s="279"/>
      <c r="O1581" s="333"/>
      <c r="P1581" s="333"/>
      <c r="Q1581" s="132"/>
      <c r="R1581" s="94"/>
    </row>
    <row r="1582" spans="1:38" outlineLevel="1">
      <c r="A1582" s="36"/>
      <c r="B1582" s="311"/>
      <c r="C1582" s="528" t="s">
        <v>863</v>
      </c>
      <c r="D1582" s="472"/>
      <c r="E1582" s="311">
        <v>12459221001</v>
      </c>
      <c r="F1582" s="529" t="s">
        <v>1263</v>
      </c>
      <c r="G1582" s="530"/>
      <c r="H1582" s="472" t="s">
        <v>65</v>
      </c>
      <c r="I1582" s="472">
        <v>1</v>
      </c>
      <c r="J1582" s="279" t="s">
        <v>49</v>
      </c>
      <c r="K1582" s="279"/>
      <c r="L1582" s="392"/>
      <c r="M1582" s="279"/>
      <c r="N1582" s="279"/>
      <c r="O1582" s="333"/>
      <c r="P1582" s="333"/>
      <c r="Q1582" s="132"/>
      <c r="R1582" s="94"/>
    </row>
    <row r="1583" spans="1:38" outlineLevel="1">
      <c r="A1583" s="36"/>
      <c r="B1583" s="311"/>
      <c r="C1583" s="528" t="s">
        <v>863</v>
      </c>
      <c r="D1583" s="472"/>
      <c r="E1583" s="311">
        <v>12459321001</v>
      </c>
      <c r="F1583" s="529" t="s">
        <v>1264</v>
      </c>
      <c r="G1583" s="530"/>
      <c r="H1583" s="472" t="s">
        <v>65</v>
      </c>
      <c r="I1583" s="472">
        <v>1</v>
      </c>
      <c r="J1583" s="279" t="s">
        <v>49</v>
      </c>
      <c r="K1583" s="279"/>
      <c r="L1583" s="392"/>
      <c r="M1583" s="279"/>
      <c r="N1583" s="279"/>
      <c r="O1583" s="333"/>
      <c r="P1583" s="333"/>
      <c r="Q1583" s="132"/>
      <c r="R1583" s="94"/>
    </row>
    <row r="1584" spans="1:38" outlineLevel="1">
      <c r="A1584" s="36"/>
      <c r="B1584" s="311"/>
      <c r="C1584" s="528" t="s">
        <v>863</v>
      </c>
      <c r="D1584" s="472"/>
      <c r="E1584" s="311">
        <v>12459421001</v>
      </c>
      <c r="F1584" s="529" t="s">
        <v>1265</v>
      </c>
      <c r="G1584" s="530"/>
      <c r="H1584" s="472" t="s">
        <v>65</v>
      </c>
      <c r="I1584" s="472">
        <v>1</v>
      </c>
      <c r="J1584" s="279" t="s">
        <v>49</v>
      </c>
      <c r="K1584" s="279"/>
      <c r="L1584" s="392"/>
      <c r="M1584" s="279"/>
      <c r="N1584" s="279"/>
      <c r="O1584" s="333"/>
      <c r="P1584" s="333"/>
      <c r="Q1584" s="132"/>
      <c r="R1584" s="94"/>
    </row>
    <row r="1585" spans="1:18" outlineLevel="1">
      <c r="A1585" s="36"/>
      <c r="B1585" s="311"/>
      <c r="C1585" s="528" t="s">
        <v>863</v>
      </c>
      <c r="D1585" s="472"/>
      <c r="E1585" s="311">
        <v>12459521001</v>
      </c>
      <c r="F1585" s="529" t="s">
        <v>1266</v>
      </c>
      <c r="G1585" s="530"/>
      <c r="H1585" s="472" t="s">
        <v>65</v>
      </c>
      <c r="I1585" s="472">
        <v>1</v>
      </c>
      <c r="J1585" s="279" t="s">
        <v>49</v>
      </c>
      <c r="K1585" s="279"/>
      <c r="L1585" s="392"/>
      <c r="M1585" s="279"/>
      <c r="N1585" s="279"/>
      <c r="O1585" s="333"/>
      <c r="P1585" s="333"/>
      <c r="Q1585" s="132"/>
      <c r="R1585" s="94"/>
    </row>
    <row r="1586" spans="1:18" outlineLevel="1">
      <c r="A1586" s="36"/>
      <c r="B1586" s="311"/>
      <c r="C1586" s="528" t="s">
        <v>863</v>
      </c>
      <c r="D1586" s="472"/>
      <c r="E1586" s="311">
        <v>12459621001</v>
      </c>
      <c r="F1586" s="529" t="s">
        <v>1267</v>
      </c>
      <c r="G1586" s="530"/>
      <c r="H1586" s="472" t="s">
        <v>65</v>
      </c>
      <c r="I1586" s="472">
        <v>1</v>
      </c>
      <c r="J1586" s="279" t="s">
        <v>49</v>
      </c>
      <c r="K1586" s="279"/>
      <c r="L1586" s="392"/>
      <c r="M1586" s="279"/>
      <c r="N1586" s="279"/>
      <c r="O1586" s="333"/>
      <c r="P1586" s="333"/>
      <c r="Q1586" s="132"/>
      <c r="R1586" s="94"/>
    </row>
    <row r="1587" spans="1:18" outlineLevel="1">
      <c r="A1587" s="36"/>
      <c r="B1587" s="311"/>
      <c r="C1587" s="528" t="s">
        <v>863</v>
      </c>
      <c r="D1587" s="472"/>
      <c r="E1587" s="311">
        <v>12459721001</v>
      </c>
      <c r="F1587" s="529" t="s">
        <v>1268</v>
      </c>
      <c r="G1587" s="530"/>
      <c r="H1587" s="472" t="s">
        <v>65</v>
      </c>
      <c r="I1587" s="472">
        <v>1</v>
      </c>
      <c r="J1587" s="279" t="s">
        <v>49</v>
      </c>
      <c r="K1587" s="279"/>
      <c r="L1587" s="392"/>
      <c r="M1587" s="279"/>
      <c r="N1587" s="279"/>
      <c r="O1587" s="333"/>
      <c r="P1587" s="333"/>
      <c r="Q1587" s="132"/>
      <c r="R1587" s="96"/>
    </row>
    <row r="1588" spans="1:18" outlineLevel="1">
      <c r="A1588" s="36"/>
      <c r="B1588" s="311"/>
      <c r="C1588" s="528" t="s">
        <v>863</v>
      </c>
      <c r="D1588" s="472"/>
      <c r="E1588" s="311">
        <v>12459821001</v>
      </c>
      <c r="F1588" s="529" t="s">
        <v>1269</v>
      </c>
      <c r="G1588" s="530"/>
      <c r="H1588" s="472" t="s">
        <v>65</v>
      </c>
      <c r="I1588" s="472">
        <v>1</v>
      </c>
      <c r="J1588" s="279" t="s">
        <v>49</v>
      </c>
      <c r="K1588" s="279"/>
      <c r="L1588" s="392"/>
      <c r="M1588" s="279"/>
      <c r="N1588" s="279"/>
      <c r="O1588" s="333"/>
      <c r="P1588" s="333"/>
      <c r="Q1588" s="132"/>
      <c r="R1588" s="94"/>
    </row>
    <row r="1589" spans="1:18" outlineLevel="1">
      <c r="A1589" s="36"/>
      <c r="B1589" s="311"/>
      <c r="C1589" s="528" t="s">
        <v>863</v>
      </c>
      <c r="D1589" s="472"/>
      <c r="E1589" s="311">
        <v>12459921001</v>
      </c>
      <c r="F1589" s="529" t="s">
        <v>1270</v>
      </c>
      <c r="G1589" s="530"/>
      <c r="H1589" s="472" t="s">
        <v>65</v>
      </c>
      <c r="I1589" s="472">
        <v>1</v>
      </c>
      <c r="J1589" s="279" t="s">
        <v>49</v>
      </c>
      <c r="K1589" s="279"/>
      <c r="L1589" s="392"/>
      <c r="M1589" s="279"/>
      <c r="N1589" s="279"/>
      <c r="O1589" s="333"/>
      <c r="P1589" s="333"/>
      <c r="Q1589" s="132"/>
      <c r="R1589" s="94"/>
    </row>
    <row r="1590" spans="1:18" outlineLevel="1">
      <c r="A1590" s="36"/>
      <c r="B1590" s="456"/>
      <c r="C1590" s="500"/>
      <c r="D1590" s="387"/>
      <c r="E1590" s="188"/>
      <c r="F1590" s="388"/>
      <c r="G1590" s="455"/>
      <c r="H1590" s="387"/>
      <c r="I1590" s="387"/>
      <c r="J1590" s="212"/>
      <c r="K1590" s="212"/>
      <c r="L1590" s="392"/>
      <c r="M1590" s="279"/>
      <c r="N1590" s="279"/>
      <c r="O1590" s="333"/>
      <c r="P1590" s="333"/>
      <c r="Q1590" s="132"/>
      <c r="R1590" s="94"/>
    </row>
    <row r="1591" spans="1:18" outlineLevel="1">
      <c r="A1591" s="36"/>
      <c r="B1591" s="311"/>
      <c r="C1591" s="528" t="s">
        <v>863</v>
      </c>
      <c r="D1591" s="472"/>
      <c r="E1591" s="311">
        <v>12451221001</v>
      </c>
      <c r="F1591" s="529" t="s">
        <v>1271</v>
      </c>
      <c r="G1591" s="530"/>
      <c r="H1591" s="472" t="s">
        <v>65</v>
      </c>
      <c r="I1591" s="472">
        <v>1</v>
      </c>
      <c r="J1591" s="279" t="s">
        <v>49</v>
      </c>
      <c r="K1591" s="279"/>
      <c r="L1591" s="392"/>
      <c r="M1591" s="279"/>
      <c r="N1591" s="279"/>
      <c r="O1591" s="333"/>
      <c r="P1591" s="333"/>
      <c r="Q1591" s="132"/>
      <c r="R1591" s="94"/>
    </row>
    <row r="1592" spans="1:18" outlineLevel="1">
      <c r="A1592" s="36"/>
      <c r="B1592" s="311"/>
      <c r="C1592" s="528" t="s">
        <v>863</v>
      </c>
      <c r="D1592" s="472"/>
      <c r="E1592" s="311">
        <v>12451321001</v>
      </c>
      <c r="F1592" s="529" t="s">
        <v>1272</v>
      </c>
      <c r="G1592" s="530"/>
      <c r="H1592" s="472" t="s">
        <v>65</v>
      </c>
      <c r="I1592" s="472">
        <v>1</v>
      </c>
      <c r="J1592" s="279" t="s">
        <v>49</v>
      </c>
      <c r="K1592" s="279"/>
      <c r="L1592" s="392"/>
      <c r="M1592" s="279"/>
      <c r="N1592" s="279"/>
      <c r="O1592" s="333"/>
      <c r="P1592" s="333"/>
      <c r="Q1592" s="132"/>
      <c r="R1592" s="94"/>
    </row>
    <row r="1593" spans="1:18" outlineLevel="1">
      <c r="A1593" s="36"/>
      <c r="B1593" s="311"/>
      <c r="C1593" s="528" t="s">
        <v>863</v>
      </c>
      <c r="D1593" s="472"/>
      <c r="E1593" s="311">
        <v>12451421001</v>
      </c>
      <c r="F1593" s="529" t="s">
        <v>1273</v>
      </c>
      <c r="G1593" s="530"/>
      <c r="H1593" s="472" t="s">
        <v>65</v>
      </c>
      <c r="I1593" s="472">
        <v>1</v>
      </c>
      <c r="J1593" s="279" t="s">
        <v>49</v>
      </c>
      <c r="K1593" s="279"/>
      <c r="L1593" s="392"/>
      <c r="M1593" s="279"/>
      <c r="N1593" s="279"/>
      <c r="O1593" s="333"/>
      <c r="P1593" s="333"/>
      <c r="Q1593" s="132"/>
      <c r="R1593" s="94"/>
    </row>
    <row r="1594" spans="1:18" outlineLevel="1">
      <c r="A1594" s="36"/>
      <c r="B1594" s="311"/>
      <c r="C1594" s="528" t="s">
        <v>863</v>
      </c>
      <c r="D1594" s="472"/>
      <c r="E1594" s="311">
        <v>12451521001</v>
      </c>
      <c r="F1594" s="529" t="s">
        <v>1274</v>
      </c>
      <c r="G1594" s="530"/>
      <c r="H1594" s="472" t="s">
        <v>65</v>
      </c>
      <c r="I1594" s="472">
        <v>1</v>
      </c>
      <c r="J1594" s="279" t="s">
        <v>49</v>
      </c>
      <c r="K1594" s="279"/>
      <c r="L1594" s="392"/>
      <c r="M1594" s="279"/>
      <c r="N1594" s="279"/>
      <c r="O1594" s="333"/>
      <c r="P1594" s="333"/>
      <c r="Q1594" s="132"/>
      <c r="R1594" s="94"/>
    </row>
    <row r="1595" spans="1:18" outlineLevel="1">
      <c r="A1595" s="36"/>
      <c r="B1595" s="311"/>
      <c r="C1595" s="528" t="s">
        <v>863</v>
      </c>
      <c r="D1595" s="472"/>
      <c r="E1595" s="311">
        <v>12451621001</v>
      </c>
      <c r="F1595" s="529" t="s">
        <v>1275</v>
      </c>
      <c r="G1595" s="530"/>
      <c r="H1595" s="472" t="s">
        <v>65</v>
      </c>
      <c r="I1595" s="472">
        <v>1</v>
      </c>
      <c r="J1595" s="279" t="s">
        <v>49</v>
      </c>
      <c r="K1595" s="279"/>
      <c r="L1595" s="392"/>
      <c r="M1595" s="279"/>
      <c r="N1595" s="279"/>
      <c r="O1595" s="333"/>
      <c r="P1595" s="333"/>
      <c r="Q1595" s="132"/>
      <c r="R1595" s="94"/>
    </row>
    <row r="1596" spans="1:18" outlineLevel="1">
      <c r="A1596" s="36"/>
      <c r="B1596" s="311"/>
      <c r="C1596" s="528" t="s">
        <v>863</v>
      </c>
      <c r="D1596" s="472"/>
      <c r="E1596" s="311">
        <v>12451721001</v>
      </c>
      <c r="F1596" s="529" t="s">
        <v>1276</v>
      </c>
      <c r="G1596" s="530"/>
      <c r="H1596" s="472" t="s">
        <v>65</v>
      </c>
      <c r="I1596" s="472">
        <v>1</v>
      </c>
      <c r="J1596" s="279" t="s">
        <v>49</v>
      </c>
      <c r="K1596" s="279"/>
      <c r="L1596" s="392"/>
      <c r="M1596" s="279"/>
      <c r="N1596" s="279"/>
      <c r="O1596" s="333"/>
      <c r="P1596" s="333"/>
      <c r="Q1596" s="132"/>
      <c r="R1596" s="94"/>
    </row>
    <row r="1597" spans="1:18" outlineLevel="1">
      <c r="A1597" s="36"/>
      <c r="B1597" s="311"/>
      <c r="C1597" s="528" t="s">
        <v>863</v>
      </c>
      <c r="D1597" s="472"/>
      <c r="E1597" s="311">
        <v>12451821001</v>
      </c>
      <c r="F1597" s="529" t="s">
        <v>1277</v>
      </c>
      <c r="G1597" s="530"/>
      <c r="H1597" s="472" t="s">
        <v>65</v>
      </c>
      <c r="I1597" s="472">
        <v>1</v>
      </c>
      <c r="J1597" s="279" t="s">
        <v>49</v>
      </c>
      <c r="K1597" s="279"/>
      <c r="L1597" s="392"/>
      <c r="M1597" s="279"/>
      <c r="N1597" s="279"/>
      <c r="O1597" s="333"/>
      <c r="P1597" s="333"/>
      <c r="Q1597" s="132"/>
      <c r="R1597" s="94"/>
    </row>
    <row r="1598" spans="1:18" outlineLevel="1">
      <c r="A1598" s="36"/>
      <c r="B1598" s="311"/>
      <c r="C1598" s="528" t="s">
        <v>863</v>
      </c>
      <c r="D1598" s="472"/>
      <c r="E1598" s="311">
        <v>12451921001</v>
      </c>
      <c r="F1598" s="529" t="s">
        <v>1278</v>
      </c>
      <c r="G1598" s="530"/>
      <c r="H1598" s="472" t="s">
        <v>65</v>
      </c>
      <c r="I1598" s="472">
        <v>1</v>
      </c>
      <c r="J1598" s="279" t="s">
        <v>49</v>
      </c>
      <c r="K1598" s="279"/>
      <c r="L1598" s="392"/>
      <c r="M1598" s="279"/>
      <c r="N1598" s="279"/>
      <c r="O1598" s="333"/>
      <c r="P1598" s="333"/>
      <c r="Q1598" s="132"/>
      <c r="R1598" s="94"/>
    </row>
    <row r="1599" spans="1:18" outlineLevel="1">
      <c r="A1599" s="36"/>
      <c r="B1599" s="311"/>
      <c r="C1599" s="528" t="s">
        <v>863</v>
      </c>
      <c r="D1599" s="472"/>
      <c r="E1599" s="311">
        <v>12452021001</v>
      </c>
      <c r="F1599" s="529" t="s">
        <v>1279</v>
      </c>
      <c r="G1599" s="530"/>
      <c r="H1599" s="472" t="s">
        <v>65</v>
      </c>
      <c r="I1599" s="472">
        <v>1</v>
      </c>
      <c r="J1599" s="279" t="s">
        <v>49</v>
      </c>
      <c r="K1599" s="279"/>
      <c r="L1599" s="392"/>
      <c r="M1599" s="279"/>
      <c r="N1599" s="279"/>
      <c r="O1599" s="333"/>
      <c r="P1599" s="333"/>
      <c r="Q1599" s="132"/>
      <c r="R1599" s="96"/>
    </row>
    <row r="1600" spans="1:18" outlineLevel="1">
      <c r="A1600" s="36"/>
      <c r="B1600" s="311"/>
      <c r="C1600" s="528" t="s">
        <v>863</v>
      </c>
      <c r="D1600" s="472"/>
      <c r="E1600" s="311">
        <v>12330721001</v>
      </c>
      <c r="F1600" s="529" t="s">
        <v>1280</v>
      </c>
      <c r="G1600" s="530"/>
      <c r="H1600" s="472" t="s">
        <v>65</v>
      </c>
      <c r="I1600" s="472">
        <v>1</v>
      </c>
      <c r="J1600" s="279" t="s">
        <v>49</v>
      </c>
      <c r="K1600" s="279"/>
      <c r="L1600" s="392"/>
      <c r="M1600" s="279"/>
      <c r="N1600" s="279"/>
      <c r="O1600" s="333"/>
      <c r="P1600" s="333"/>
      <c r="Q1600" s="132"/>
      <c r="R1600" s="94"/>
    </row>
    <row r="1601" spans="1:18" outlineLevel="1">
      <c r="A1601" s="36"/>
      <c r="B1601" s="311"/>
      <c r="C1601" s="528" t="s">
        <v>863</v>
      </c>
      <c r="D1601" s="472"/>
      <c r="E1601" s="311">
        <v>12452321001</v>
      </c>
      <c r="F1601" s="529" t="s">
        <v>1281</v>
      </c>
      <c r="G1601" s="530"/>
      <c r="H1601" s="472" t="s">
        <v>65</v>
      </c>
      <c r="I1601" s="472">
        <v>1</v>
      </c>
      <c r="J1601" s="279" t="s">
        <v>49</v>
      </c>
      <c r="K1601" s="279"/>
      <c r="L1601" s="392"/>
      <c r="M1601" s="279"/>
      <c r="N1601" s="279"/>
      <c r="O1601" s="333"/>
      <c r="P1601" s="333"/>
      <c r="Q1601" s="132"/>
      <c r="R1601" s="94"/>
    </row>
    <row r="1602" spans="1:18" outlineLevel="1">
      <c r="A1602" s="36"/>
      <c r="B1602" s="456"/>
      <c r="C1602" s="500"/>
      <c r="D1602" s="387"/>
      <c r="E1602" s="188"/>
      <c r="F1602" s="388"/>
      <c r="G1602" s="455"/>
      <c r="H1602" s="387"/>
      <c r="I1602" s="387"/>
      <c r="J1602" s="212"/>
      <c r="K1602" s="212"/>
      <c r="L1602" s="392"/>
      <c r="M1602" s="279"/>
      <c r="N1602" s="279"/>
      <c r="O1602" s="333"/>
      <c r="P1602" s="333"/>
      <c r="Q1602" s="132"/>
      <c r="R1602" s="94"/>
    </row>
    <row r="1603" spans="1:18" outlineLevel="1">
      <c r="A1603" s="36"/>
      <c r="B1603" s="311"/>
      <c r="C1603" s="528" t="s">
        <v>863</v>
      </c>
      <c r="D1603" s="472"/>
      <c r="E1603" s="311">
        <v>12252381001</v>
      </c>
      <c r="F1603" s="529" t="s">
        <v>1282</v>
      </c>
      <c r="G1603" s="530"/>
      <c r="H1603" s="472" t="s">
        <v>65</v>
      </c>
      <c r="I1603" s="472">
        <v>1</v>
      </c>
      <c r="J1603" s="279" t="s">
        <v>49</v>
      </c>
      <c r="K1603" s="279"/>
      <c r="L1603" s="392"/>
      <c r="M1603" s="279"/>
      <c r="N1603" s="279"/>
      <c r="O1603" s="333"/>
      <c r="P1603" s="333"/>
      <c r="Q1603" s="132"/>
      <c r="R1603" s="94"/>
    </row>
    <row r="1604" spans="1:18" outlineLevel="1">
      <c r="A1604" s="36"/>
      <c r="B1604" s="311"/>
      <c r="C1604" s="528" t="s">
        <v>863</v>
      </c>
      <c r="D1604" s="472"/>
      <c r="E1604" s="311">
        <v>12248291001</v>
      </c>
      <c r="F1604" s="529" t="s">
        <v>1283</v>
      </c>
      <c r="G1604" s="530"/>
      <c r="H1604" s="472" t="s">
        <v>65</v>
      </c>
      <c r="I1604" s="472">
        <v>1</v>
      </c>
      <c r="J1604" s="279" t="s">
        <v>49</v>
      </c>
      <c r="K1604" s="279"/>
      <c r="L1604" s="392"/>
      <c r="M1604" s="279"/>
      <c r="N1604" s="279"/>
      <c r="O1604" s="333"/>
      <c r="P1604" s="333"/>
      <c r="Q1604" s="132"/>
      <c r="R1604" s="94"/>
    </row>
    <row r="1605" spans="1:18" outlineLevel="1">
      <c r="A1605" s="36"/>
      <c r="B1605" s="311"/>
      <c r="C1605" s="528" t="s">
        <v>863</v>
      </c>
      <c r="D1605" s="472"/>
      <c r="E1605" s="311">
        <v>12453721001</v>
      </c>
      <c r="F1605" s="529" t="s">
        <v>1284</v>
      </c>
      <c r="G1605" s="530"/>
      <c r="H1605" s="472" t="s">
        <v>65</v>
      </c>
      <c r="I1605" s="472">
        <v>1</v>
      </c>
      <c r="J1605" s="279" t="s">
        <v>49</v>
      </c>
      <c r="K1605" s="279"/>
      <c r="L1605" s="392"/>
      <c r="M1605" s="279"/>
      <c r="N1605" s="279"/>
      <c r="O1605" s="333"/>
      <c r="P1605" s="333"/>
      <c r="Q1605" s="132"/>
      <c r="R1605" s="94"/>
    </row>
    <row r="1606" spans="1:18" outlineLevel="1">
      <c r="A1606" s="36"/>
      <c r="B1606" s="311"/>
      <c r="C1606" s="528" t="s">
        <v>863</v>
      </c>
      <c r="D1606" s="472"/>
      <c r="E1606" s="311">
        <v>12453821001</v>
      </c>
      <c r="F1606" s="529" t="s">
        <v>1285</v>
      </c>
      <c r="G1606" s="530"/>
      <c r="H1606" s="472" t="s">
        <v>65</v>
      </c>
      <c r="I1606" s="472">
        <v>1</v>
      </c>
      <c r="J1606" s="279" t="s">
        <v>49</v>
      </c>
      <c r="K1606" s="279"/>
      <c r="L1606" s="392"/>
      <c r="M1606" s="279"/>
      <c r="N1606" s="279"/>
      <c r="O1606" s="333"/>
      <c r="P1606" s="333"/>
      <c r="Q1606" s="132"/>
      <c r="R1606" s="94"/>
    </row>
    <row r="1607" spans="1:18" outlineLevel="1">
      <c r="A1607" s="36"/>
      <c r="B1607" s="311"/>
      <c r="C1607" s="528" t="s">
        <v>863</v>
      </c>
      <c r="D1607" s="472"/>
      <c r="E1607" s="311">
        <v>12453921001</v>
      </c>
      <c r="F1607" s="529" t="s">
        <v>1286</v>
      </c>
      <c r="G1607" s="530"/>
      <c r="H1607" s="472" t="s">
        <v>65</v>
      </c>
      <c r="I1607" s="472">
        <v>1</v>
      </c>
      <c r="J1607" s="279" t="s">
        <v>49</v>
      </c>
      <c r="K1607" s="279"/>
      <c r="L1607" s="392"/>
      <c r="M1607" s="279"/>
      <c r="N1607" s="279"/>
      <c r="O1607" s="333"/>
      <c r="P1607" s="333"/>
      <c r="Q1607" s="132"/>
      <c r="R1607" s="94"/>
    </row>
    <row r="1608" spans="1:18" outlineLevel="1">
      <c r="A1608" s="36"/>
      <c r="B1608" s="311"/>
      <c r="C1608" s="528" t="s">
        <v>863</v>
      </c>
      <c r="D1608" s="472"/>
      <c r="E1608" s="311">
        <v>12454021001</v>
      </c>
      <c r="F1608" s="529" t="s">
        <v>1287</v>
      </c>
      <c r="G1608" s="530"/>
      <c r="H1608" s="472" t="s">
        <v>65</v>
      </c>
      <c r="I1608" s="472">
        <v>1</v>
      </c>
      <c r="J1608" s="279" t="s">
        <v>49</v>
      </c>
      <c r="K1608" s="279"/>
      <c r="L1608" s="392"/>
      <c r="M1608" s="279"/>
      <c r="N1608" s="279"/>
      <c r="O1608" s="333"/>
      <c r="P1608" s="333"/>
      <c r="Q1608" s="132"/>
      <c r="R1608" s="94"/>
    </row>
    <row r="1609" spans="1:18" outlineLevel="1">
      <c r="A1609" s="36"/>
      <c r="B1609" s="311"/>
      <c r="C1609" s="528" t="s">
        <v>863</v>
      </c>
      <c r="D1609" s="472"/>
      <c r="E1609" s="311">
        <v>12454121001</v>
      </c>
      <c r="F1609" s="529" t="s">
        <v>1288</v>
      </c>
      <c r="G1609" s="530"/>
      <c r="H1609" s="472" t="s">
        <v>65</v>
      </c>
      <c r="I1609" s="472">
        <v>1</v>
      </c>
      <c r="J1609" s="279" t="s">
        <v>49</v>
      </c>
      <c r="K1609" s="279"/>
      <c r="L1609" s="392"/>
      <c r="M1609" s="279"/>
      <c r="N1609" s="279"/>
      <c r="O1609" s="333"/>
      <c r="P1609" s="333"/>
      <c r="Q1609" s="132"/>
      <c r="R1609" s="94"/>
    </row>
    <row r="1610" spans="1:18" outlineLevel="1">
      <c r="A1610" s="36"/>
      <c r="B1610" s="311"/>
      <c r="C1610" s="528" t="s">
        <v>863</v>
      </c>
      <c r="D1610" s="472"/>
      <c r="E1610" s="311">
        <v>12454221001</v>
      </c>
      <c r="F1610" s="529" t="s">
        <v>1289</v>
      </c>
      <c r="G1610" s="530"/>
      <c r="H1610" s="472" t="s">
        <v>65</v>
      </c>
      <c r="I1610" s="472">
        <v>1</v>
      </c>
      <c r="J1610" s="279" t="s">
        <v>49</v>
      </c>
      <c r="K1610" s="279"/>
      <c r="L1610" s="392"/>
      <c r="M1610" s="279"/>
      <c r="N1610" s="279"/>
      <c r="O1610" s="333"/>
      <c r="P1610" s="333"/>
      <c r="Q1610" s="132"/>
      <c r="R1610" s="94"/>
    </row>
    <row r="1611" spans="1:18" outlineLevel="1">
      <c r="A1611" s="36"/>
      <c r="B1611" s="311"/>
      <c r="C1611" s="528" t="s">
        <v>863</v>
      </c>
      <c r="D1611" s="472"/>
      <c r="E1611" s="311">
        <v>12454321001</v>
      </c>
      <c r="F1611" s="529" t="s">
        <v>1290</v>
      </c>
      <c r="G1611" s="530"/>
      <c r="H1611" s="472" t="s">
        <v>65</v>
      </c>
      <c r="I1611" s="472">
        <v>1</v>
      </c>
      <c r="J1611" s="279" t="s">
        <v>49</v>
      </c>
      <c r="K1611" s="279"/>
      <c r="L1611" s="392"/>
      <c r="M1611" s="279"/>
      <c r="N1611" s="279"/>
      <c r="O1611" s="333"/>
      <c r="P1611" s="333"/>
      <c r="Q1611" s="132"/>
      <c r="R1611" s="96"/>
    </row>
    <row r="1612" spans="1:18" outlineLevel="1">
      <c r="A1612" s="36"/>
      <c r="B1612" s="311"/>
      <c r="C1612" s="528" t="s">
        <v>863</v>
      </c>
      <c r="D1612" s="472"/>
      <c r="E1612" s="311">
        <v>12331221001</v>
      </c>
      <c r="F1612" s="529" t="s">
        <v>1291</v>
      </c>
      <c r="G1612" s="530"/>
      <c r="H1612" s="472" t="s">
        <v>65</v>
      </c>
      <c r="I1612" s="472">
        <v>1</v>
      </c>
      <c r="J1612" s="279" t="s">
        <v>49</v>
      </c>
      <c r="K1612" s="279"/>
      <c r="L1612" s="392"/>
      <c r="M1612" s="279"/>
      <c r="N1612" s="279"/>
      <c r="O1612" s="333"/>
      <c r="P1612" s="333"/>
      <c r="Q1612" s="132"/>
      <c r="R1612" s="97"/>
    </row>
    <row r="1613" spans="1:18" outlineLevel="1">
      <c r="A1613" s="36"/>
      <c r="B1613" s="311"/>
      <c r="C1613" s="528" t="s">
        <v>863</v>
      </c>
      <c r="D1613" s="472"/>
      <c r="E1613" s="311">
        <v>12454421001</v>
      </c>
      <c r="F1613" s="529" t="s">
        <v>1292</v>
      </c>
      <c r="G1613" s="530"/>
      <c r="H1613" s="472" t="s">
        <v>65</v>
      </c>
      <c r="I1613" s="472">
        <v>1</v>
      </c>
      <c r="J1613" s="279" t="s">
        <v>49</v>
      </c>
      <c r="K1613" s="279"/>
      <c r="L1613" s="392"/>
      <c r="M1613" s="279"/>
      <c r="N1613" s="279"/>
      <c r="O1613" s="333"/>
      <c r="P1613" s="333"/>
      <c r="Q1613" s="132"/>
      <c r="R1613" s="94"/>
    </row>
    <row r="1614" spans="1:18" outlineLevel="1">
      <c r="A1614" s="36"/>
      <c r="B1614" s="456"/>
      <c r="C1614" s="500"/>
      <c r="D1614" s="387"/>
      <c r="E1614" s="188"/>
      <c r="F1614" s="388"/>
      <c r="G1614" s="455"/>
      <c r="H1614" s="387"/>
      <c r="I1614" s="387"/>
      <c r="J1614" s="212"/>
      <c r="K1614" s="212"/>
      <c r="L1614" s="392"/>
      <c r="M1614" s="279"/>
      <c r="N1614" s="279"/>
      <c r="O1614" s="333"/>
      <c r="P1614" s="333"/>
      <c r="Q1614" s="132"/>
      <c r="R1614" s="96"/>
    </row>
    <row r="1615" spans="1:18" outlineLevel="1">
      <c r="A1615" s="36"/>
      <c r="B1615" s="520" t="s">
        <v>52</v>
      </c>
      <c r="C1615" s="514" t="s">
        <v>863</v>
      </c>
      <c r="D1615" s="515"/>
      <c r="E1615" s="225">
        <v>12453521001</v>
      </c>
      <c r="F1615" s="516" t="s">
        <v>1293</v>
      </c>
      <c r="G1615" s="502"/>
      <c r="H1615" s="515" t="s">
        <v>65</v>
      </c>
      <c r="I1615" s="515">
        <v>50</v>
      </c>
      <c r="J1615" s="229" t="s">
        <v>895</v>
      </c>
      <c r="K1615" s="229"/>
      <c r="L1615" s="517"/>
      <c r="M1615" s="229"/>
      <c r="N1615" s="229"/>
      <c r="O1615" s="230"/>
      <c r="P1615" s="230"/>
      <c r="Q1615" s="132"/>
      <c r="R1615" s="94"/>
    </row>
    <row r="1616" spans="1:18" outlineLevel="1">
      <c r="A1616" s="36"/>
      <c r="B1616" s="311"/>
      <c r="C1616" s="528" t="s">
        <v>863</v>
      </c>
      <c r="D1616" s="472"/>
      <c r="E1616" s="311">
        <v>12453621001</v>
      </c>
      <c r="F1616" s="529" t="s">
        <v>1294</v>
      </c>
      <c r="G1616" s="530"/>
      <c r="H1616" s="472" t="s">
        <v>65</v>
      </c>
      <c r="I1616" s="472">
        <v>50</v>
      </c>
      <c r="J1616" s="279" t="s">
        <v>49</v>
      </c>
      <c r="K1616" s="279"/>
      <c r="L1616" s="392"/>
      <c r="M1616" s="279"/>
      <c r="N1616" s="279"/>
      <c r="O1616" s="333"/>
      <c r="P1616" s="333"/>
      <c r="Q1616" s="132"/>
      <c r="R1616" s="94"/>
    </row>
    <row r="1617" spans="1:18" outlineLevel="1">
      <c r="A1617" s="36"/>
      <c r="B1617" s="456"/>
      <c r="C1617" s="500"/>
      <c r="D1617" s="387"/>
      <c r="E1617" s="188"/>
      <c r="F1617" s="388"/>
      <c r="G1617" s="455"/>
      <c r="H1617" s="387"/>
      <c r="I1617" s="387"/>
      <c r="J1617" s="212"/>
      <c r="K1617" s="212"/>
      <c r="L1617" s="392"/>
      <c r="M1617" s="279"/>
      <c r="N1617" s="279"/>
      <c r="O1617" s="333"/>
      <c r="P1617" s="333"/>
      <c r="Q1617" s="132"/>
      <c r="R1617" s="94"/>
    </row>
    <row r="1618" spans="1:18" outlineLevel="1">
      <c r="A1618" s="36"/>
      <c r="B1618" s="311"/>
      <c r="C1618" s="528" t="s">
        <v>863</v>
      </c>
      <c r="D1618" s="472"/>
      <c r="E1618" s="311">
        <v>12252391001</v>
      </c>
      <c r="F1618" s="529" t="s">
        <v>1295</v>
      </c>
      <c r="G1618" s="530"/>
      <c r="H1618" s="472" t="s">
        <v>65</v>
      </c>
      <c r="I1618" s="472">
        <v>1</v>
      </c>
      <c r="J1618" s="279" t="s">
        <v>49</v>
      </c>
      <c r="K1618" s="279"/>
      <c r="L1618" s="392"/>
      <c r="M1618" s="279"/>
      <c r="N1618" s="279"/>
      <c r="O1618" s="333"/>
      <c r="P1618" s="333"/>
      <c r="Q1618" s="132"/>
      <c r="R1618" s="94"/>
    </row>
    <row r="1619" spans="1:18" outlineLevel="1">
      <c r="A1619" s="36"/>
      <c r="B1619" s="311"/>
      <c r="C1619" s="528" t="s">
        <v>863</v>
      </c>
      <c r="D1619" s="472"/>
      <c r="E1619" s="132">
        <v>12454621001</v>
      </c>
      <c r="F1619" s="529" t="s">
        <v>1296</v>
      </c>
      <c r="G1619" s="530"/>
      <c r="H1619" s="472" t="s">
        <v>65</v>
      </c>
      <c r="I1619" s="472">
        <v>1</v>
      </c>
      <c r="J1619" s="279" t="s">
        <v>49</v>
      </c>
      <c r="K1619" s="279"/>
      <c r="L1619" s="392"/>
      <c r="M1619" s="279"/>
      <c r="N1619" s="279"/>
      <c r="O1619" s="333"/>
      <c r="P1619" s="333"/>
      <c r="Q1619" s="132"/>
      <c r="R1619" s="94"/>
    </row>
    <row r="1620" spans="1:18" outlineLevel="1">
      <c r="A1620" s="36"/>
      <c r="B1620" s="311"/>
      <c r="C1620" s="528" t="s">
        <v>863</v>
      </c>
      <c r="D1620" s="472"/>
      <c r="E1620" s="311">
        <v>12891361001</v>
      </c>
      <c r="F1620" s="529" t="s">
        <v>1297</v>
      </c>
      <c r="G1620" s="530"/>
      <c r="H1620" s="472" t="s">
        <v>65</v>
      </c>
      <c r="I1620" s="472">
        <v>1</v>
      </c>
      <c r="J1620" s="279" t="s">
        <v>49</v>
      </c>
      <c r="K1620" s="279"/>
      <c r="L1620" s="392"/>
      <c r="M1620" s="279"/>
      <c r="N1620" s="279"/>
      <c r="O1620" s="333"/>
      <c r="P1620" s="333"/>
      <c r="Q1620" s="132"/>
      <c r="R1620" s="94"/>
    </row>
    <row r="1621" spans="1:18" outlineLevel="1">
      <c r="A1621" s="36"/>
      <c r="B1621" s="311"/>
      <c r="C1621" s="528" t="s">
        <v>863</v>
      </c>
      <c r="D1621" s="472"/>
      <c r="E1621" s="311">
        <v>12454721001</v>
      </c>
      <c r="F1621" s="529" t="s">
        <v>1298</v>
      </c>
      <c r="G1621" s="530"/>
      <c r="H1621" s="472" t="s">
        <v>65</v>
      </c>
      <c r="I1621" s="472">
        <v>1</v>
      </c>
      <c r="J1621" s="279" t="s">
        <v>49</v>
      </c>
      <c r="K1621" s="279"/>
      <c r="L1621" s="392"/>
      <c r="M1621" s="279"/>
      <c r="N1621" s="279"/>
      <c r="O1621" s="333"/>
      <c r="P1621" s="333"/>
      <c r="Q1621" s="132"/>
      <c r="R1621" s="94"/>
    </row>
    <row r="1622" spans="1:18" outlineLevel="1">
      <c r="A1622" s="36"/>
      <c r="B1622" s="311"/>
      <c r="C1622" s="528" t="s">
        <v>863</v>
      </c>
      <c r="D1622" s="472"/>
      <c r="E1622" s="311">
        <v>12891371001</v>
      </c>
      <c r="F1622" s="529" t="s">
        <v>1299</v>
      </c>
      <c r="G1622" s="530"/>
      <c r="H1622" s="472" t="s">
        <v>65</v>
      </c>
      <c r="I1622" s="472">
        <v>1</v>
      </c>
      <c r="J1622" s="279" t="s">
        <v>49</v>
      </c>
      <c r="K1622" s="279"/>
      <c r="L1622" s="392"/>
      <c r="M1622" s="279"/>
      <c r="N1622" s="279"/>
      <c r="O1622" s="333"/>
      <c r="P1622" s="333"/>
      <c r="Q1622" s="132"/>
      <c r="R1622" s="94"/>
    </row>
    <row r="1623" spans="1:18" outlineLevel="1">
      <c r="A1623" s="36"/>
      <c r="B1623" s="311"/>
      <c r="C1623" s="528" t="s">
        <v>863</v>
      </c>
      <c r="D1623" s="472"/>
      <c r="E1623" s="311">
        <v>12891381001</v>
      </c>
      <c r="F1623" s="529" t="s">
        <v>1300</v>
      </c>
      <c r="G1623" s="530"/>
      <c r="H1623" s="472" t="s">
        <v>65</v>
      </c>
      <c r="I1623" s="472">
        <v>1</v>
      </c>
      <c r="J1623" s="279" t="s">
        <v>49</v>
      </c>
      <c r="K1623" s="279"/>
      <c r="L1623" s="392"/>
      <c r="M1623" s="279"/>
      <c r="N1623" s="279"/>
      <c r="O1623" s="333"/>
      <c r="P1623" s="333"/>
      <c r="Q1623" s="132"/>
      <c r="R1623" s="94"/>
    </row>
    <row r="1624" spans="1:18" outlineLevel="1">
      <c r="A1624" s="36"/>
      <c r="B1624" s="311"/>
      <c r="C1624" s="528" t="s">
        <v>863</v>
      </c>
      <c r="D1624" s="472"/>
      <c r="E1624" s="311">
        <v>12454821001</v>
      </c>
      <c r="F1624" s="529" t="s">
        <v>1301</v>
      </c>
      <c r="G1624" s="530"/>
      <c r="H1624" s="472" t="s">
        <v>65</v>
      </c>
      <c r="I1624" s="472">
        <v>1</v>
      </c>
      <c r="J1624" s="279" t="s">
        <v>49</v>
      </c>
      <c r="K1624" s="279"/>
      <c r="L1624" s="392"/>
      <c r="M1624" s="279"/>
      <c r="N1624" s="279"/>
      <c r="O1624" s="333"/>
      <c r="P1624" s="333"/>
      <c r="Q1624" s="132"/>
      <c r="R1624" s="94"/>
    </row>
    <row r="1625" spans="1:18" outlineLevel="1">
      <c r="A1625" s="36"/>
      <c r="B1625" s="311"/>
      <c r="C1625" s="528" t="s">
        <v>863</v>
      </c>
      <c r="D1625" s="472"/>
      <c r="E1625" s="311">
        <v>12891391001</v>
      </c>
      <c r="F1625" s="529" t="s">
        <v>1302</v>
      </c>
      <c r="G1625" s="530"/>
      <c r="H1625" s="472" t="s">
        <v>65</v>
      </c>
      <c r="I1625" s="472">
        <v>1</v>
      </c>
      <c r="J1625" s="279" t="s">
        <v>49</v>
      </c>
      <c r="K1625" s="279"/>
      <c r="L1625" s="392"/>
      <c r="M1625" s="279"/>
      <c r="N1625" s="279"/>
      <c r="O1625" s="333"/>
      <c r="P1625" s="333"/>
      <c r="Q1625" s="132"/>
      <c r="R1625" s="94"/>
    </row>
    <row r="1626" spans="1:18" outlineLevel="1">
      <c r="A1626" s="36"/>
      <c r="B1626" s="311"/>
      <c r="C1626" s="528" t="s">
        <v>863</v>
      </c>
      <c r="D1626" s="472"/>
      <c r="E1626" s="311">
        <v>12454921001</v>
      </c>
      <c r="F1626" s="529" t="s">
        <v>1303</v>
      </c>
      <c r="G1626" s="530"/>
      <c r="H1626" s="472" t="s">
        <v>65</v>
      </c>
      <c r="I1626" s="472">
        <v>1</v>
      </c>
      <c r="J1626" s="279" t="s">
        <v>49</v>
      </c>
      <c r="K1626" s="279"/>
      <c r="L1626" s="392"/>
      <c r="M1626" s="279"/>
      <c r="N1626" s="279"/>
      <c r="O1626" s="333"/>
      <c r="P1626" s="333"/>
      <c r="Q1626" s="132"/>
      <c r="R1626" s="94"/>
    </row>
    <row r="1627" spans="1:18" outlineLevel="1">
      <c r="A1627" s="36"/>
      <c r="B1627" s="311"/>
      <c r="C1627" s="528" t="s">
        <v>863</v>
      </c>
      <c r="D1627" s="472"/>
      <c r="E1627" s="311">
        <v>12891411001</v>
      </c>
      <c r="F1627" s="529" t="s">
        <v>1304</v>
      </c>
      <c r="G1627" s="530"/>
      <c r="H1627" s="472" t="s">
        <v>65</v>
      </c>
      <c r="I1627" s="472">
        <v>1</v>
      </c>
      <c r="J1627" s="279" t="s">
        <v>49</v>
      </c>
      <c r="K1627" s="279"/>
      <c r="L1627" s="392"/>
      <c r="M1627" s="279"/>
      <c r="N1627" s="279"/>
      <c r="O1627" s="333"/>
      <c r="P1627" s="333"/>
      <c r="Q1627" s="132"/>
      <c r="R1627" s="94"/>
    </row>
    <row r="1628" spans="1:18" outlineLevel="1">
      <c r="A1628" s="36"/>
      <c r="B1628" s="311"/>
      <c r="C1628" s="528" t="s">
        <v>863</v>
      </c>
      <c r="D1628" s="472"/>
      <c r="E1628" s="311">
        <v>12455021001</v>
      </c>
      <c r="F1628" s="529" t="s">
        <v>1305</v>
      </c>
      <c r="G1628" s="530"/>
      <c r="H1628" s="472" t="s">
        <v>65</v>
      </c>
      <c r="I1628" s="472">
        <v>1</v>
      </c>
      <c r="J1628" s="279" t="s">
        <v>49</v>
      </c>
      <c r="K1628" s="279"/>
      <c r="L1628" s="392"/>
      <c r="M1628" s="279"/>
      <c r="N1628" s="279"/>
      <c r="O1628" s="333"/>
      <c r="P1628" s="333"/>
      <c r="Q1628" s="132"/>
      <c r="R1628" s="94"/>
    </row>
    <row r="1629" spans="1:18" outlineLevel="1">
      <c r="A1629" s="36"/>
      <c r="B1629" s="311"/>
      <c r="C1629" s="528" t="s">
        <v>863</v>
      </c>
      <c r="D1629" s="472"/>
      <c r="E1629" s="311">
        <v>12455121001</v>
      </c>
      <c r="F1629" s="529" t="s">
        <v>1306</v>
      </c>
      <c r="G1629" s="530"/>
      <c r="H1629" s="472" t="s">
        <v>65</v>
      </c>
      <c r="I1629" s="472">
        <v>1</v>
      </c>
      <c r="J1629" s="279" t="s">
        <v>49</v>
      </c>
      <c r="K1629" s="279"/>
      <c r="L1629" s="392"/>
      <c r="M1629" s="279"/>
      <c r="N1629" s="279"/>
      <c r="O1629" s="333"/>
      <c r="P1629" s="333"/>
      <c r="Q1629" s="132"/>
      <c r="R1629" s="94"/>
    </row>
    <row r="1630" spans="1:18" outlineLevel="1">
      <c r="A1630" s="36"/>
      <c r="B1630" s="311"/>
      <c r="C1630" s="528" t="s">
        <v>863</v>
      </c>
      <c r="D1630" s="472"/>
      <c r="E1630" s="311">
        <v>12452121001</v>
      </c>
      <c r="F1630" s="529" t="s">
        <v>1307</v>
      </c>
      <c r="G1630" s="530"/>
      <c r="H1630" s="472" t="s">
        <v>65</v>
      </c>
      <c r="I1630" s="472">
        <v>1</v>
      </c>
      <c r="J1630" s="279" t="s">
        <v>49</v>
      </c>
      <c r="K1630" s="279"/>
      <c r="L1630" s="392"/>
      <c r="M1630" s="279"/>
      <c r="N1630" s="279"/>
      <c r="O1630" s="333"/>
      <c r="P1630" s="333"/>
      <c r="Q1630" s="132"/>
      <c r="R1630" s="94"/>
    </row>
    <row r="1631" spans="1:18" outlineLevel="1">
      <c r="A1631" s="36"/>
      <c r="B1631" s="311"/>
      <c r="C1631" s="528" t="s">
        <v>863</v>
      </c>
      <c r="D1631" s="472"/>
      <c r="E1631" s="311">
        <v>12452221001</v>
      </c>
      <c r="F1631" s="529" t="s">
        <v>1308</v>
      </c>
      <c r="G1631" s="530"/>
      <c r="H1631" s="472" t="s">
        <v>65</v>
      </c>
      <c r="I1631" s="472">
        <v>1</v>
      </c>
      <c r="J1631" s="279" t="s">
        <v>49</v>
      </c>
      <c r="K1631" s="279"/>
      <c r="L1631" s="392"/>
      <c r="M1631" s="279"/>
      <c r="N1631" s="279"/>
      <c r="O1631" s="333"/>
      <c r="P1631" s="333"/>
      <c r="Q1631" s="132"/>
      <c r="R1631" s="94"/>
    </row>
    <row r="1632" spans="1:18" outlineLevel="1">
      <c r="A1632" s="36"/>
      <c r="B1632" s="311"/>
      <c r="C1632" s="528" t="s">
        <v>863</v>
      </c>
      <c r="D1632" s="472"/>
      <c r="E1632" s="311">
        <v>12034091001</v>
      </c>
      <c r="F1632" s="529" t="s">
        <v>1309</v>
      </c>
      <c r="G1632" s="530"/>
      <c r="H1632" s="472" t="s">
        <v>65</v>
      </c>
      <c r="I1632" s="472">
        <v>1</v>
      </c>
      <c r="J1632" s="279" t="s">
        <v>49</v>
      </c>
      <c r="K1632" s="279"/>
      <c r="L1632" s="392"/>
      <c r="M1632" s="279"/>
      <c r="N1632" s="279"/>
      <c r="O1632" s="333"/>
      <c r="P1632" s="333"/>
      <c r="Q1632" s="132"/>
      <c r="R1632" s="94"/>
    </row>
    <row r="1633" spans="1:38" outlineLevel="1">
      <c r="A1633" s="36"/>
      <c r="B1633" s="311"/>
      <c r="C1633" s="528" t="s">
        <v>863</v>
      </c>
      <c r="D1633" s="472"/>
      <c r="E1633" s="311">
        <v>12455221001</v>
      </c>
      <c r="F1633" s="529" t="s">
        <v>1310</v>
      </c>
      <c r="G1633" s="530"/>
      <c r="H1633" s="472" t="s">
        <v>65</v>
      </c>
      <c r="I1633" s="472">
        <v>1</v>
      </c>
      <c r="J1633" s="279" t="s">
        <v>49</v>
      </c>
      <c r="K1633" s="279"/>
      <c r="L1633" s="392"/>
      <c r="M1633" s="279"/>
      <c r="N1633" s="279"/>
      <c r="O1633" s="333"/>
      <c r="P1633" s="333"/>
      <c r="Q1633" s="132"/>
      <c r="R1633" s="94"/>
    </row>
    <row r="1634" spans="1:38" outlineLevel="1">
      <c r="A1634" s="36"/>
      <c r="B1634" s="311"/>
      <c r="C1634" s="528" t="s">
        <v>863</v>
      </c>
      <c r="D1634" s="472"/>
      <c r="E1634" s="311">
        <v>12455321001</v>
      </c>
      <c r="F1634" s="529" t="s">
        <v>1311</v>
      </c>
      <c r="G1634" s="530"/>
      <c r="H1634" s="472" t="s">
        <v>65</v>
      </c>
      <c r="I1634" s="472">
        <v>1</v>
      </c>
      <c r="J1634" s="279" t="s">
        <v>49</v>
      </c>
      <c r="K1634" s="279"/>
      <c r="L1634" s="392"/>
      <c r="M1634" s="279"/>
      <c r="N1634" s="279"/>
      <c r="O1634" s="333"/>
      <c r="P1634" s="333"/>
      <c r="Q1634" s="132"/>
      <c r="R1634" s="94"/>
    </row>
    <row r="1635" spans="1:38" outlineLevel="1">
      <c r="A1635" s="36"/>
      <c r="B1635" s="311"/>
      <c r="C1635" s="528" t="s">
        <v>863</v>
      </c>
      <c r="D1635" s="472"/>
      <c r="E1635" s="311">
        <v>12455421001</v>
      </c>
      <c r="F1635" s="529" t="s">
        <v>1312</v>
      </c>
      <c r="G1635" s="530"/>
      <c r="H1635" s="472" t="s">
        <v>65</v>
      </c>
      <c r="I1635" s="472">
        <v>1</v>
      </c>
      <c r="J1635" s="279" t="s">
        <v>49</v>
      </c>
      <c r="K1635" s="279"/>
      <c r="L1635" s="392"/>
      <c r="M1635" s="279"/>
      <c r="N1635" s="279"/>
      <c r="O1635" s="333"/>
      <c r="P1635" s="333"/>
      <c r="Q1635" s="132"/>
      <c r="R1635" s="94"/>
    </row>
    <row r="1636" spans="1:38" outlineLevel="1">
      <c r="A1636" s="36"/>
      <c r="B1636" s="311"/>
      <c r="C1636" s="528" t="s">
        <v>863</v>
      </c>
      <c r="D1636" s="472"/>
      <c r="E1636" s="311">
        <v>12332021001</v>
      </c>
      <c r="F1636" s="529" t="s">
        <v>1313</v>
      </c>
      <c r="G1636" s="530"/>
      <c r="H1636" s="472" t="s">
        <v>65</v>
      </c>
      <c r="I1636" s="472">
        <v>1</v>
      </c>
      <c r="J1636" s="279" t="s">
        <v>49</v>
      </c>
      <c r="K1636" s="279"/>
      <c r="L1636" s="392"/>
      <c r="M1636" s="279"/>
      <c r="N1636" s="279"/>
      <c r="O1636" s="333"/>
      <c r="P1636" s="333"/>
      <c r="Q1636" s="132"/>
      <c r="R1636" s="94"/>
    </row>
    <row r="1637" spans="1:38" outlineLevel="1">
      <c r="A1637" s="36"/>
      <c r="B1637" s="311"/>
      <c r="C1637" s="528" t="s">
        <v>863</v>
      </c>
      <c r="D1637" s="472"/>
      <c r="E1637" s="311">
        <v>12332121001</v>
      </c>
      <c r="F1637" s="529" t="s">
        <v>1314</v>
      </c>
      <c r="G1637" s="530"/>
      <c r="H1637" s="472" t="s">
        <v>65</v>
      </c>
      <c r="I1637" s="472">
        <v>1</v>
      </c>
      <c r="J1637" s="279" t="s">
        <v>49</v>
      </c>
      <c r="K1637" s="279"/>
      <c r="L1637" s="392"/>
      <c r="M1637" s="279"/>
      <c r="N1637" s="279"/>
      <c r="O1637" s="333"/>
      <c r="P1637" s="333"/>
      <c r="Q1637" s="132"/>
      <c r="R1637" s="94"/>
    </row>
    <row r="1638" spans="1:38" outlineLevel="1">
      <c r="A1638" s="36"/>
      <c r="B1638" s="311"/>
      <c r="C1638" s="528" t="s">
        <v>863</v>
      </c>
      <c r="D1638" s="472"/>
      <c r="E1638" s="311">
        <v>12456221001</v>
      </c>
      <c r="F1638" s="529" t="s">
        <v>1315</v>
      </c>
      <c r="G1638" s="530"/>
      <c r="H1638" s="472" t="s">
        <v>65</v>
      </c>
      <c r="I1638" s="472">
        <v>1</v>
      </c>
      <c r="J1638" s="279" t="s">
        <v>49</v>
      </c>
      <c r="K1638" s="279"/>
      <c r="L1638" s="392"/>
      <c r="M1638" s="279"/>
      <c r="N1638" s="279"/>
      <c r="O1638" s="333"/>
      <c r="P1638" s="333"/>
      <c r="Q1638" s="132"/>
      <c r="R1638" s="96"/>
    </row>
    <row r="1639" spans="1:38" outlineLevel="1">
      <c r="A1639" s="36"/>
      <c r="B1639" s="311"/>
      <c r="C1639" s="528" t="s">
        <v>863</v>
      </c>
      <c r="D1639" s="472"/>
      <c r="E1639" s="311">
        <v>12457321001</v>
      </c>
      <c r="F1639" s="529" t="s">
        <v>1316</v>
      </c>
      <c r="G1639" s="530"/>
      <c r="H1639" s="472" t="s">
        <v>65</v>
      </c>
      <c r="I1639" s="472">
        <v>1</v>
      </c>
      <c r="J1639" s="279" t="s">
        <v>49</v>
      </c>
      <c r="K1639" s="279"/>
      <c r="L1639" s="392"/>
      <c r="M1639" s="279"/>
      <c r="N1639" s="279"/>
      <c r="O1639" s="333"/>
      <c r="P1639" s="333"/>
      <c r="Q1639" s="132"/>
      <c r="R1639" s="94"/>
      <c r="AL1639" s="74"/>
    </row>
    <row r="1640" spans="1:38" outlineLevel="1">
      <c r="A1640" s="36"/>
      <c r="B1640" s="311"/>
      <c r="C1640" s="528" t="s">
        <v>863</v>
      </c>
      <c r="D1640" s="472"/>
      <c r="E1640" s="311">
        <v>12336421001</v>
      </c>
      <c r="F1640" s="529" t="s">
        <v>1317</v>
      </c>
      <c r="G1640" s="530"/>
      <c r="H1640" s="472" t="s">
        <v>65</v>
      </c>
      <c r="I1640" s="472">
        <v>1</v>
      </c>
      <c r="J1640" s="279" t="s">
        <v>49</v>
      </c>
      <c r="K1640" s="279"/>
      <c r="L1640" s="392"/>
      <c r="M1640" s="279"/>
      <c r="N1640" s="279"/>
      <c r="O1640" s="333"/>
      <c r="P1640" s="333"/>
      <c r="Q1640" s="132"/>
      <c r="R1640" s="94"/>
      <c r="AL1640" s="74"/>
    </row>
    <row r="1641" spans="1:38" outlineLevel="1">
      <c r="A1641" s="36"/>
      <c r="B1641" s="456"/>
      <c r="C1641" s="500"/>
      <c r="D1641" s="387"/>
      <c r="E1641" s="188"/>
      <c r="F1641" s="388"/>
      <c r="G1641" s="455"/>
      <c r="H1641" s="387"/>
      <c r="I1641" s="387"/>
      <c r="J1641" s="212"/>
      <c r="K1641" s="212"/>
      <c r="L1641" s="392"/>
      <c r="M1641" s="279"/>
      <c r="N1641" s="279"/>
      <c r="O1641" s="333"/>
      <c r="P1641" s="333"/>
      <c r="Q1641" s="132"/>
      <c r="R1641" s="94"/>
      <c r="AL1641" s="74"/>
    </row>
    <row r="1642" spans="1:38" s="74" customFormat="1" outlineLevel="1">
      <c r="A1642" s="156"/>
      <c r="B1642" s="225" t="s">
        <v>52</v>
      </c>
      <c r="C1642" s="514" t="s">
        <v>863</v>
      </c>
      <c r="D1642" s="515"/>
      <c r="E1642" s="225">
        <v>12331321001</v>
      </c>
      <c r="F1642" s="516" t="s">
        <v>1318</v>
      </c>
      <c r="G1642" s="502"/>
      <c r="H1642" s="515" t="s">
        <v>65</v>
      </c>
      <c r="I1642" s="515">
        <v>1</v>
      </c>
      <c r="J1642" s="229" t="s">
        <v>49</v>
      </c>
      <c r="K1642" s="229"/>
      <c r="L1642" s="517"/>
      <c r="M1642" s="229"/>
      <c r="N1642" s="229"/>
      <c r="O1642" s="230"/>
      <c r="P1642" s="230"/>
      <c r="Q1642" s="132"/>
      <c r="R1642" s="94"/>
      <c r="AK1642"/>
    </row>
    <row r="1643" spans="1:38" s="74" customFormat="1" outlineLevel="1">
      <c r="A1643" s="156"/>
      <c r="B1643" s="225" t="s">
        <v>52</v>
      </c>
      <c r="C1643" s="514" t="s">
        <v>863</v>
      </c>
      <c r="D1643" s="515"/>
      <c r="E1643" s="225">
        <v>12331421001</v>
      </c>
      <c r="F1643" s="516" t="s">
        <v>1319</v>
      </c>
      <c r="G1643" s="502"/>
      <c r="H1643" s="515" t="s">
        <v>65</v>
      </c>
      <c r="I1643" s="515">
        <v>1</v>
      </c>
      <c r="J1643" s="229" t="s">
        <v>49</v>
      </c>
      <c r="K1643" s="229"/>
      <c r="L1643" s="517"/>
      <c r="M1643" s="229"/>
      <c r="N1643" s="229"/>
      <c r="O1643" s="230"/>
      <c r="P1643" s="230"/>
      <c r="Q1643" s="132"/>
      <c r="R1643" s="94"/>
      <c r="AK1643"/>
    </row>
    <row r="1644" spans="1:38" s="74" customFormat="1" outlineLevel="1">
      <c r="A1644" s="156"/>
      <c r="B1644" s="225" t="s">
        <v>52</v>
      </c>
      <c r="C1644" s="514" t="s">
        <v>863</v>
      </c>
      <c r="D1644" s="515"/>
      <c r="E1644" s="225">
        <v>12331521001</v>
      </c>
      <c r="F1644" s="516" t="s">
        <v>1320</v>
      </c>
      <c r="G1644" s="502"/>
      <c r="H1644" s="515" t="s">
        <v>65</v>
      </c>
      <c r="I1644" s="515">
        <v>1</v>
      </c>
      <c r="J1644" s="229" t="s">
        <v>49</v>
      </c>
      <c r="K1644" s="229"/>
      <c r="L1644" s="517"/>
      <c r="M1644" s="229"/>
      <c r="N1644" s="229"/>
      <c r="O1644" s="230"/>
      <c r="P1644" s="230"/>
      <c r="Q1644" s="132"/>
      <c r="R1644" s="94"/>
      <c r="AK1644"/>
    </row>
    <row r="1645" spans="1:38" s="74" customFormat="1" outlineLevel="1">
      <c r="A1645" s="156"/>
      <c r="B1645" s="225" t="s">
        <v>52</v>
      </c>
      <c r="C1645" s="514" t="s">
        <v>863</v>
      </c>
      <c r="D1645" s="515"/>
      <c r="E1645" s="225">
        <v>12331621001</v>
      </c>
      <c r="F1645" s="516" t="s">
        <v>1321</v>
      </c>
      <c r="G1645" s="502"/>
      <c r="H1645" s="515" t="s">
        <v>65</v>
      </c>
      <c r="I1645" s="515">
        <v>1</v>
      </c>
      <c r="J1645" s="229" t="s">
        <v>49</v>
      </c>
      <c r="K1645" s="229"/>
      <c r="L1645" s="517"/>
      <c r="M1645" s="229"/>
      <c r="N1645" s="229"/>
      <c r="O1645" s="230"/>
      <c r="P1645" s="230"/>
      <c r="Q1645" s="132"/>
      <c r="R1645" s="94"/>
      <c r="AK1645"/>
    </row>
    <row r="1646" spans="1:38" s="74" customFormat="1" outlineLevel="1">
      <c r="A1646" s="156"/>
      <c r="B1646" s="225" t="s">
        <v>52</v>
      </c>
      <c r="C1646" s="514" t="s">
        <v>863</v>
      </c>
      <c r="D1646" s="515"/>
      <c r="E1646" s="225">
        <v>12331721001</v>
      </c>
      <c r="F1646" s="516" t="s">
        <v>1322</v>
      </c>
      <c r="G1646" s="502"/>
      <c r="H1646" s="515" t="s">
        <v>65</v>
      </c>
      <c r="I1646" s="515">
        <v>1</v>
      </c>
      <c r="J1646" s="229" t="s">
        <v>49</v>
      </c>
      <c r="K1646" s="229"/>
      <c r="L1646" s="517"/>
      <c r="M1646" s="229"/>
      <c r="N1646" s="229"/>
      <c r="O1646" s="230"/>
      <c r="P1646" s="230"/>
      <c r="Q1646" s="132"/>
      <c r="R1646" s="97"/>
      <c r="AK1646"/>
      <c r="AL1646"/>
    </row>
    <row r="1647" spans="1:38" s="74" customFormat="1" outlineLevel="1">
      <c r="A1647" s="156"/>
      <c r="B1647" s="225" t="s">
        <v>52</v>
      </c>
      <c r="C1647" s="514" t="s">
        <v>863</v>
      </c>
      <c r="D1647" s="515"/>
      <c r="E1647" s="225">
        <v>12331821001</v>
      </c>
      <c r="F1647" s="516" t="s">
        <v>1323</v>
      </c>
      <c r="G1647" s="502"/>
      <c r="H1647" s="515" t="s">
        <v>65</v>
      </c>
      <c r="I1647" s="515">
        <v>1</v>
      </c>
      <c r="J1647" s="229" t="s">
        <v>49</v>
      </c>
      <c r="K1647" s="229"/>
      <c r="L1647" s="517"/>
      <c r="M1647" s="229"/>
      <c r="N1647" s="229"/>
      <c r="O1647" s="230"/>
      <c r="P1647" s="230"/>
      <c r="Q1647" s="132"/>
      <c r="R1647" s="94"/>
      <c r="AK1647"/>
      <c r="AL1647"/>
    </row>
    <row r="1648" spans="1:38" s="74" customFormat="1" outlineLevel="1">
      <c r="A1648" s="156"/>
      <c r="B1648" s="225" t="s">
        <v>52</v>
      </c>
      <c r="C1648" s="514" t="s">
        <v>863</v>
      </c>
      <c r="D1648" s="515"/>
      <c r="E1648" s="225">
        <v>12331921001</v>
      </c>
      <c r="F1648" s="516" t="s">
        <v>1324</v>
      </c>
      <c r="G1648" s="502"/>
      <c r="H1648" s="515" t="s">
        <v>65</v>
      </c>
      <c r="I1648" s="515">
        <v>1</v>
      </c>
      <c r="J1648" s="229" t="s">
        <v>49</v>
      </c>
      <c r="K1648" s="229"/>
      <c r="L1648" s="517"/>
      <c r="M1648" s="229"/>
      <c r="N1648" s="229"/>
      <c r="O1648" s="230"/>
      <c r="P1648" s="230"/>
      <c r="Q1648" s="132"/>
      <c r="R1648" s="94"/>
      <c r="AK1648"/>
      <c r="AL1648"/>
    </row>
    <row r="1649" spans="1:18" outlineLevel="1">
      <c r="A1649" s="36"/>
      <c r="B1649" s="456"/>
      <c r="C1649" s="500"/>
      <c r="D1649" s="387"/>
      <c r="E1649" s="188"/>
      <c r="F1649" s="388"/>
      <c r="G1649" s="455"/>
      <c r="H1649" s="387"/>
      <c r="I1649" s="387"/>
      <c r="J1649" s="212"/>
      <c r="K1649" s="212"/>
      <c r="L1649" s="392"/>
      <c r="M1649" s="279"/>
      <c r="N1649" s="279"/>
      <c r="O1649" s="333"/>
      <c r="P1649" s="333"/>
      <c r="Q1649" s="132"/>
      <c r="R1649" s="94"/>
    </row>
    <row r="1650" spans="1:18" outlineLevel="1">
      <c r="A1650" s="36"/>
      <c r="B1650" s="311"/>
      <c r="C1650" s="528" t="s">
        <v>863</v>
      </c>
      <c r="D1650" s="472"/>
      <c r="E1650" s="311">
        <v>12254031001</v>
      </c>
      <c r="F1650" s="529" t="s">
        <v>1325</v>
      </c>
      <c r="G1650" s="530"/>
      <c r="H1650" s="472" t="s">
        <v>65</v>
      </c>
      <c r="I1650" s="472">
        <v>1</v>
      </c>
      <c r="J1650" s="279" t="s">
        <v>49</v>
      </c>
      <c r="K1650" s="279"/>
      <c r="L1650" s="392"/>
      <c r="M1650" s="279"/>
      <c r="N1650" s="279"/>
      <c r="O1650" s="333"/>
      <c r="P1650" s="333"/>
      <c r="Q1650" s="132"/>
      <c r="R1650" s="96"/>
    </row>
    <row r="1651" spans="1:18" outlineLevel="1">
      <c r="A1651" s="36"/>
      <c r="B1651" s="311"/>
      <c r="C1651" s="528" t="s">
        <v>863</v>
      </c>
      <c r="D1651" s="472"/>
      <c r="E1651" s="311">
        <v>12254041001</v>
      </c>
      <c r="F1651" s="529" t="s">
        <v>1326</v>
      </c>
      <c r="G1651" s="530"/>
      <c r="H1651" s="472" t="s">
        <v>65</v>
      </c>
      <c r="I1651" s="472">
        <v>1</v>
      </c>
      <c r="J1651" s="279" t="s">
        <v>49</v>
      </c>
      <c r="K1651" s="279"/>
      <c r="L1651" s="392"/>
      <c r="M1651" s="279"/>
      <c r="N1651" s="279"/>
      <c r="O1651" s="333"/>
      <c r="P1651" s="333"/>
      <c r="Q1651" s="132"/>
      <c r="R1651" s="94"/>
    </row>
    <row r="1652" spans="1:18" outlineLevel="1">
      <c r="A1652" s="36"/>
      <c r="B1652" s="311"/>
      <c r="C1652" s="528" t="s">
        <v>863</v>
      </c>
      <c r="D1652" s="472"/>
      <c r="E1652" s="311">
        <v>12254051001</v>
      </c>
      <c r="F1652" s="529" t="s">
        <v>1327</v>
      </c>
      <c r="G1652" s="530"/>
      <c r="H1652" s="472" t="s">
        <v>65</v>
      </c>
      <c r="I1652" s="472">
        <v>1</v>
      </c>
      <c r="J1652" s="279" t="s">
        <v>49</v>
      </c>
      <c r="K1652" s="279"/>
      <c r="L1652" s="392"/>
      <c r="M1652" s="279"/>
      <c r="N1652" s="279"/>
      <c r="O1652" s="333"/>
      <c r="P1652" s="333"/>
      <c r="Q1652" s="132"/>
      <c r="R1652" s="94"/>
    </row>
    <row r="1653" spans="1:18" outlineLevel="1">
      <c r="A1653" s="36"/>
      <c r="B1653" s="456"/>
      <c r="C1653" s="500"/>
      <c r="D1653" s="387"/>
      <c r="E1653" s="188"/>
      <c r="F1653" s="388"/>
      <c r="G1653" s="455"/>
      <c r="H1653" s="387"/>
      <c r="I1653" s="387"/>
      <c r="J1653" s="212"/>
      <c r="K1653" s="212"/>
      <c r="L1653" s="392"/>
      <c r="M1653" s="279"/>
      <c r="N1653" s="279"/>
      <c r="O1653" s="333"/>
      <c r="P1653" s="333"/>
      <c r="Q1653" s="132"/>
      <c r="R1653" s="94"/>
    </row>
    <row r="1654" spans="1:18" outlineLevel="1">
      <c r="A1654" s="36"/>
      <c r="B1654" s="311"/>
      <c r="C1654" s="528" t="s">
        <v>863</v>
      </c>
      <c r="D1654" s="472"/>
      <c r="E1654" s="311">
        <v>12758681001</v>
      </c>
      <c r="F1654" s="529" t="s">
        <v>1328</v>
      </c>
      <c r="G1654" s="530"/>
      <c r="H1654" s="472" t="s">
        <v>65</v>
      </c>
      <c r="I1654" s="472">
        <v>1</v>
      </c>
      <c r="J1654" s="279" t="s">
        <v>49</v>
      </c>
      <c r="K1654" s="279"/>
      <c r="L1654" s="392"/>
      <c r="M1654" s="279"/>
      <c r="N1654" s="279"/>
      <c r="O1654" s="333"/>
      <c r="P1654" s="333"/>
      <c r="Q1654" s="132"/>
      <c r="R1654" s="94"/>
    </row>
    <row r="1655" spans="1:18" outlineLevel="1">
      <c r="A1655" s="36"/>
      <c r="B1655" s="311"/>
      <c r="C1655" s="528" t="s">
        <v>863</v>
      </c>
      <c r="D1655" s="472"/>
      <c r="E1655" s="311">
        <v>12758781001</v>
      </c>
      <c r="F1655" s="529" t="s">
        <v>1329</v>
      </c>
      <c r="G1655" s="530"/>
      <c r="H1655" s="472" t="s">
        <v>65</v>
      </c>
      <c r="I1655" s="472">
        <v>1</v>
      </c>
      <c r="J1655" s="279" t="s">
        <v>49</v>
      </c>
      <c r="K1655" s="279"/>
      <c r="L1655" s="392"/>
      <c r="M1655" s="279"/>
      <c r="N1655" s="279"/>
      <c r="O1655" s="333"/>
      <c r="P1655" s="333"/>
      <c r="Q1655" s="132"/>
      <c r="R1655" s="96"/>
    </row>
    <row r="1656" spans="1:18" outlineLevel="1">
      <c r="A1656" s="36"/>
      <c r="B1656" s="311"/>
      <c r="C1656" s="528" t="s">
        <v>863</v>
      </c>
      <c r="D1656" s="472"/>
      <c r="E1656" s="311">
        <v>12332221001</v>
      </c>
      <c r="F1656" s="529" t="s">
        <v>1330</v>
      </c>
      <c r="G1656" s="530"/>
      <c r="H1656" s="472" t="s">
        <v>65</v>
      </c>
      <c r="I1656" s="472">
        <v>1</v>
      </c>
      <c r="J1656" s="279" t="s">
        <v>49</v>
      </c>
      <c r="K1656" s="279"/>
      <c r="L1656" s="392"/>
      <c r="M1656" s="279"/>
      <c r="N1656" s="279"/>
      <c r="O1656" s="333"/>
      <c r="P1656" s="333"/>
      <c r="Q1656" s="132"/>
      <c r="R1656" s="94"/>
    </row>
    <row r="1657" spans="1:18" outlineLevel="1">
      <c r="A1657" s="36"/>
      <c r="B1657" s="311"/>
      <c r="C1657" s="528" t="s">
        <v>863</v>
      </c>
      <c r="D1657" s="472"/>
      <c r="E1657" s="311">
        <v>12332321001</v>
      </c>
      <c r="F1657" s="529" t="s">
        <v>1331</v>
      </c>
      <c r="G1657" s="530"/>
      <c r="H1657" s="472" t="s">
        <v>65</v>
      </c>
      <c r="I1657" s="472">
        <v>1</v>
      </c>
      <c r="J1657" s="279" t="s">
        <v>49</v>
      </c>
      <c r="K1657" s="279"/>
      <c r="L1657" s="392"/>
      <c r="M1657" s="279"/>
      <c r="N1657" s="279"/>
      <c r="O1657" s="333"/>
      <c r="P1657" s="333"/>
      <c r="Q1657" s="132"/>
      <c r="R1657" s="94"/>
    </row>
    <row r="1658" spans="1:18" outlineLevel="1">
      <c r="A1658" s="36"/>
      <c r="B1658" s="456"/>
      <c r="C1658" s="500"/>
      <c r="D1658" s="387"/>
      <c r="E1658" s="188"/>
      <c r="F1658" s="388"/>
      <c r="G1658" s="455"/>
      <c r="H1658" s="387"/>
      <c r="I1658" s="387"/>
      <c r="J1658" s="212"/>
      <c r="K1658" s="212"/>
      <c r="L1658" s="392"/>
      <c r="M1658" s="279"/>
      <c r="N1658" s="279"/>
      <c r="O1658" s="333"/>
      <c r="P1658" s="333"/>
      <c r="Q1658" s="132"/>
      <c r="R1658" s="94"/>
    </row>
    <row r="1659" spans="1:18" outlineLevel="1">
      <c r="A1659" s="36"/>
      <c r="B1659" s="311"/>
      <c r="C1659" s="528" t="s">
        <v>863</v>
      </c>
      <c r="D1659" s="472"/>
      <c r="E1659" s="311">
        <v>12455521001</v>
      </c>
      <c r="F1659" s="529" t="s">
        <v>1332</v>
      </c>
      <c r="G1659" s="530"/>
      <c r="H1659" s="472" t="s">
        <v>65</v>
      </c>
      <c r="I1659" s="472">
        <v>1</v>
      </c>
      <c r="J1659" s="279" t="s">
        <v>49</v>
      </c>
      <c r="K1659" s="279"/>
      <c r="L1659" s="392"/>
      <c r="M1659" s="279"/>
      <c r="N1659" s="279"/>
      <c r="O1659" s="333"/>
      <c r="P1659" s="333"/>
      <c r="Q1659" s="132"/>
      <c r="R1659" s="94"/>
    </row>
    <row r="1660" spans="1:18" outlineLevel="1">
      <c r="A1660" s="36"/>
      <c r="B1660" s="311"/>
      <c r="C1660" s="528" t="s">
        <v>863</v>
      </c>
      <c r="D1660" s="472"/>
      <c r="E1660" s="311">
        <v>12455621001</v>
      </c>
      <c r="F1660" s="529" t="s">
        <v>1333</v>
      </c>
      <c r="G1660" s="530"/>
      <c r="H1660" s="472" t="s">
        <v>65</v>
      </c>
      <c r="I1660" s="472">
        <v>1</v>
      </c>
      <c r="J1660" s="279" t="s">
        <v>49</v>
      </c>
      <c r="K1660" s="279"/>
      <c r="L1660" s="392"/>
      <c r="M1660" s="279"/>
      <c r="N1660" s="279"/>
      <c r="O1660" s="333"/>
      <c r="P1660" s="333"/>
      <c r="Q1660" s="132"/>
      <c r="R1660" s="94"/>
    </row>
    <row r="1661" spans="1:18" outlineLevel="1">
      <c r="A1661" s="36"/>
      <c r="B1661" s="311"/>
      <c r="C1661" s="528" t="s">
        <v>863</v>
      </c>
      <c r="D1661" s="472"/>
      <c r="E1661" s="311">
        <v>12455721001</v>
      </c>
      <c r="F1661" s="529" t="s">
        <v>1334</v>
      </c>
      <c r="G1661" s="530"/>
      <c r="H1661" s="472" t="s">
        <v>65</v>
      </c>
      <c r="I1661" s="472">
        <v>1</v>
      </c>
      <c r="J1661" s="279" t="s">
        <v>49</v>
      </c>
      <c r="K1661" s="279"/>
      <c r="L1661" s="392"/>
      <c r="M1661" s="279"/>
      <c r="N1661" s="279"/>
      <c r="O1661" s="333"/>
      <c r="P1661" s="333"/>
      <c r="Q1661" s="132"/>
      <c r="R1661" s="94"/>
    </row>
    <row r="1662" spans="1:18" outlineLevel="1">
      <c r="A1662" s="36"/>
      <c r="B1662" s="311"/>
      <c r="C1662" s="528" t="s">
        <v>863</v>
      </c>
      <c r="D1662" s="472"/>
      <c r="E1662" s="311">
        <v>12455821001</v>
      </c>
      <c r="F1662" s="529" t="s">
        <v>1335</v>
      </c>
      <c r="G1662" s="530"/>
      <c r="H1662" s="472" t="s">
        <v>65</v>
      </c>
      <c r="I1662" s="472">
        <v>1</v>
      </c>
      <c r="J1662" s="279" t="s">
        <v>49</v>
      </c>
      <c r="K1662" s="279"/>
      <c r="L1662" s="392"/>
      <c r="M1662" s="279"/>
      <c r="N1662" s="279"/>
      <c r="O1662" s="333"/>
      <c r="P1662" s="333"/>
      <c r="Q1662" s="132"/>
      <c r="R1662" s="94"/>
    </row>
    <row r="1663" spans="1:18" outlineLevel="1">
      <c r="A1663" s="36"/>
      <c r="B1663" s="311"/>
      <c r="C1663" s="528" t="s">
        <v>863</v>
      </c>
      <c r="D1663" s="472"/>
      <c r="E1663" s="311">
        <v>12455921001</v>
      </c>
      <c r="F1663" s="529" t="s">
        <v>1336</v>
      </c>
      <c r="G1663" s="530"/>
      <c r="H1663" s="472" t="s">
        <v>65</v>
      </c>
      <c r="I1663" s="472">
        <v>1</v>
      </c>
      <c r="J1663" s="279" t="s">
        <v>49</v>
      </c>
      <c r="K1663" s="279"/>
      <c r="L1663" s="392"/>
      <c r="M1663" s="279"/>
      <c r="N1663" s="279"/>
      <c r="O1663" s="333"/>
      <c r="P1663" s="333"/>
      <c r="Q1663" s="132"/>
      <c r="R1663" s="94"/>
    </row>
    <row r="1664" spans="1:18" outlineLevel="1">
      <c r="A1664" s="36"/>
      <c r="B1664" s="311"/>
      <c r="C1664" s="528" t="s">
        <v>863</v>
      </c>
      <c r="D1664" s="472"/>
      <c r="E1664" s="311">
        <v>12456021001</v>
      </c>
      <c r="F1664" s="529" t="s">
        <v>1337</v>
      </c>
      <c r="G1664" s="530"/>
      <c r="H1664" s="472" t="s">
        <v>65</v>
      </c>
      <c r="I1664" s="472">
        <v>1</v>
      </c>
      <c r="J1664" s="279" t="s">
        <v>49</v>
      </c>
      <c r="K1664" s="279"/>
      <c r="L1664" s="392"/>
      <c r="M1664" s="279"/>
      <c r="N1664" s="279"/>
      <c r="O1664" s="333"/>
      <c r="P1664" s="333"/>
      <c r="Q1664" s="132"/>
      <c r="R1664" s="94"/>
    </row>
    <row r="1665" spans="1:18" outlineLevel="1">
      <c r="A1665" s="36"/>
      <c r="B1665" s="311"/>
      <c r="C1665" s="528" t="s">
        <v>863</v>
      </c>
      <c r="D1665" s="472"/>
      <c r="E1665" s="311">
        <v>12456121001</v>
      </c>
      <c r="F1665" s="529" t="s">
        <v>1338</v>
      </c>
      <c r="G1665" s="530"/>
      <c r="H1665" s="472" t="s">
        <v>65</v>
      </c>
      <c r="I1665" s="472">
        <v>1</v>
      </c>
      <c r="J1665" s="279" t="s">
        <v>49</v>
      </c>
      <c r="K1665" s="279"/>
      <c r="L1665" s="392"/>
      <c r="M1665" s="279"/>
      <c r="N1665" s="279"/>
      <c r="O1665" s="333"/>
      <c r="P1665" s="333"/>
      <c r="Q1665" s="132"/>
      <c r="R1665" s="96"/>
    </row>
    <row r="1666" spans="1:18" outlineLevel="1">
      <c r="A1666" s="36"/>
      <c r="B1666" s="311"/>
      <c r="C1666" s="528" t="s">
        <v>863</v>
      </c>
      <c r="D1666" s="472"/>
      <c r="E1666" s="311">
        <v>12332421001</v>
      </c>
      <c r="F1666" s="529" t="s">
        <v>1339</v>
      </c>
      <c r="G1666" s="530"/>
      <c r="H1666" s="472" t="s">
        <v>65</v>
      </c>
      <c r="I1666" s="472">
        <v>1</v>
      </c>
      <c r="J1666" s="279" t="s">
        <v>49</v>
      </c>
      <c r="K1666" s="279"/>
      <c r="L1666" s="392"/>
      <c r="M1666" s="279"/>
      <c r="N1666" s="279"/>
      <c r="O1666" s="333"/>
      <c r="P1666" s="333"/>
      <c r="Q1666" s="132"/>
      <c r="R1666" s="94"/>
    </row>
    <row r="1667" spans="1:18" outlineLevel="1">
      <c r="A1667" s="36"/>
      <c r="B1667" s="311"/>
      <c r="C1667" s="528" t="s">
        <v>863</v>
      </c>
      <c r="D1667" s="472"/>
      <c r="E1667" s="311">
        <v>12456321001</v>
      </c>
      <c r="F1667" s="529" t="s">
        <v>1340</v>
      </c>
      <c r="G1667" s="530"/>
      <c r="H1667" s="472" t="s">
        <v>65</v>
      </c>
      <c r="I1667" s="472">
        <v>1</v>
      </c>
      <c r="J1667" s="279" t="s">
        <v>49</v>
      </c>
      <c r="K1667" s="279"/>
      <c r="L1667" s="392"/>
      <c r="M1667" s="279"/>
      <c r="N1667" s="279"/>
      <c r="O1667" s="333"/>
      <c r="P1667" s="333"/>
      <c r="Q1667" s="132"/>
      <c r="R1667" s="94"/>
    </row>
    <row r="1668" spans="1:18" outlineLevel="1">
      <c r="A1668" s="36"/>
      <c r="B1668" s="456"/>
      <c r="C1668" s="500"/>
      <c r="D1668" s="387"/>
      <c r="E1668" s="188"/>
      <c r="F1668" s="388"/>
      <c r="G1668" s="455"/>
      <c r="H1668" s="387"/>
      <c r="I1668" s="387"/>
      <c r="J1668" s="212"/>
      <c r="K1668" s="212"/>
      <c r="L1668" s="392"/>
      <c r="M1668" s="279"/>
      <c r="N1668" s="279"/>
      <c r="O1668" s="333"/>
      <c r="P1668" s="333"/>
      <c r="Q1668" s="132"/>
      <c r="R1668" s="94"/>
    </row>
    <row r="1669" spans="1:18" outlineLevel="1">
      <c r="A1669" s="36"/>
      <c r="B1669" s="311"/>
      <c r="C1669" s="528" t="s">
        <v>863</v>
      </c>
      <c r="D1669" s="472"/>
      <c r="E1669" s="311">
        <v>12456421001</v>
      </c>
      <c r="F1669" s="529" t="s">
        <v>1341</v>
      </c>
      <c r="G1669" s="530"/>
      <c r="H1669" s="472" t="s">
        <v>65</v>
      </c>
      <c r="I1669" s="472">
        <v>1</v>
      </c>
      <c r="J1669" s="279" t="s">
        <v>49</v>
      </c>
      <c r="K1669" s="279"/>
      <c r="L1669" s="392"/>
      <c r="M1669" s="279"/>
      <c r="N1669" s="279"/>
      <c r="O1669" s="333"/>
      <c r="P1669" s="333"/>
      <c r="Q1669" s="132"/>
      <c r="R1669" s="94"/>
    </row>
    <row r="1670" spans="1:18" outlineLevel="1">
      <c r="A1670" s="36"/>
      <c r="B1670" s="311"/>
      <c r="C1670" s="528" t="s">
        <v>863</v>
      </c>
      <c r="D1670" s="472"/>
      <c r="E1670" s="311">
        <v>12456521001</v>
      </c>
      <c r="F1670" s="529" t="s">
        <v>1342</v>
      </c>
      <c r="G1670" s="530"/>
      <c r="H1670" s="472" t="s">
        <v>65</v>
      </c>
      <c r="I1670" s="472">
        <v>1</v>
      </c>
      <c r="J1670" s="279" t="s">
        <v>49</v>
      </c>
      <c r="K1670" s="279"/>
      <c r="L1670" s="392"/>
      <c r="M1670" s="279"/>
      <c r="N1670" s="279"/>
      <c r="O1670" s="333"/>
      <c r="P1670" s="333"/>
      <c r="Q1670" s="132"/>
      <c r="R1670" s="94"/>
    </row>
    <row r="1671" spans="1:18" outlineLevel="1">
      <c r="A1671" s="36"/>
      <c r="B1671" s="311"/>
      <c r="C1671" s="528" t="s">
        <v>863</v>
      </c>
      <c r="D1671" s="472"/>
      <c r="E1671" s="311">
        <v>12456621001</v>
      </c>
      <c r="F1671" s="529" t="s">
        <v>1343</v>
      </c>
      <c r="G1671" s="530"/>
      <c r="H1671" s="472" t="s">
        <v>65</v>
      </c>
      <c r="I1671" s="472">
        <v>1</v>
      </c>
      <c r="J1671" s="279" t="s">
        <v>49</v>
      </c>
      <c r="K1671" s="279"/>
      <c r="L1671" s="392"/>
      <c r="M1671" s="279"/>
      <c r="N1671" s="279"/>
      <c r="O1671" s="333"/>
      <c r="P1671" s="333"/>
      <c r="Q1671" s="132"/>
      <c r="R1671" s="94"/>
    </row>
    <row r="1672" spans="1:18" outlineLevel="1">
      <c r="A1672" s="36"/>
      <c r="B1672" s="311"/>
      <c r="C1672" s="528" t="s">
        <v>863</v>
      </c>
      <c r="D1672" s="472"/>
      <c r="E1672" s="311">
        <v>12456721001</v>
      </c>
      <c r="F1672" s="529" t="s">
        <v>1344</v>
      </c>
      <c r="G1672" s="530"/>
      <c r="H1672" s="472" t="s">
        <v>65</v>
      </c>
      <c r="I1672" s="472">
        <v>1</v>
      </c>
      <c r="J1672" s="279" t="s">
        <v>49</v>
      </c>
      <c r="K1672" s="279"/>
      <c r="L1672" s="392"/>
      <c r="M1672" s="279"/>
      <c r="N1672" s="279"/>
      <c r="O1672" s="333"/>
      <c r="P1672" s="333"/>
      <c r="Q1672" s="132"/>
      <c r="R1672" s="94"/>
    </row>
    <row r="1673" spans="1:18" outlineLevel="1">
      <c r="A1673" s="36"/>
      <c r="B1673" s="311"/>
      <c r="C1673" s="528" t="s">
        <v>863</v>
      </c>
      <c r="D1673" s="472"/>
      <c r="E1673" s="311">
        <v>12456821001</v>
      </c>
      <c r="F1673" s="529" t="s">
        <v>1345</v>
      </c>
      <c r="G1673" s="530"/>
      <c r="H1673" s="472" t="s">
        <v>65</v>
      </c>
      <c r="I1673" s="472">
        <v>1</v>
      </c>
      <c r="J1673" s="279" t="s">
        <v>49</v>
      </c>
      <c r="K1673" s="279"/>
      <c r="L1673" s="392"/>
      <c r="M1673" s="279"/>
      <c r="N1673" s="279"/>
      <c r="O1673" s="333"/>
      <c r="P1673" s="333"/>
      <c r="Q1673" s="132"/>
      <c r="R1673" s="94"/>
    </row>
    <row r="1674" spans="1:18" outlineLevel="1">
      <c r="A1674" s="36"/>
      <c r="B1674" s="311"/>
      <c r="C1674" s="528" t="s">
        <v>863</v>
      </c>
      <c r="D1674" s="472"/>
      <c r="E1674" s="311">
        <v>12456921001</v>
      </c>
      <c r="F1674" s="529" t="s">
        <v>1346</v>
      </c>
      <c r="G1674" s="530"/>
      <c r="H1674" s="472" t="s">
        <v>65</v>
      </c>
      <c r="I1674" s="472">
        <v>1</v>
      </c>
      <c r="J1674" s="279" t="s">
        <v>49</v>
      </c>
      <c r="K1674" s="279"/>
      <c r="L1674" s="392"/>
      <c r="M1674" s="279"/>
      <c r="N1674" s="279"/>
      <c r="O1674" s="333"/>
      <c r="P1674" s="333"/>
      <c r="Q1674" s="132"/>
      <c r="R1674" s="94"/>
    </row>
    <row r="1675" spans="1:18" outlineLevel="1">
      <c r="A1675" s="36"/>
      <c r="B1675" s="311"/>
      <c r="C1675" s="528" t="s">
        <v>863</v>
      </c>
      <c r="D1675" s="472"/>
      <c r="E1675" s="311">
        <v>12457021001</v>
      </c>
      <c r="F1675" s="529" t="s">
        <v>1347</v>
      </c>
      <c r="G1675" s="530"/>
      <c r="H1675" s="472" t="s">
        <v>65</v>
      </c>
      <c r="I1675" s="472">
        <v>1</v>
      </c>
      <c r="J1675" s="279" t="s">
        <v>49</v>
      </c>
      <c r="K1675" s="279"/>
      <c r="L1675" s="392"/>
      <c r="M1675" s="279"/>
      <c r="N1675" s="279"/>
      <c r="O1675" s="333"/>
      <c r="P1675" s="333"/>
      <c r="Q1675" s="132"/>
      <c r="R1675" s="94"/>
    </row>
    <row r="1676" spans="1:18" outlineLevel="1">
      <c r="A1676" s="36"/>
      <c r="B1676" s="311"/>
      <c r="C1676" s="528" t="s">
        <v>863</v>
      </c>
      <c r="D1676" s="472"/>
      <c r="E1676" s="311">
        <v>12457121001</v>
      </c>
      <c r="F1676" s="529" t="s">
        <v>1348</v>
      </c>
      <c r="G1676" s="530"/>
      <c r="H1676" s="472" t="s">
        <v>65</v>
      </c>
      <c r="I1676" s="472">
        <v>1</v>
      </c>
      <c r="J1676" s="279" t="s">
        <v>49</v>
      </c>
      <c r="K1676" s="279"/>
      <c r="L1676" s="392"/>
      <c r="M1676" s="279"/>
      <c r="N1676" s="279"/>
      <c r="O1676" s="333"/>
      <c r="P1676" s="333"/>
      <c r="Q1676" s="132"/>
      <c r="R1676" s="94"/>
    </row>
    <row r="1677" spans="1:18" outlineLevel="1">
      <c r="A1677" s="36"/>
      <c r="B1677" s="311"/>
      <c r="C1677" s="528" t="s">
        <v>863</v>
      </c>
      <c r="D1677" s="472"/>
      <c r="E1677" s="311">
        <v>12457221001</v>
      </c>
      <c r="F1677" s="529" t="s">
        <v>1349</v>
      </c>
      <c r="G1677" s="530"/>
      <c r="H1677" s="472" t="s">
        <v>65</v>
      </c>
      <c r="I1677" s="472">
        <v>1</v>
      </c>
      <c r="J1677" s="279" t="s">
        <v>49</v>
      </c>
      <c r="K1677" s="279"/>
      <c r="L1677" s="392"/>
      <c r="M1677" s="279"/>
      <c r="N1677" s="279"/>
      <c r="O1677" s="333"/>
      <c r="P1677" s="333"/>
      <c r="Q1677" s="132"/>
      <c r="R1677" s="96"/>
    </row>
    <row r="1678" spans="1:18" outlineLevel="1">
      <c r="A1678" s="36"/>
      <c r="B1678" s="311"/>
      <c r="C1678" s="528" t="s">
        <v>863</v>
      </c>
      <c r="D1678" s="472"/>
      <c r="E1678" s="311">
        <v>12332521001</v>
      </c>
      <c r="F1678" s="529" t="s">
        <v>1350</v>
      </c>
      <c r="G1678" s="530"/>
      <c r="H1678" s="472" t="s">
        <v>65</v>
      </c>
      <c r="I1678" s="472">
        <v>1</v>
      </c>
      <c r="J1678" s="279" t="s">
        <v>49</v>
      </c>
      <c r="K1678" s="279"/>
      <c r="L1678" s="392"/>
      <c r="M1678" s="279"/>
      <c r="N1678" s="279"/>
      <c r="O1678" s="333"/>
      <c r="P1678" s="333"/>
      <c r="Q1678" s="132"/>
      <c r="R1678" s="94"/>
    </row>
    <row r="1679" spans="1:18" outlineLevel="1">
      <c r="A1679" s="36"/>
      <c r="B1679" s="311"/>
      <c r="C1679" s="528" t="s">
        <v>863</v>
      </c>
      <c r="D1679" s="472"/>
      <c r="E1679" s="311">
        <v>12457421001</v>
      </c>
      <c r="F1679" s="529" t="s">
        <v>1351</v>
      </c>
      <c r="G1679" s="530"/>
      <c r="H1679" s="472" t="s">
        <v>65</v>
      </c>
      <c r="I1679" s="472">
        <v>1</v>
      </c>
      <c r="J1679" s="279" t="s">
        <v>49</v>
      </c>
      <c r="K1679" s="279"/>
      <c r="L1679" s="392"/>
      <c r="M1679" s="279"/>
      <c r="N1679" s="279"/>
      <c r="O1679" s="333"/>
      <c r="P1679" s="333"/>
      <c r="Q1679" s="132"/>
      <c r="R1679" s="94"/>
    </row>
    <row r="1680" spans="1:18" outlineLevel="1">
      <c r="A1680" s="36"/>
      <c r="B1680" s="456"/>
      <c r="C1680" s="500"/>
      <c r="D1680" s="387"/>
      <c r="E1680" s="188"/>
      <c r="F1680" s="388"/>
      <c r="G1680" s="455"/>
      <c r="H1680" s="387"/>
      <c r="I1680" s="387"/>
      <c r="J1680" s="212"/>
      <c r="K1680" s="212"/>
      <c r="L1680" s="392"/>
      <c r="M1680" s="279"/>
      <c r="N1680" s="279"/>
      <c r="O1680" s="333"/>
      <c r="P1680" s="333"/>
      <c r="Q1680" s="132"/>
      <c r="R1680" s="94"/>
    </row>
    <row r="1681" spans="1:38" outlineLevel="1">
      <c r="A1681" s="36"/>
      <c r="B1681" s="311"/>
      <c r="C1681" s="528" t="s">
        <v>863</v>
      </c>
      <c r="D1681" s="472"/>
      <c r="E1681" s="311">
        <v>12460021001</v>
      </c>
      <c r="F1681" s="529" t="s">
        <v>1352</v>
      </c>
      <c r="G1681" s="530"/>
      <c r="H1681" s="472" t="s">
        <v>65</v>
      </c>
      <c r="I1681" s="472">
        <v>1</v>
      </c>
      <c r="J1681" s="279" t="s">
        <v>49</v>
      </c>
      <c r="K1681" s="279"/>
      <c r="L1681" s="392"/>
      <c r="M1681" s="279"/>
      <c r="N1681" s="279"/>
      <c r="O1681" s="333"/>
      <c r="P1681" s="333"/>
      <c r="Q1681" s="132"/>
      <c r="R1681" s="94"/>
    </row>
    <row r="1682" spans="1:38" outlineLevel="1">
      <c r="A1682" s="36"/>
      <c r="B1682" s="311"/>
      <c r="C1682" s="528" t="s">
        <v>863</v>
      </c>
      <c r="D1682" s="472"/>
      <c r="E1682" s="311">
        <v>12460121001</v>
      </c>
      <c r="F1682" s="529" t="s">
        <v>1353</v>
      </c>
      <c r="G1682" s="530"/>
      <c r="H1682" s="472" t="s">
        <v>65</v>
      </c>
      <c r="I1682" s="472">
        <v>1</v>
      </c>
      <c r="J1682" s="279" t="s">
        <v>49</v>
      </c>
      <c r="K1682" s="279"/>
      <c r="L1682" s="392"/>
      <c r="M1682" s="279"/>
      <c r="N1682" s="279"/>
      <c r="O1682" s="333"/>
      <c r="P1682" s="333"/>
      <c r="Q1682" s="132"/>
      <c r="R1682" s="94"/>
    </row>
    <row r="1683" spans="1:38" outlineLevel="1">
      <c r="A1683" s="36"/>
      <c r="B1683" s="311"/>
      <c r="C1683" s="528" t="s">
        <v>863</v>
      </c>
      <c r="D1683" s="472"/>
      <c r="E1683" s="311">
        <v>12460221001</v>
      </c>
      <c r="F1683" s="529" t="s">
        <v>1354</v>
      </c>
      <c r="G1683" s="530"/>
      <c r="H1683" s="472" t="s">
        <v>65</v>
      </c>
      <c r="I1683" s="472">
        <v>1</v>
      </c>
      <c r="J1683" s="279" t="s">
        <v>49</v>
      </c>
      <c r="K1683" s="279"/>
      <c r="L1683" s="392"/>
      <c r="M1683" s="279"/>
      <c r="N1683" s="279"/>
      <c r="O1683" s="333"/>
      <c r="P1683" s="333"/>
      <c r="Q1683" s="132"/>
      <c r="R1683" s="94"/>
    </row>
    <row r="1684" spans="1:38" outlineLevel="1">
      <c r="A1684" s="36"/>
      <c r="B1684" s="311"/>
      <c r="C1684" s="528" t="s">
        <v>863</v>
      </c>
      <c r="D1684" s="472"/>
      <c r="E1684" s="311">
        <v>12460321001</v>
      </c>
      <c r="F1684" s="529" t="s">
        <v>1355</v>
      </c>
      <c r="G1684" s="530"/>
      <c r="H1684" s="472" t="s">
        <v>65</v>
      </c>
      <c r="I1684" s="472">
        <v>1</v>
      </c>
      <c r="J1684" s="279" t="s">
        <v>49</v>
      </c>
      <c r="K1684" s="279"/>
      <c r="L1684" s="392"/>
      <c r="M1684" s="279"/>
      <c r="N1684" s="279"/>
      <c r="O1684" s="333"/>
      <c r="P1684" s="333"/>
      <c r="Q1684" s="132"/>
      <c r="R1684" s="94"/>
      <c r="AL1684" s="74"/>
    </row>
    <row r="1685" spans="1:38" outlineLevel="1">
      <c r="A1685" s="36"/>
      <c r="B1685" s="311"/>
      <c r="C1685" s="528" t="s">
        <v>863</v>
      </c>
      <c r="D1685" s="472"/>
      <c r="E1685" s="311">
        <v>12460421001</v>
      </c>
      <c r="F1685" s="529" t="s">
        <v>1356</v>
      </c>
      <c r="G1685" s="530"/>
      <c r="H1685" s="472" t="s">
        <v>65</v>
      </c>
      <c r="I1685" s="472">
        <v>1</v>
      </c>
      <c r="J1685" s="279" t="s">
        <v>49</v>
      </c>
      <c r="K1685" s="279"/>
      <c r="L1685" s="392"/>
      <c r="M1685" s="279"/>
      <c r="N1685" s="279"/>
      <c r="O1685" s="333"/>
      <c r="P1685" s="333"/>
      <c r="Q1685" s="132"/>
      <c r="R1685" s="94"/>
    </row>
    <row r="1686" spans="1:38" outlineLevel="1">
      <c r="A1686" s="36"/>
      <c r="B1686" s="311"/>
      <c r="C1686" s="528" t="s">
        <v>863</v>
      </c>
      <c r="D1686" s="472"/>
      <c r="E1686" s="311">
        <v>12460521001</v>
      </c>
      <c r="F1686" s="529" t="s">
        <v>1357</v>
      </c>
      <c r="G1686" s="530"/>
      <c r="H1686" s="472" t="s">
        <v>65</v>
      </c>
      <c r="I1686" s="472">
        <v>1</v>
      </c>
      <c r="J1686" s="279" t="s">
        <v>49</v>
      </c>
      <c r="K1686" s="279"/>
      <c r="L1686" s="392"/>
      <c r="M1686" s="279"/>
      <c r="N1686" s="279"/>
      <c r="O1686" s="333"/>
      <c r="P1686" s="333"/>
      <c r="Q1686" s="132"/>
      <c r="R1686" s="94"/>
    </row>
    <row r="1687" spans="1:38" s="74" customFormat="1" outlineLevel="1">
      <c r="A1687" s="156"/>
      <c r="B1687" s="311"/>
      <c r="C1687" s="528" t="s">
        <v>863</v>
      </c>
      <c r="D1687" s="472"/>
      <c r="E1687" s="311">
        <v>12460721001</v>
      </c>
      <c r="F1687" s="529" t="s">
        <v>1358</v>
      </c>
      <c r="G1687" s="530"/>
      <c r="H1687" s="472" t="s">
        <v>65</v>
      </c>
      <c r="I1687" s="472">
        <v>1</v>
      </c>
      <c r="J1687" s="279" t="s">
        <v>49</v>
      </c>
      <c r="K1687" s="279"/>
      <c r="L1687" s="392"/>
      <c r="M1687" s="279"/>
      <c r="N1687" s="279"/>
      <c r="O1687" s="333"/>
      <c r="P1687" s="333"/>
      <c r="Q1687" s="132"/>
      <c r="R1687" s="94"/>
      <c r="AK1687"/>
      <c r="AL1687"/>
    </row>
    <row r="1688" spans="1:38" outlineLevel="1">
      <c r="A1688" s="36"/>
      <c r="B1688" s="311"/>
      <c r="C1688" s="528" t="s">
        <v>863</v>
      </c>
      <c r="D1688" s="472"/>
      <c r="E1688" s="311">
        <v>12460821001</v>
      </c>
      <c r="F1688" s="529" t="s">
        <v>1359</v>
      </c>
      <c r="G1688" s="530"/>
      <c r="H1688" s="472" t="s">
        <v>65</v>
      </c>
      <c r="I1688" s="472">
        <v>1</v>
      </c>
      <c r="J1688" s="279" t="s">
        <v>49</v>
      </c>
      <c r="K1688" s="279"/>
      <c r="L1688" s="392"/>
      <c r="M1688" s="279"/>
      <c r="N1688" s="279"/>
      <c r="O1688" s="333"/>
      <c r="P1688" s="333"/>
      <c r="Q1688" s="132"/>
      <c r="R1688" s="94"/>
    </row>
    <row r="1689" spans="1:38" outlineLevel="1">
      <c r="A1689" s="36"/>
      <c r="B1689" s="311"/>
      <c r="C1689" s="528" t="s">
        <v>863</v>
      </c>
      <c r="D1689" s="472"/>
      <c r="E1689" s="311">
        <v>12460921001</v>
      </c>
      <c r="F1689" s="529" t="s">
        <v>1360</v>
      </c>
      <c r="G1689" s="530"/>
      <c r="H1689" s="472" t="s">
        <v>65</v>
      </c>
      <c r="I1689" s="472">
        <v>1</v>
      </c>
      <c r="J1689" s="279" t="s">
        <v>49</v>
      </c>
      <c r="K1689" s="279"/>
      <c r="L1689" s="392"/>
      <c r="M1689" s="279"/>
      <c r="N1689" s="279"/>
      <c r="O1689" s="333"/>
      <c r="P1689" s="333"/>
      <c r="Q1689" s="132"/>
      <c r="R1689" s="94"/>
    </row>
    <row r="1690" spans="1:38" outlineLevel="1">
      <c r="A1690" s="36"/>
      <c r="B1690" s="311"/>
      <c r="C1690" s="528" t="s">
        <v>863</v>
      </c>
      <c r="D1690" s="472"/>
      <c r="E1690" s="311">
        <v>12461121001</v>
      </c>
      <c r="F1690" s="529" t="s">
        <v>1361</v>
      </c>
      <c r="G1690" s="530"/>
      <c r="H1690" s="472" t="s">
        <v>65</v>
      </c>
      <c r="I1690" s="472">
        <v>1</v>
      </c>
      <c r="J1690" s="279" t="s">
        <v>49</v>
      </c>
      <c r="K1690" s="279"/>
      <c r="L1690" s="392"/>
      <c r="M1690" s="279"/>
      <c r="N1690" s="279"/>
      <c r="O1690" s="333"/>
      <c r="P1690" s="333"/>
      <c r="Q1690" s="132"/>
      <c r="R1690" s="94"/>
    </row>
    <row r="1691" spans="1:38" outlineLevel="1">
      <c r="A1691" s="36"/>
      <c r="B1691" s="311"/>
      <c r="C1691" s="528" t="s">
        <v>863</v>
      </c>
      <c r="D1691" s="472"/>
      <c r="E1691" s="311">
        <v>12461221001</v>
      </c>
      <c r="F1691" s="529" t="s">
        <v>1362</v>
      </c>
      <c r="G1691" s="530"/>
      <c r="H1691" s="472" t="s">
        <v>65</v>
      </c>
      <c r="I1691" s="472">
        <v>1</v>
      </c>
      <c r="J1691" s="279" t="s">
        <v>49</v>
      </c>
      <c r="K1691" s="279"/>
      <c r="L1691" s="392"/>
      <c r="M1691" s="279"/>
      <c r="N1691" s="279"/>
      <c r="O1691" s="333"/>
      <c r="P1691" s="333"/>
      <c r="Q1691" s="132"/>
      <c r="R1691" s="94"/>
    </row>
    <row r="1692" spans="1:38" outlineLevel="1">
      <c r="A1692" s="36"/>
      <c r="B1692" s="311"/>
      <c r="C1692" s="528" t="s">
        <v>863</v>
      </c>
      <c r="D1692" s="472"/>
      <c r="E1692" s="311">
        <v>12461321001</v>
      </c>
      <c r="F1692" s="529" t="s">
        <v>1363</v>
      </c>
      <c r="G1692" s="530"/>
      <c r="H1692" s="472" t="s">
        <v>65</v>
      </c>
      <c r="I1692" s="472">
        <v>1</v>
      </c>
      <c r="J1692" s="279" t="s">
        <v>49</v>
      </c>
      <c r="K1692" s="279"/>
      <c r="L1692" s="392"/>
      <c r="M1692" s="279"/>
      <c r="N1692" s="279"/>
      <c r="O1692" s="333"/>
      <c r="P1692" s="333"/>
      <c r="Q1692" s="132"/>
      <c r="R1692" s="96"/>
    </row>
    <row r="1693" spans="1:38" outlineLevel="1">
      <c r="A1693" s="36"/>
      <c r="B1693" s="311"/>
      <c r="C1693" s="528" t="s">
        <v>863</v>
      </c>
      <c r="D1693" s="472"/>
      <c r="E1693" s="311">
        <v>12466921001</v>
      </c>
      <c r="F1693" s="529" t="s">
        <v>1364</v>
      </c>
      <c r="G1693" s="530"/>
      <c r="H1693" s="472" t="s">
        <v>65</v>
      </c>
      <c r="I1693" s="472">
        <v>1</v>
      </c>
      <c r="J1693" s="279" t="s">
        <v>49</v>
      </c>
      <c r="K1693" s="279"/>
      <c r="L1693" s="392"/>
      <c r="M1693" s="279"/>
      <c r="N1693" s="279"/>
      <c r="O1693" s="333"/>
      <c r="P1693" s="333"/>
      <c r="Q1693" s="132"/>
      <c r="R1693" s="94"/>
      <c r="AL1693" s="74"/>
    </row>
    <row r="1694" spans="1:38" outlineLevel="1">
      <c r="A1694" s="36"/>
      <c r="B1694" s="311"/>
      <c r="C1694" s="528" t="s">
        <v>863</v>
      </c>
      <c r="D1694" s="472"/>
      <c r="E1694" s="311">
        <v>12468121001</v>
      </c>
      <c r="F1694" s="529" t="s">
        <v>1365</v>
      </c>
      <c r="G1694" s="530"/>
      <c r="H1694" s="472" t="s">
        <v>65</v>
      </c>
      <c r="I1694" s="472">
        <v>1</v>
      </c>
      <c r="J1694" s="279" t="s">
        <v>49</v>
      </c>
      <c r="K1694" s="279"/>
      <c r="L1694" s="392"/>
      <c r="M1694" s="279"/>
      <c r="N1694" s="279"/>
      <c r="O1694" s="333"/>
      <c r="P1694" s="333"/>
      <c r="Q1694" s="132"/>
      <c r="R1694" s="94"/>
      <c r="AL1694" s="74"/>
    </row>
    <row r="1695" spans="1:38" outlineLevel="1">
      <c r="A1695" s="36"/>
      <c r="B1695" s="456"/>
      <c r="C1695" s="500"/>
      <c r="D1695" s="387"/>
      <c r="E1695" s="188"/>
      <c r="F1695" s="388"/>
      <c r="G1695" s="455"/>
      <c r="H1695" s="387"/>
      <c r="I1695" s="387"/>
      <c r="J1695" s="212"/>
      <c r="K1695" s="212"/>
      <c r="L1695" s="392"/>
      <c r="M1695" s="279"/>
      <c r="N1695" s="279"/>
      <c r="O1695" s="333"/>
      <c r="P1695" s="333"/>
      <c r="Q1695" s="132"/>
      <c r="R1695" s="94"/>
      <c r="AL1695" s="74"/>
    </row>
    <row r="1696" spans="1:38" s="74" customFormat="1" outlineLevel="1">
      <c r="A1696" s="156"/>
      <c r="B1696" s="225" t="s">
        <v>52</v>
      </c>
      <c r="C1696" s="514" t="s">
        <v>863</v>
      </c>
      <c r="D1696" s="515"/>
      <c r="E1696" s="225">
        <v>12451171001</v>
      </c>
      <c r="F1696" s="516" t="s">
        <v>1366</v>
      </c>
      <c r="G1696" s="502"/>
      <c r="H1696" s="515" t="s">
        <v>65</v>
      </c>
      <c r="I1696" s="515">
        <v>1</v>
      </c>
      <c r="J1696" s="229" t="s">
        <v>49</v>
      </c>
      <c r="K1696" s="229"/>
      <c r="L1696" s="517"/>
      <c r="M1696" s="229"/>
      <c r="N1696" s="229"/>
      <c r="O1696" s="230"/>
      <c r="P1696" s="230"/>
      <c r="Q1696" s="132"/>
      <c r="R1696" s="94"/>
      <c r="AK1696"/>
    </row>
    <row r="1697" spans="1:38" s="74" customFormat="1" outlineLevel="1">
      <c r="A1697" s="156"/>
      <c r="B1697" s="225" t="s">
        <v>52</v>
      </c>
      <c r="C1697" s="514" t="s">
        <v>863</v>
      </c>
      <c r="D1697" s="515"/>
      <c r="E1697" s="225">
        <v>12451271001</v>
      </c>
      <c r="F1697" s="516" t="s">
        <v>1367</v>
      </c>
      <c r="G1697" s="502"/>
      <c r="H1697" s="515" t="s">
        <v>65</v>
      </c>
      <c r="I1697" s="515">
        <v>1</v>
      </c>
      <c r="J1697" s="229" t="s">
        <v>49</v>
      </c>
      <c r="K1697" s="229"/>
      <c r="L1697" s="517"/>
      <c r="M1697" s="229"/>
      <c r="N1697" s="229"/>
      <c r="O1697" s="230"/>
      <c r="P1697" s="230"/>
      <c r="Q1697" s="132"/>
      <c r="R1697" s="94"/>
      <c r="AK1697"/>
    </row>
    <row r="1698" spans="1:38" s="74" customFormat="1" outlineLevel="1">
      <c r="A1698" s="156"/>
      <c r="B1698" s="225" t="s">
        <v>52</v>
      </c>
      <c r="C1698" s="514" t="s">
        <v>863</v>
      </c>
      <c r="D1698" s="515"/>
      <c r="E1698" s="225">
        <v>12451371001</v>
      </c>
      <c r="F1698" s="516" t="s">
        <v>1368</v>
      </c>
      <c r="G1698" s="502"/>
      <c r="H1698" s="515" t="s">
        <v>65</v>
      </c>
      <c r="I1698" s="515">
        <v>1</v>
      </c>
      <c r="J1698" s="229" t="s">
        <v>49</v>
      </c>
      <c r="K1698" s="229"/>
      <c r="L1698" s="517"/>
      <c r="M1698" s="229"/>
      <c r="N1698" s="229"/>
      <c r="O1698" s="230"/>
      <c r="P1698" s="230"/>
      <c r="Q1698" s="132"/>
      <c r="R1698" s="94"/>
      <c r="AK1698"/>
    </row>
    <row r="1699" spans="1:38" s="74" customFormat="1" outlineLevel="1">
      <c r="A1699" s="156"/>
      <c r="B1699" s="225" t="s">
        <v>52</v>
      </c>
      <c r="C1699" s="514" t="s">
        <v>863</v>
      </c>
      <c r="D1699" s="515"/>
      <c r="E1699" s="225">
        <v>12451471001</v>
      </c>
      <c r="F1699" s="516" t="s">
        <v>1369</v>
      </c>
      <c r="G1699" s="502"/>
      <c r="H1699" s="515" t="s">
        <v>65</v>
      </c>
      <c r="I1699" s="515">
        <v>1</v>
      </c>
      <c r="J1699" s="229" t="s">
        <v>49</v>
      </c>
      <c r="K1699" s="229"/>
      <c r="L1699" s="517"/>
      <c r="M1699" s="229"/>
      <c r="N1699" s="229"/>
      <c r="O1699" s="230"/>
      <c r="P1699" s="230"/>
      <c r="Q1699" s="132"/>
      <c r="R1699" s="94"/>
      <c r="AK1699"/>
    </row>
    <row r="1700" spans="1:38" s="74" customFormat="1" outlineLevel="1">
      <c r="A1700" s="156"/>
      <c r="B1700" s="225" t="s">
        <v>52</v>
      </c>
      <c r="C1700" s="514" t="s">
        <v>863</v>
      </c>
      <c r="D1700" s="515"/>
      <c r="E1700" s="225">
        <v>12451571001</v>
      </c>
      <c r="F1700" s="516" t="s">
        <v>1370</v>
      </c>
      <c r="G1700" s="502"/>
      <c r="H1700" s="515" t="s">
        <v>65</v>
      </c>
      <c r="I1700" s="515">
        <v>1</v>
      </c>
      <c r="J1700" s="229" t="s">
        <v>49</v>
      </c>
      <c r="K1700" s="229"/>
      <c r="L1700" s="517"/>
      <c r="M1700" s="229"/>
      <c r="N1700" s="229"/>
      <c r="O1700" s="230"/>
      <c r="P1700" s="230"/>
      <c r="Q1700" s="132"/>
      <c r="R1700" s="97"/>
      <c r="AK1700"/>
      <c r="AL1700"/>
    </row>
    <row r="1701" spans="1:38" s="74" customFormat="1" outlineLevel="1">
      <c r="A1701" s="156"/>
      <c r="B1701" s="225" t="s">
        <v>52</v>
      </c>
      <c r="C1701" s="514" t="s">
        <v>863</v>
      </c>
      <c r="D1701" s="515"/>
      <c r="E1701" s="225">
        <v>12451671001</v>
      </c>
      <c r="F1701" s="516" t="s">
        <v>1371</v>
      </c>
      <c r="G1701" s="502"/>
      <c r="H1701" s="515" t="s">
        <v>65</v>
      </c>
      <c r="I1701" s="515">
        <v>1</v>
      </c>
      <c r="J1701" s="229" t="s">
        <v>49</v>
      </c>
      <c r="K1701" s="229"/>
      <c r="L1701" s="517"/>
      <c r="M1701" s="229"/>
      <c r="N1701" s="229"/>
      <c r="O1701" s="230"/>
      <c r="P1701" s="230"/>
      <c r="Q1701" s="132"/>
      <c r="R1701" s="94"/>
      <c r="AK1701"/>
      <c r="AL1701"/>
    </row>
    <row r="1702" spans="1:38" s="74" customFormat="1" outlineLevel="1">
      <c r="A1702" s="156"/>
      <c r="B1702" s="225" t="s">
        <v>52</v>
      </c>
      <c r="C1702" s="514" t="s">
        <v>863</v>
      </c>
      <c r="D1702" s="515"/>
      <c r="E1702" s="225">
        <v>12451771001</v>
      </c>
      <c r="F1702" s="516" t="s">
        <v>1372</v>
      </c>
      <c r="G1702" s="502"/>
      <c r="H1702" s="515" t="s">
        <v>65</v>
      </c>
      <c r="I1702" s="515">
        <v>1</v>
      </c>
      <c r="J1702" s="229" t="s">
        <v>49</v>
      </c>
      <c r="K1702" s="229"/>
      <c r="L1702" s="517"/>
      <c r="M1702" s="229"/>
      <c r="N1702" s="229"/>
      <c r="O1702" s="230"/>
      <c r="P1702" s="230"/>
      <c r="Q1702" s="132"/>
      <c r="R1702" s="94"/>
      <c r="AK1702"/>
      <c r="AL1702"/>
    </row>
    <row r="1703" spans="1:38" outlineLevel="1">
      <c r="A1703" s="36"/>
      <c r="B1703" s="456"/>
      <c r="C1703" s="500"/>
      <c r="D1703" s="387"/>
      <c r="E1703" s="188"/>
      <c r="F1703" s="388"/>
      <c r="G1703" s="455"/>
      <c r="H1703" s="387"/>
      <c r="I1703" s="387"/>
      <c r="J1703" s="212"/>
      <c r="K1703" s="212"/>
      <c r="L1703" s="392"/>
      <c r="M1703" s="279"/>
      <c r="N1703" s="279"/>
      <c r="O1703" s="333"/>
      <c r="P1703" s="333"/>
      <c r="Q1703" s="132"/>
      <c r="R1703" s="94"/>
    </row>
    <row r="1704" spans="1:38" outlineLevel="1">
      <c r="A1704" s="36"/>
      <c r="B1704" s="311"/>
      <c r="C1704" s="528" t="s">
        <v>863</v>
      </c>
      <c r="D1704" s="472"/>
      <c r="E1704" s="311">
        <v>12461421001</v>
      </c>
      <c r="F1704" s="529" t="s">
        <v>1373</v>
      </c>
      <c r="G1704" s="530"/>
      <c r="H1704" s="472" t="s">
        <v>65</v>
      </c>
      <c r="I1704" s="472">
        <v>1</v>
      </c>
      <c r="J1704" s="279" t="s">
        <v>49</v>
      </c>
      <c r="K1704" s="279"/>
      <c r="L1704" s="392"/>
      <c r="M1704" s="279"/>
      <c r="N1704" s="279"/>
      <c r="O1704" s="333"/>
      <c r="P1704" s="333"/>
      <c r="Q1704" s="132"/>
      <c r="R1704" s="94"/>
    </row>
    <row r="1705" spans="1:38" outlineLevel="1">
      <c r="A1705" s="36"/>
      <c r="B1705" s="311"/>
      <c r="C1705" s="528" t="s">
        <v>863</v>
      </c>
      <c r="D1705" s="472"/>
      <c r="E1705" s="311">
        <v>12461521001</v>
      </c>
      <c r="F1705" s="529" t="s">
        <v>1374</v>
      </c>
      <c r="G1705" s="530"/>
      <c r="H1705" s="472" t="s">
        <v>65</v>
      </c>
      <c r="I1705" s="472">
        <v>1</v>
      </c>
      <c r="J1705" s="279" t="s">
        <v>49</v>
      </c>
      <c r="K1705" s="279"/>
      <c r="L1705" s="392"/>
      <c r="M1705" s="279"/>
      <c r="N1705" s="279"/>
      <c r="O1705" s="333"/>
      <c r="P1705" s="333"/>
      <c r="Q1705" s="132"/>
      <c r="R1705" s="94"/>
    </row>
    <row r="1706" spans="1:38" outlineLevel="1">
      <c r="A1706" s="36"/>
      <c r="B1706" s="311"/>
      <c r="C1706" s="528" t="s">
        <v>863</v>
      </c>
      <c r="D1706" s="472"/>
      <c r="E1706" s="311">
        <v>12461621001</v>
      </c>
      <c r="F1706" s="529" t="s">
        <v>1375</v>
      </c>
      <c r="G1706" s="530"/>
      <c r="H1706" s="472" t="s">
        <v>65</v>
      </c>
      <c r="I1706" s="472">
        <v>1</v>
      </c>
      <c r="J1706" s="279" t="s">
        <v>49</v>
      </c>
      <c r="K1706" s="279"/>
      <c r="L1706" s="392"/>
      <c r="M1706" s="279"/>
      <c r="N1706" s="279"/>
      <c r="O1706" s="333"/>
      <c r="P1706" s="333"/>
      <c r="Q1706" s="132"/>
      <c r="R1706" s="94"/>
    </row>
    <row r="1707" spans="1:38" outlineLevel="1">
      <c r="A1707" s="36"/>
      <c r="B1707" s="311"/>
      <c r="C1707" s="528" t="s">
        <v>863</v>
      </c>
      <c r="D1707" s="472"/>
      <c r="E1707" s="311">
        <v>12461721001</v>
      </c>
      <c r="F1707" s="529" t="s">
        <v>1376</v>
      </c>
      <c r="G1707" s="530"/>
      <c r="H1707" s="472" t="s">
        <v>65</v>
      </c>
      <c r="I1707" s="472">
        <v>1</v>
      </c>
      <c r="J1707" s="279" t="s">
        <v>49</v>
      </c>
      <c r="K1707" s="279"/>
      <c r="L1707" s="392"/>
      <c r="M1707" s="279"/>
      <c r="N1707" s="279"/>
      <c r="O1707" s="333"/>
      <c r="P1707" s="333"/>
      <c r="Q1707" s="132"/>
      <c r="R1707" s="94"/>
    </row>
    <row r="1708" spans="1:38" outlineLevel="1">
      <c r="A1708" s="36"/>
      <c r="B1708" s="311"/>
      <c r="C1708" s="528" t="s">
        <v>863</v>
      </c>
      <c r="D1708" s="472"/>
      <c r="E1708" s="311">
        <v>12461821001</v>
      </c>
      <c r="F1708" s="529" t="s">
        <v>1377</v>
      </c>
      <c r="G1708" s="530"/>
      <c r="H1708" s="472" t="s">
        <v>65</v>
      </c>
      <c r="I1708" s="472">
        <v>1</v>
      </c>
      <c r="J1708" s="279" t="s">
        <v>49</v>
      </c>
      <c r="K1708" s="279"/>
      <c r="L1708" s="392"/>
      <c r="M1708" s="279"/>
      <c r="N1708" s="279"/>
      <c r="O1708" s="333"/>
      <c r="P1708" s="333"/>
      <c r="Q1708" s="132"/>
      <c r="R1708" s="96"/>
    </row>
    <row r="1709" spans="1:38" outlineLevel="1">
      <c r="A1709" s="36"/>
      <c r="B1709" s="311"/>
      <c r="C1709" s="528" t="s">
        <v>863</v>
      </c>
      <c r="D1709" s="472"/>
      <c r="E1709" s="311">
        <v>12461921001</v>
      </c>
      <c r="F1709" s="529" t="s">
        <v>1378</v>
      </c>
      <c r="G1709" s="530"/>
      <c r="H1709" s="472" t="s">
        <v>65</v>
      </c>
      <c r="I1709" s="472">
        <v>1</v>
      </c>
      <c r="J1709" s="279" t="s">
        <v>49</v>
      </c>
      <c r="K1709" s="279"/>
      <c r="L1709" s="392"/>
      <c r="M1709" s="279"/>
      <c r="N1709" s="279"/>
      <c r="O1709" s="333"/>
      <c r="P1709" s="333"/>
      <c r="Q1709" s="132"/>
      <c r="R1709" s="94"/>
    </row>
    <row r="1710" spans="1:38" outlineLevel="1">
      <c r="A1710" s="36"/>
      <c r="B1710" s="311"/>
      <c r="C1710" s="528" t="s">
        <v>863</v>
      </c>
      <c r="D1710" s="472"/>
      <c r="E1710" s="311">
        <v>12462121001</v>
      </c>
      <c r="F1710" s="529" t="s">
        <v>1379</v>
      </c>
      <c r="G1710" s="530"/>
      <c r="H1710" s="472" t="s">
        <v>65</v>
      </c>
      <c r="I1710" s="472">
        <v>1</v>
      </c>
      <c r="J1710" s="279" t="s">
        <v>49</v>
      </c>
      <c r="K1710" s="279"/>
      <c r="L1710" s="392"/>
      <c r="M1710" s="279"/>
      <c r="N1710" s="279"/>
      <c r="O1710" s="333"/>
      <c r="P1710" s="333"/>
      <c r="Q1710" s="132"/>
      <c r="R1710" s="94"/>
    </row>
    <row r="1711" spans="1:38" outlineLevel="1">
      <c r="A1711" s="36"/>
      <c r="B1711" s="456"/>
      <c r="C1711" s="500"/>
      <c r="D1711" s="387"/>
      <c r="E1711" s="188"/>
      <c r="F1711" s="388"/>
      <c r="G1711" s="455"/>
      <c r="H1711" s="387"/>
      <c r="I1711" s="387"/>
      <c r="J1711" s="212"/>
      <c r="K1711" s="212"/>
      <c r="L1711" s="392"/>
      <c r="M1711" s="279"/>
      <c r="N1711" s="279"/>
      <c r="O1711" s="333"/>
      <c r="P1711" s="333"/>
      <c r="Q1711" s="132"/>
      <c r="R1711" s="94"/>
    </row>
    <row r="1712" spans="1:38" outlineLevel="1">
      <c r="A1712" s="36"/>
      <c r="B1712" s="311"/>
      <c r="C1712" s="528" t="s">
        <v>863</v>
      </c>
      <c r="D1712" s="472"/>
      <c r="E1712" s="311">
        <v>12391101001</v>
      </c>
      <c r="F1712" s="529" t="s">
        <v>1380</v>
      </c>
      <c r="G1712" s="530"/>
      <c r="H1712" s="472" t="s">
        <v>65</v>
      </c>
      <c r="I1712" s="472">
        <v>1</v>
      </c>
      <c r="J1712" s="279" t="s">
        <v>49</v>
      </c>
      <c r="K1712" s="279"/>
      <c r="L1712" s="392"/>
      <c r="M1712" s="279"/>
      <c r="N1712" s="279"/>
      <c r="O1712" s="333"/>
      <c r="P1712" s="333"/>
      <c r="Q1712" s="132"/>
      <c r="R1712" s="94"/>
    </row>
    <row r="1713" spans="1:38" outlineLevel="1">
      <c r="A1713" s="36"/>
      <c r="B1713" s="311"/>
      <c r="C1713" s="528" t="s">
        <v>863</v>
      </c>
      <c r="D1713" s="472"/>
      <c r="E1713" s="311">
        <v>12462221001</v>
      </c>
      <c r="F1713" s="529" t="s">
        <v>1381</v>
      </c>
      <c r="G1713" s="530"/>
      <c r="H1713" s="472" t="s">
        <v>65</v>
      </c>
      <c r="I1713" s="472">
        <v>1</v>
      </c>
      <c r="J1713" s="279" t="s">
        <v>49</v>
      </c>
      <c r="K1713" s="279"/>
      <c r="L1713" s="392"/>
      <c r="M1713" s="279"/>
      <c r="N1713" s="279"/>
      <c r="O1713" s="333"/>
      <c r="P1713" s="333"/>
      <c r="Q1713" s="132"/>
      <c r="R1713" s="94"/>
    </row>
    <row r="1714" spans="1:38" outlineLevel="1">
      <c r="A1714" s="36"/>
      <c r="B1714" s="311"/>
      <c r="C1714" s="528" t="s">
        <v>863</v>
      </c>
      <c r="D1714" s="472"/>
      <c r="E1714" s="311">
        <v>12462321001</v>
      </c>
      <c r="F1714" s="529" t="s">
        <v>1382</v>
      </c>
      <c r="G1714" s="530"/>
      <c r="H1714" s="472" t="s">
        <v>65</v>
      </c>
      <c r="I1714" s="472">
        <v>1</v>
      </c>
      <c r="J1714" s="279" t="s">
        <v>49</v>
      </c>
      <c r="K1714" s="279"/>
      <c r="L1714" s="392"/>
      <c r="M1714" s="279"/>
      <c r="N1714" s="279"/>
      <c r="O1714" s="333"/>
      <c r="P1714" s="333"/>
      <c r="Q1714" s="132"/>
      <c r="R1714" s="94"/>
    </row>
    <row r="1715" spans="1:38" outlineLevel="1">
      <c r="A1715" s="36"/>
      <c r="B1715" s="311"/>
      <c r="C1715" s="528" t="s">
        <v>863</v>
      </c>
      <c r="D1715" s="472"/>
      <c r="E1715" s="311">
        <v>12462421001</v>
      </c>
      <c r="F1715" s="529" t="s">
        <v>1383</v>
      </c>
      <c r="G1715" s="530"/>
      <c r="H1715" s="472" t="s">
        <v>65</v>
      </c>
      <c r="I1715" s="472">
        <v>1</v>
      </c>
      <c r="J1715" s="279" t="s">
        <v>49</v>
      </c>
      <c r="K1715" s="279"/>
      <c r="L1715" s="392"/>
      <c r="M1715" s="279"/>
      <c r="N1715" s="279"/>
      <c r="O1715" s="333"/>
      <c r="P1715" s="333"/>
      <c r="Q1715" s="132"/>
      <c r="R1715" s="94"/>
    </row>
    <row r="1716" spans="1:38" outlineLevel="1">
      <c r="A1716" s="36"/>
      <c r="B1716" s="311"/>
      <c r="C1716" s="528" t="s">
        <v>863</v>
      </c>
      <c r="D1716" s="472"/>
      <c r="E1716" s="311">
        <v>12462521001</v>
      </c>
      <c r="F1716" s="529" t="s">
        <v>1384</v>
      </c>
      <c r="G1716" s="530"/>
      <c r="H1716" s="472" t="s">
        <v>65</v>
      </c>
      <c r="I1716" s="472">
        <v>1</v>
      </c>
      <c r="J1716" s="279" t="s">
        <v>49</v>
      </c>
      <c r="K1716" s="279"/>
      <c r="L1716" s="392"/>
      <c r="M1716" s="279"/>
      <c r="N1716" s="279"/>
      <c r="O1716" s="333"/>
      <c r="P1716" s="333"/>
      <c r="Q1716" s="132"/>
      <c r="R1716" s="94"/>
    </row>
    <row r="1717" spans="1:38" outlineLevel="1">
      <c r="A1717" s="36"/>
      <c r="B1717" s="311"/>
      <c r="C1717" s="528" t="s">
        <v>863</v>
      </c>
      <c r="D1717" s="472"/>
      <c r="E1717" s="311">
        <v>12462621001</v>
      </c>
      <c r="F1717" s="529" t="s">
        <v>1385</v>
      </c>
      <c r="G1717" s="530"/>
      <c r="H1717" s="472" t="s">
        <v>65</v>
      </c>
      <c r="I1717" s="472">
        <v>1</v>
      </c>
      <c r="J1717" s="279" t="s">
        <v>49</v>
      </c>
      <c r="K1717" s="279"/>
      <c r="L1717" s="392"/>
      <c r="M1717" s="279"/>
      <c r="N1717" s="279"/>
      <c r="O1717" s="333"/>
      <c r="P1717" s="333"/>
      <c r="Q1717" s="132"/>
      <c r="R1717" s="94"/>
    </row>
    <row r="1718" spans="1:38" outlineLevel="1">
      <c r="A1718" s="36"/>
      <c r="B1718" s="311"/>
      <c r="C1718" s="528" t="s">
        <v>863</v>
      </c>
      <c r="D1718" s="472"/>
      <c r="E1718" s="311">
        <v>12462721001</v>
      </c>
      <c r="F1718" s="529" t="s">
        <v>1386</v>
      </c>
      <c r="G1718" s="530"/>
      <c r="H1718" s="472" t="s">
        <v>65</v>
      </c>
      <c r="I1718" s="472">
        <v>1</v>
      </c>
      <c r="J1718" s="279" t="s">
        <v>49</v>
      </c>
      <c r="K1718" s="279"/>
      <c r="L1718" s="392"/>
      <c r="M1718" s="279"/>
      <c r="N1718" s="279"/>
      <c r="O1718" s="333"/>
      <c r="P1718" s="333"/>
      <c r="Q1718" s="132"/>
      <c r="R1718" s="94"/>
    </row>
    <row r="1719" spans="1:38" outlineLevel="1">
      <c r="A1719" s="36"/>
      <c r="B1719" s="311"/>
      <c r="C1719" s="528" t="s">
        <v>863</v>
      </c>
      <c r="D1719" s="472"/>
      <c r="E1719" s="311">
        <v>12462821001</v>
      </c>
      <c r="F1719" s="529" t="s">
        <v>1387</v>
      </c>
      <c r="G1719" s="530"/>
      <c r="H1719" s="472" t="s">
        <v>65</v>
      </c>
      <c r="I1719" s="472">
        <v>1</v>
      </c>
      <c r="J1719" s="279" t="s">
        <v>49</v>
      </c>
      <c r="K1719" s="279"/>
      <c r="L1719" s="392"/>
      <c r="M1719" s="279"/>
      <c r="N1719" s="279"/>
      <c r="O1719" s="333"/>
      <c r="P1719" s="333"/>
      <c r="Q1719" s="132"/>
      <c r="R1719" s="100"/>
    </row>
    <row r="1720" spans="1:38" outlineLevel="1">
      <c r="A1720" s="36"/>
      <c r="B1720" s="311"/>
      <c r="C1720" s="528" t="s">
        <v>863</v>
      </c>
      <c r="D1720" s="472"/>
      <c r="E1720" s="311">
        <v>12463021001</v>
      </c>
      <c r="F1720" s="529" t="s">
        <v>1388</v>
      </c>
      <c r="G1720" s="530"/>
      <c r="H1720" s="472" t="s">
        <v>65</v>
      </c>
      <c r="I1720" s="472">
        <v>1</v>
      </c>
      <c r="J1720" s="279" t="s">
        <v>49</v>
      </c>
      <c r="K1720" s="279"/>
      <c r="L1720" s="392"/>
      <c r="M1720" s="279"/>
      <c r="N1720" s="279"/>
      <c r="O1720" s="333"/>
      <c r="P1720" s="333"/>
      <c r="Q1720" s="132"/>
      <c r="R1720" s="94"/>
    </row>
    <row r="1721" spans="1:38" outlineLevel="1">
      <c r="A1721" s="36"/>
      <c r="B1721" s="311"/>
      <c r="C1721" s="528" t="s">
        <v>863</v>
      </c>
      <c r="D1721" s="472"/>
      <c r="E1721" s="311">
        <v>12463121001</v>
      </c>
      <c r="F1721" s="529" t="s">
        <v>1389</v>
      </c>
      <c r="G1721" s="530"/>
      <c r="H1721" s="472" t="s">
        <v>65</v>
      </c>
      <c r="I1721" s="472">
        <v>1</v>
      </c>
      <c r="J1721" s="279" t="s">
        <v>49</v>
      </c>
      <c r="K1721" s="279"/>
      <c r="L1721" s="392"/>
      <c r="M1721" s="279"/>
      <c r="N1721" s="279"/>
      <c r="O1721" s="333"/>
      <c r="P1721" s="333"/>
      <c r="Q1721" s="132"/>
      <c r="R1721" s="94"/>
    </row>
    <row r="1722" spans="1:38" outlineLevel="1">
      <c r="A1722" s="36"/>
      <c r="B1722" s="531"/>
      <c r="C1722" s="528" t="s">
        <v>863</v>
      </c>
      <c r="D1722" s="472"/>
      <c r="E1722" s="311">
        <v>12463221001</v>
      </c>
      <c r="F1722" s="529" t="s">
        <v>1390</v>
      </c>
      <c r="G1722" s="530"/>
      <c r="H1722" s="472" t="s">
        <v>65</v>
      </c>
      <c r="I1722" s="472">
        <v>1</v>
      </c>
      <c r="J1722" s="279" t="s">
        <v>895</v>
      </c>
      <c r="K1722" s="279"/>
      <c r="L1722" s="392"/>
      <c r="M1722" s="279"/>
      <c r="N1722" s="279"/>
      <c r="O1722" s="333"/>
      <c r="P1722" s="333"/>
      <c r="Q1722" s="132"/>
      <c r="R1722" s="94"/>
    </row>
    <row r="1723" spans="1:38" outlineLevel="1">
      <c r="A1723" s="36"/>
      <c r="B1723" s="311"/>
      <c r="C1723" s="528" t="s">
        <v>863</v>
      </c>
      <c r="D1723" s="472"/>
      <c r="E1723" s="311">
        <v>12463421001</v>
      </c>
      <c r="F1723" s="529" t="s">
        <v>1391</v>
      </c>
      <c r="G1723" s="530"/>
      <c r="H1723" s="472" t="s">
        <v>65</v>
      </c>
      <c r="I1723" s="472">
        <v>1</v>
      </c>
      <c r="J1723" s="279" t="s">
        <v>49</v>
      </c>
      <c r="K1723" s="279"/>
      <c r="L1723" s="392"/>
      <c r="M1723" s="279"/>
      <c r="N1723" s="279"/>
      <c r="O1723" s="333"/>
      <c r="P1723" s="333"/>
      <c r="Q1723" s="132"/>
      <c r="R1723" s="94"/>
    </row>
    <row r="1724" spans="1:38" outlineLevel="1">
      <c r="A1724" s="36"/>
      <c r="B1724" s="311"/>
      <c r="C1724" s="528" t="s">
        <v>863</v>
      </c>
      <c r="D1724" s="472"/>
      <c r="E1724" s="311">
        <v>12463521001</v>
      </c>
      <c r="F1724" s="529" t="s">
        <v>1392</v>
      </c>
      <c r="G1724" s="530"/>
      <c r="H1724" s="472" t="s">
        <v>65</v>
      </c>
      <c r="I1724" s="472">
        <v>1</v>
      </c>
      <c r="J1724" s="279" t="s">
        <v>49</v>
      </c>
      <c r="K1724" s="279"/>
      <c r="L1724" s="392"/>
      <c r="M1724" s="279"/>
      <c r="N1724" s="279"/>
      <c r="O1724" s="333"/>
      <c r="P1724" s="333"/>
      <c r="Q1724" s="132"/>
      <c r="R1724" s="94"/>
    </row>
    <row r="1725" spans="1:38" outlineLevel="1">
      <c r="A1725" s="36"/>
      <c r="B1725" s="311"/>
      <c r="C1725" s="528" t="s">
        <v>863</v>
      </c>
      <c r="D1725" s="472"/>
      <c r="E1725" s="311">
        <v>12463621001</v>
      </c>
      <c r="F1725" s="529" t="s">
        <v>1393</v>
      </c>
      <c r="G1725" s="530"/>
      <c r="H1725" s="472" t="s">
        <v>65</v>
      </c>
      <c r="I1725" s="472">
        <v>1</v>
      </c>
      <c r="J1725" s="279" t="s">
        <v>49</v>
      </c>
      <c r="K1725" s="279"/>
      <c r="L1725" s="392"/>
      <c r="M1725" s="279"/>
      <c r="N1725" s="279"/>
      <c r="O1725" s="333"/>
      <c r="P1725" s="333"/>
      <c r="Q1725" s="132"/>
      <c r="R1725" s="94"/>
      <c r="AL1725" s="74"/>
    </row>
    <row r="1726" spans="1:38" outlineLevel="1">
      <c r="A1726" s="36"/>
      <c r="B1726" s="311"/>
      <c r="C1726" s="528" t="s">
        <v>863</v>
      </c>
      <c r="D1726" s="472"/>
      <c r="E1726" s="311">
        <v>12439231001</v>
      </c>
      <c r="F1726" s="529" t="s">
        <v>1394</v>
      </c>
      <c r="G1726" s="530"/>
      <c r="H1726" s="472" t="s">
        <v>65</v>
      </c>
      <c r="I1726" s="472">
        <v>1</v>
      </c>
      <c r="J1726" s="279" t="s">
        <v>49</v>
      </c>
      <c r="K1726" s="279"/>
      <c r="L1726" s="392"/>
      <c r="M1726" s="279"/>
      <c r="N1726" s="279"/>
      <c r="O1726" s="333"/>
      <c r="P1726" s="333"/>
      <c r="Q1726" s="132"/>
      <c r="R1726" s="94"/>
      <c r="AL1726" s="74"/>
    </row>
    <row r="1727" spans="1:38" outlineLevel="1">
      <c r="A1727" s="36"/>
      <c r="B1727" s="311"/>
      <c r="C1727" s="528" t="s">
        <v>863</v>
      </c>
      <c r="D1727" s="472"/>
      <c r="E1727" s="311">
        <v>12439331001</v>
      </c>
      <c r="F1727" s="529" t="s">
        <v>1395</v>
      </c>
      <c r="G1727" s="530"/>
      <c r="H1727" s="472" t="s">
        <v>65</v>
      </c>
      <c r="I1727" s="472">
        <v>1</v>
      </c>
      <c r="J1727" s="279" t="s">
        <v>49</v>
      </c>
      <c r="K1727" s="279"/>
      <c r="L1727" s="392"/>
      <c r="M1727" s="279"/>
      <c r="N1727" s="279"/>
      <c r="O1727" s="333"/>
      <c r="P1727" s="333"/>
      <c r="Q1727" s="132"/>
      <c r="R1727" s="94"/>
      <c r="AL1727" s="74"/>
    </row>
    <row r="1728" spans="1:38" s="74" customFormat="1" outlineLevel="1">
      <c r="A1728" s="156"/>
      <c r="B1728" s="225" t="s">
        <v>52</v>
      </c>
      <c r="C1728" s="514" t="s">
        <v>863</v>
      </c>
      <c r="D1728" s="515"/>
      <c r="E1728" s="225">
        <v>12315761001</v>
      </c>
      <c r="F1728" s="516" t="s">
        <v>1396</v>
      </c>
      <c r="G1728" s="502"/>
      <c r="H1728" s="515" t="s">
        <v>65</v>
      </c>
      <c r="I1728" s="515">
        <v>1</v>
      </c>
      <c r="J1728" s="229" t="s">
        <v>49</v>
      </c>
      <c r="K1728" s="229"/>
      <c r="L1728" s="517"/>
      <c r="M1728" s="229"/>
      <c r="N1728" s="229"/>
      <c r="O1728" s="230"/>
      <c r="P1728" s="230"/>
      <c r="Q1728" s="132"/>
      <c r="R1728" s="94"/>
      <c r="AK1728"/>
    </row>
    <row r="1729" spans="1:38" s="74" customFormat="1" outlineLevel="1">
      <c r="A1729" s="156"/>
      <c r="B1729" s="225" t="s">
        <v>52</v>
      </c>
      <c r="C1729" s="514" t="s">
        <v>863</v>
      </c>
      <c r="D1729" s="515"/>
      <c r="E1729" s="225">
        <v>12451871001</v>
      </c>
      <c r="F1729" s="516" t="s">
        <v>1397</v>
      </c>
      <c r="G1729" s="502"/>
      <c r="H1729" s="515" t="s">
        <v>65</v>
      </c>
      <c r="I1729" s="515">
        <v>1</v>
      </c>
      <c r="J1729" s="229" t="s">
        <v>49</v>
      </c>
      <c r="K1729" s="229"/>
      <c r="L1729" s="517"/>
      <c r="M1729" s="229"/>
      <c r="N1729" s="229"/>
      <c r="O1729" s="230"/>
      <c r="P1729" s="230"/>
      <c r="Q1729" s="132"/>
      <c r="R1729" s="94"/>
      <c r="AK1729"/>
    </row>
    <row r="1730" spans="1:38" s="74" customFormat="1" outlineLevel="1">
      <c r="A1730" s="156"/>
      <c r="B1730" s="225" t="s">
        <v>52</v>
      </c>
      <c r="C1730" s="514" t="s">
        <v>863</v>
      </c>
      <c r="D1730" s="515"/>
      <c r="E1730" s="225">
        <v>12451971001</v>
      </c>
      <c r="F1730" s="516" t="s">
        <v>1398</v>
      </c>
      <c r="G1730" s="502"/>
      <c r="H1730" s="515" t="s">
        <v>65</v>
      </c>
      <c r="I1730" s="515">
        <v>1</v>
      </c>
      <c r="J1730" s="229" t="s">
        <v>49</v>
      </c>
      <c r="K1730" s="229"/>
      <c r="L1730" s="517"/>
      <c r="M1730" s="229"/>
      <c r="N1730" s="229"/>
      <c r="O1730" s="230"/>
      <c r="P1730" s="230"/>
      <c r="Q1730" s="132"/>
      <c r="R1730" s="94"/>
      <c r="AK1730"/>
    </row>
    <row r="1731" spans="1:38" s="74" customFormat="1" outlineLevel="1">
      <c r="A1731" s="156"/>
      <c r="B1731" s="225" t="s">
        <v>52</v>
      </c>
      <c r="C1731" s="514" t="s">
        <v>863</v>
      </c>
      <c r="D1731" s="515"/>
      <c r="E1731" s="225">
        <v>12452071001</v>
      </c>
      <c r="F1731" s="516" t="s">
        <v>1399</v>
      </c>
      <c r="G1731" s="502"/>
      <c r="H1731" s="515" t="s">
        <v>65</v>
      </c>
      <c r="I1731" s="515">
        <v>1</v>
      </c>
      <c r="J1731" s="229" t="s">
        <v>49</v>
      </c>
      <c r="K1731" s="229"/>
      <c r="L1731" s="517"/>
      <c r="M1731" s="229"/>
      <c r="N1731" s="229"/>
      <c r="O1731" s="230"/>
      <c r="P1731" s="230"/>
      <c r="Q1731" s="132"/>
      <c r="R1731" s="94"/>
      <c r="AK1731"/>
    </row>
    <row r="1732" spans="1:38" s="74" customFormat="1" outlineLevel="1">
      <c r="A1732" s="156"/>
      <c r="B1732" s="225" t="s">
        <v>52</v>
      </c>
      <c r="C1732" s="514" t="s">
        <v>863</v>
      </c>
      <c r="D1732" s="515"/>
      <c r="E1732" s="225">
        <v>12452171001</v>
      </c>
      <c r="F1732" s="516" t="s">
        <v>1400</v>
      </c>
      <c r="G1732" s="502"/>
      <c r="H1732" s="515" t="s">
        <v>65</v>
      </c>
      <c r="I1732" s="515">
        <v>1</v>
      </c>
      <c r="J1732" s="229" t="s">
        <v>49</v>
      </c>
      <c r="K1732" s="229"/>
      <c r="L1732" s="517"/>
      <c r="M1732" s="229"/>
      <c r="N1732" s="229"/>
      <c r="O1732" s="230"/>
      <c r="P1732" s="230"/>
      <c r="Q1732" s="132"/>
      <c r="R1732" s="94"/>
      <c r="AK1732"/>
    </row>
    <row r="1733" spans="1:38" s="74" customFormat="1" outlineLevel="1">
      <c r="A1733" s="156"/>
      <c r="B1733" s="225" t="s">
        <v>52</v>
      </c>
      <c r="C1733" s="514" t="s">
        <v>863</v>
      </c>
      <c r="D1733" s="515"/>
      <c r="E1733" s="225">
        <v>12452271001</v>
      </c>
      <c r="F1733" s="516" t="s">
        <v>1401</v>
      </c>
      <c r="G1733" s="502"/>
      <c r="H1733" s="515" t="s">
        <v>65</v>
      </c>
      <c r="I1733" s="515">
        <v>1</v>
      </c>
      <c r="J1733" s="229" t="s">
        <v>49</v>
      </c>
      <c r="K1733" s="229"/>
      <c r="L1733" s="517"/>
      <c r="M1733" s="229"/>
      <c r="N1733" s="229"/>
      <c r="O1733" s="230"/>
      <c r="P1733" s="230"/>
      <c r="Q1733" s="132"/>
      <c r="R1733" s="97"/>
      <c r="AK1733"/>
      <c r="AL1733"/>
    </row>
    <row r="1734" spans="1:38" s="74" customFormat="1" outlineLevel="1">
      <c r="A1734" s="156"/>
      <c r="B1734" s="225" t="s">
        <v>52</v>
      </c>
      <c r="C1734" s="514" t="s">
        <v>863</v>
      </c>
      <c r="D1734" s="515"/>
      <c r="E1734" s="225">
        <v>12452371001</v>
      </c>
      <c r="F1734" s="516" t="s">
        <v>1402</v>
      </c>
      <c r="G1734" s="502"/>
      <c r="H1734" s="515" t="s">
        <v>65</v>
      </c>
      <c r="I1734" s="515">
        <v>1</v>
      </c>
      <c r="J1734" s="229" t="s">
        <v>49</v>
      </c>
      <c r="K1734" s="229"/>
      <c r="L1734" s="517"/>
      <c r="M1734" s="229"/>
      <c r="N1734" s="229"/>
      <c r="O1734" s="230"/>
      <c r="P1734" s="230"/>
      <c r="Q1734" s="132"/>
      <c r="R1734" s="94"/>
      <c r="AK1734"/>
      <c r="AL1734"/>
    </row>
    <row r="1735" spans="1:38" s="74" customFormat="1" outlineLevel="1">
      <c r="A1735" s="156"/>
      <c r="B1735" s="225" t="s">
        <v>52</v>
      </c>
      <c r="C1735" s="514" t="s">
        <v>863</v>
      </c>
      <c r="D1735" s="515"/>
      <c r="E1735" s="225">
        <v>12452471001</v>
      </c>
      <c r="F1735" s="516" t="s">
        <v>1403</v>
      </c>
      <c r="G1735" s="502"/>
      <c r="H1735" s="515" t="s">
        <v>65</v>
      </c>
      <c r="I1735" s="515">
        <v>1</v>
      </c>
      <c r="J1735" s="229" t="s">
        <v>49</v>
      </c>
      <c r="K1735" s="229"/>
      <c r="L1735" s="517"/>
      <c r="M1735" s="229"/>
      <c r="N1735" s="229"/>
      <c r="O1735" s="230"/>
      <c r="P1735" s="230"/>
      <c r="Q1735" s="132"/>
      <c r="R1735" s="94"/>
      <c r="AK1735"/>
      <c r="AL1735"/>
    </row>
    <row r="1736" spans="1:38" outlineLevel="1">
      <c r="A1736" s="36"/>
      <c r="B1736" s="456"/>
      <c r="C1736" s="500"/>
      <c r="D1736" s="387"/>
      <c r="E1736" s="188"/>
      <c r="F1736" s="388"/>
      <c r="G1736" s="455"/>
      <c r="H1736" s="387"/>
      <c r="I1736" s="387"/>
      <c r="J1736" s="212"/>
      <c r="K1736" s="212"/>
      <c r="L1736" s="392"/>
      <c r="M1736" s="279"/>
      <c r="N1736" s="279"/>
      <c r="O1736" s="333"/>
      <c r="P1736" s="333"/>
      <c r="Q1736" s="132"/>
      <c r="R1736" s="94"/>
    </row>
    <row r="1737" spans="1:38" outlineLevel="1">
      <c r="A1737" s="36"/>
      <c r="B1737" s="311"/>
      <c r="C1737" s="528" t="s">
        <v>863</v>
      </c>
      <c r="D1737" s="472"/>
      <c r="E1737" s="311">
        <v>12391201001</v>
      </c>
      <c r="F1737" s="529" t="s">
        <v>1404</v>
      </c>
      <c r="G1737" s="530"/>
      <c r="H1737" s="472" t="s">
        <v>65</v>
      </c>
      <c r="I1737" s="472">
        <v>1</v>
      </c>
      <c r="J1737" s="279" t="s">
        <v>49</v>
      </c>
      <c r="K1737" s="279"/>
      <c r="L1737" s="392"/>
      <c r="M1737" s="279"/>
      <c r="N1737" s="279"/>
      <c r="O1737" s="333"/>
      <c r="P1737" s="333"/>
      <c r="Q1737" s="132"/>
      <c r="R1737" s="94"/>
    </row>
    <row r="1738" spans="1:38" outlineLevel="1">
      <c r="A1738" s="36"/>
      <c r="B1738" s="311"/>
      <c r="C1738" s="528" t="s">
        <v>863</v>
      </c>
      <c r="D1738" s="472"/>
      <c r="E1738" s="311">
        <v>12463721001</v>
      </c>
      <c r="F1738" s="529" t="s">
        <v>1405</v>
      </c>
      <c r="G1738" s="530"/>
      <c r="H1738" s="472" t="s">
        <v>65</v>
      </c>
      <c r="I1738" s="472">
        <v>1</v>
      </c>
      <c r="J1738" s="279" t="s">
        <v>49</v>
      </c>
      <c r="K1738" s="279"/>
      <c r="L1738" s="392"/>
      <c r="M1738" s="279"/>
      <c r="N1738" s="279"/>
      <c r="O1738" s="333"/>
      <c r="P1738" s="333"/>
      <c r="Q1738" s="132"/>
      <c r="R1738" s="94"/>
    </row>
    <row r="1739" spans="1:38" outlineLevel="1">
      <c r="A1739" s="36"/>
      <c r="B1739" s="311"/>
      <c r="C1739" s="528" t="s">
        <v>863</v>
      </c>
      <c r="D1739" s="472"/>
      <c r="E1739" s="311">
        <v>12463821001</v>
      </c>
      <c r="F1739" s="529" t="s">
        <v>1406</v>
      </c>
      <c r="G1739" s="530"/>
      <c r="H1739" s="472" t="s">
        <v>65</v>
      </c>
      <c r="I1739" s="472">
        <v>1</v>
      </c>
      <c r="J1739" s="279" t="s">
        <v>49</v>
      </c>
      <c r="K1739" s="279"/>
      <c r="L1739" s="392"/>
      <c r="M1739" s="279"/>
      <c r="N1739" s="279"/>
      <c r="O1739" s="333"/>
      <c r="P1739" s="333"/>
      <c r="Q1739" s="132"/>
      <c r="R1739" s="94"/>
    </row>
    <row r="1740" spans="1:38" outlineLevel="1">
      <c r="A1740" s="36"/>
      <c r="B1740" s="311"/>
      <c r="C1740" s="528" t="s">
        <v>863</v>
      </c>
      <c r="D1740" s="472"/>
      <c r="E1740" s="311">
        <v>12463921001</v>
      </c>
      <c r="F1740" s="529" t="s">
        <v>1407</v>
      </c>
      <c r="G1740" s="530"/>
      <c r="H1740" s="472" t="s">
        <v>65</v>
      </c>
      <c r="I1740" s="472">
        <v>1</v>
      </c>
      <c r="J1740" s="279" t="s">
        <v>49</v>
      </c>
      <c r="K1740" s="279"/>
      <c r="L1740" s="392"/>
      <c r="M1740" s="279"/>
      <c r="N1740" s="279"/>
      <c r="O1740" s="333"/>
      <c r="P1740" s="333"/>
      <c r="Q1740" s="132"/>
      <c r="R1740" s="94"/>
    </row>
    <row r="1741" spans="1:38" outlineLevel="1">
      <c r="A1741" s="36"/>
      <c r="B1741" s="311"/>
      <c r="C1741" s="528" t="s">
        <v>863</v>
      </c>
      <c r="D1741" s="472"/>
      <c r="E1741" s="311">
        <v>12464021001</v>
      </c>
      <c r="F1741" s="529" t="s">
        <v>1408</v>
      </c>
      <c r="G1741" s="530"/>
      <c r="H1741" s="472" t="s">
        <v>65</v>
      </c>
      <c r="I1741" s="472">
        <v>1</v>
      </c>
      <c r="J1741" s="279" t="s">
        <v>49</v>
      </c>
      <c r="K1741" s="279"/>
      <c r="L1741" s="392"/>
      <c r="M1741" s="279"/>
      <c r="N1741" s="279"/>
      <c r="O1741" s="333"/>
      <c r="P1741" s="333"/>
      <c r="Q1741" s="132"/>
      <c r="R1741" s="94"/>
    </row>
    <row r="1742" spans="1:38" outlineLevel="1">
      <c r="A1742" s="36"/>
      <c r="B1742" s="311"/>
      <c r="C1742" s="528" t="s">
        <v>863</v>
      </c>
      <c r="D1742" s="472"/>
      <c r="E1742" s="311">
        <v>12464121001</v>
      </c>
      <c r="F1742" s="529" t="s">
        <v>1409</v>
      </c>
      <c r="G1742" s="530"/>
      <c r="H1742" s="472" t="s">
        <v>65</v>
      </c>
      <c r="I1742" s="472">
        <v>1</v>
      </c>
      <c r="J1742" s="279" t="s">
        <v>49</v>
      </c>
      <c r="K1742" s="279"/>
      <c r="L1742" s="392"/>
      <c r="M1742" s="279"/>
      <c r="N1742" s="279"/>
      <c r="O1742" s="333"/>
      <c r="P1742" s="333"/>
      <c r="Q1742" s="132"/>
      <c r="R1742" s="94"/>
    </row>
    <row r="1743" spans="1:38" outlineLevel="1">
      <c r="A1743" s="36"/>
      <c r="B1743" s="311"/>
      <c r="C1743" s="528" t="s">
        <v>863</v>
      </c>
      <c r="D1743" s="472"/>
      <c r="E1743" s="311">
        <v>12464221001</v>
      </c>
      <c r="F1743" s="529" t="s">
        <v>1410</v>
      </c>
      <c r="G1743" s="530"/>
      <c r="H1743" s="472" t="s">
        <v>65</v>
      </c>
      <c r="I1743" s="472">
        <v>1</v>
      </c>
      <c r="J1743" s="279" t="s">
        <v>49</v>
      </c>
      <c r="K1743" s="279"/>
      <c r="L1743" s="392"/>
      <c r="M1743" s="279"/>
      <c r="N1743" s="279"/>
      <c r="O1743" s="333"/>
      <c r="P1743" s="333"/>
      <c r="Q1743" s="132"/>
      <c r="R1743" s="96"/>
    </row>
    <row r="1744" spans="1:38" outlineLevel="1">
      <c r="A1744" s="36"/>
      <c r="B1744" s="311"/>
      <c r="C1744" s="528" t="s">
        <v>863</v>
      </c>
      <c r="D1744" s="472"/>
      <c r="E1744" s="311">
        <v>12464321001</v>
      </c>
      <c r="F1744" s="529" t="s">
        <v>1411</v>
      </c>
      <c r="G1744" s="530"/>
      <c r="H1744" s="472" t="s">
        <v>65</v>
      </c>
      <c r="I1744" s="472">
        <v>1</v>
      </c>
      <c r="J1744" s="279" t="s">
        <v>49</v>
      </c>
      <c r="K1744" s="279"/>
      <c r="L1744" s="392"/>
      <c r="M1744" s="279"/>
      <c r="N1744" s="279"/>
      <c r="O1744" s="333"/>
      <c r="P1744" s="333"/>
      <c r="Q1744" s="132"/>
      <c r="R1744" s="94"/>
    </row>
    <row r="1745" spans="1:18" outlineLevel="1">
      <c r="A1745" s="36"/>
      <c r="B1745" s="311"/>
      <c r="C1745" s="528" t="s">
        <v>863</v>
      </c>
      <c r="D1745" s="472"/>
      <c r="E1745" s="311">
        <v>12464521001</v>
      </c>
      <c r="F1745" s="529" t="s">
        <v>1412</v>
      </c>
      <c r="G1745" s="530"/>
      <c r="H1745" s="472" t="s">
        <v>65</v>
      </c>
      <c r="I1745" s="472">
        <v>1</v>
      </c>
      <c r="J1745" s="279" t="s">
        <v>49</v>
      </c>
      <c r="K1745" s="279"/>
      <c r="L1745" s="392"/>
      <c r="M1745" s="279"/>
      <c r="N1745" s="279"/>
      <c r="O1745" s="333"/>
      <c r="P1745" s="333"/>
      <c r="Q1745" s="132"/>
      <c r="R1745" s="94"/>
    </row>
    <row r="1746" spans="1:18" outlineLevel="1">
      <c r="A1746" s="36"/>
      <c r="B1746" s="456"/>
      <c r="C1746" s="500"/>
      <c r="D1746" s="387"/>
      <c r="E1746" s="188"/>
      <c r="F1746" s="388"/>
      <c r="G1746" s="455"/>
      <c r="H1746" s="387"/>
      <c r="I1746" s="387"/>
      <c r="J1746" s="212"/>
      <c r="K1746" s="212"/>
      <c r="L1746" s="392"/>
      <c r="M1746" s="279"/>
      <c r="N1746" s="279"/>
      <c r="O1746" s="333"/>
      <c r="P1746" s="333"/>
      <c r="Q1746" s="132"/>
      <c r="R1746" s="94"/>
    </row>
    <row r="1747" spans="1:18" outlineLevel="1">
      <c r="A1747" s="36"/>
      <c r="B1747" s="311"/>
      <c r="C1747" s="528" t="s">
        <v>863</v>
      </c>
      <c r="D1747" s="472"/>
      <c r="E1747" s="311">
        <v>12333021001</v>
      </c>
      <c r="F1747" s="529" t="s">
        <v>1413</v>
      </c>
      <c r="G1747" s="530"/>
      <c r="H1747" s="472" t="s">
        <v>65</v>
      </c>
      <c r="I1747" s="472">
        <v>1</v>
      </c>
      <c r="J1747" s="279" t="s">
        <v>49</v>
      </c>
      <c r="K1747" s="279"/>
      <c r="L1747" s="392"/>
      <c r="M1747" s="279"/>
      <c r="N1747" s="279"/>
      <c r="O1747" s="333"/>
      <c r="P1747" s="333"/>
      <c r="Q1747" s="132"/>
      <c r="R1747" s="94"/>
    </row>
    <row r="1748" spans="1:18" outlineLevel="1">
      <c r="A1748" s="36"/>
      <c r="B1748" s="311"/>
      <c r="C1748" s="528" t="s">
        <v>863</v>
      </c>
      <c r="D1748" s="472"/>
      <c r="E1748" s="311">
        <v>12333121001</v>
      </c>
      <c r="F1748" s="529" t="s">
        <v>1414</v>
      </c>
      <c r="G1748" s="530"/>
      <c r="H1748" s="472" t="s">
        <v>65</v>
      </c>
      <c r="I1748" s="472">
        <v>1</v>
      </c>
      <c r="J1748" s="279" t="s">
        <v>49</v>
      </c>
      <c r="K1748" s="279"/>
      <c r="L1748" s="392"/>
      <c r="M1748" s="279"/>
      <c r="N1748" s="279"/>
      <c r="O1748" s="333"/>
      <c r="P1748" s="333"/>
      <c r="Q1748" s="132"/>
      <c r="R1748" s="94"/>
    </row>
    <row r="1749" spans="1:18" outlineLevel="1">
      <c r="A1749" s="36"/>
      <c r="B1749" s="311"/>
      <c r="C1749" s="528" t="s">
        <v>863</v>
      </c>
      <c r="D1749" s="472"/>
      <c r="E1749" s="311">
        <v>12333221001</v>
      </c>
      <c r="F1749" s="529" t="s">
        <v>1415</v>
      </c>
      <c r="G1749" s="530"/>
      <c r="H1749" s="472" t="s">
        <v>65</v>
      </c>
      <c r="I1749" s="472">
        <v>1</v>
      </c>
      <c r="J1749" s="279" t="s">
        <v>49</v>
      </c>
      <c r="K1749" s="279"/>
      <c r="L1749" s="392"/>
      <c r="M1749" s="279"/>
      <c r="N1749" s="279"/>
      <c r="O1749" s="333"/>
      <c r="P1749" s="333"/>
      <c r="Q1749" s="132"/>
      <c r="R1749" s="94"/>
    </row>
    <row r="1750" spans="1:18" outlineLevel="1">
      <c r="A1750" s="36"/>
      <c r="B1750" s="311"/>
      <c r="C1750" s="528" t="s">
        <v>863</v>
      </c>
      <c r="D1750" s="472"/>
      <c r="E1750" s="311">
        <v>12333321001</v>
      </c>
      <c r="F1750" s="529" t="s">
        <v>1416</v>
      </c>
      <c r="G1750" s="530"/>
      <c r="H1750" s="472" t="s">
        <v>65</v>
      </c>
      <c r="I1750" s="472">
        <v>1</v>
      </c>
      <c r="J1750" s="279" t="s">
        <v>49</v>
      </c>
      <c r="K1750" s="279"/>
      <c r="L1750" s="392"/>
      <c r="M1750" s="279"/>
      <c r="N1750" s="279"/>
      <c r="O1750" s="333"/>
      <c r="P1750" s="333"/>
      <c r="Q1750" s="132"/>
      <c r="R1750" s="94"/>
    </row>
    <row r="1751" spans="1:18" outlineLevel="1">
      <c r="A1751" s="36"/>
      <c r="B1751" s="311"/>
      <c r="C1751" s="528" t="s">
        <v>863</v>
      </c>
      <c r="D1751" s="472"/>
      <c r="E1751" s="311">
        <v>12333421001</v>
      </c>
      <c r="F1751" s="529" t="s">
        <v>1417</v>
      </c>
      <c r="G1751" s="530"/>
      <c r="H1751" s="472" t="s">
        <v>65</v>
      </c>
      <c r="I1751" s="472">
        <v>1</v>
      </c>
      <c r="J1751" s="279" t="s">
        <v>49</v>
      </c>
      <c r="K1751" s="279"/>
      <c r="L1751" s="392"/>
      <c r="M1751" s="279"/>
      <c r="N1751" s="279"/>
      <c r="O1751" s="333"/>
      <c r="P1751" s="333"/>
      <c r="Q1751" s="132"/>
      <c r="R1751" s="94"/>
    </row>
    <row r="1752" spans="1:18" outlineLevel="1">
      <c r="A1752" s="36"/>
      <c r="B1752" s="311"/>
      <c r="C1752" s="528" t="s">
        <v>863</v>
      </c>
      <c r="D1752" s="472"/>
      <c r="E1752" s="311">
        <v>12333521001</v>
      </c>
      <c r="F1752" s="529" t="s">
        <v>1418</v>
      </c>
      <c r="G1752" s="530"/>
      <c r="H1752" s="472" t="s">
        <v>65</v>
      </c>
      <c r="I1752" s="472">
        <v>1</v>
      </c>
      <c r="J1752" s="279" t="s">
        <v>49</v>
      </c>
      <c r="K1752" s="279"/>
      <c r="L1752" s="392"/>
      <c r="M1752" s="279"/>
      <c r="N1752" s="279"/>
      <c r="O1752" s="333"/>
      <c r="P1752" s="333"/>
      <c r="Q1752" s="132"/>
      <c r="R1752" s="94"/>
    </row>
    <row r="1753" spans="1:18" outlineLevel="1">
      <c r="A1753" s="36"/>
      <c r="B1753" s="311"/>
      <c r="C1753" s="528" t="s">
        <v>863</v>
      </c>
      <c r="D1753" s="472"/>
      <c r="E1753" s="311">
        <v>12333621001</v>
      </c>
      <c r="F1753" s="529" t="s">
        <v>1419</v>
      </c>
      <c r="G1753" s="530"/>
      <c r="H1753" s="472" t="s">
        <v>65</v>
      </c>
      <c r="I1753" s="472">
        <v>1</v>
      </c>
      <c r="J1753" s="279" t="s">
        <v>49</v>
      </c>
      <c r="K1753" s="279"/>
      <c r="L1753" s="392"/>
      <c r="M1753" s="279"/>
      <c r="N1753" s="279"/>
      <c r="O1753" s="333"/>
      <c r="P1753" s="333"/>
      <c r="Q1753" s="132"/>
      <c r="R1753" s="94"/>
    </row>
    <row r="1754" spans="1:18" outlineLevel="1">
      <c r="A1754" s="36"/>
      <c r="B1754" s="311"/>
      <c r="C1754" s="528" t="s">
        <v>863</v>
      </c>
      <c r="D1754" s="472"/>
      <c r="E1754" s="311">
        <v>12333721001</v>
      </c>
      <c r="F1754" s="529" t="s">
        <v>1420</v>
      </c>
      <c r="G1754" s="530"/>
      <c r="H1754" s="472" t="s">
        <v>65</v>
      </c>
      <c r="I1754" s="472">
        <v>1</v>
      </c>
      <c r="J1754" s="279" t="s">
        <v>49</v>
      </c>
      <c r="K1754" s="279"/>
      <c r="L1754" s="392"/>
      <c r="M1754" s="279"/>
      <c r="N1754" s="279"/>
      <c r="O1754" s="333"/>
      <c r="P1754" s="333"/>
      <c r="Q1754" s="132"/>
      <c r="R1754" s="94"/>
    </row>
    <row r="1755" spans="1:18" outlineLevel="1">
      <c r="A1755" s="36"/>
      <c r="B1755" s="311"/>
      <c r="C1755" s="528" t="s">
        <v>863</v>
      </c>
      <c r="D1755" s="472"/>
      <c r="E1755" s="311">
        <v>12333821001</v>
      </c>
      <c r="F1755" s="529" t="s">
        <v>1421</v>
      </c>
      <c r="G1755" s="530"/>
      <c r="H1755" s="472" t="s">
        <v>65</v>
      </c>
      <c r="I1755" s="472">
        <v>1</v>
      </c>
      <c r="J1755" s="279" t="s">
        <v>49</v>
      </c>
      <c r="K1755" s="279"/>
      <c r="L1755" s="392"/>
      <c r="M1755" s="279"/>
      <c r="N1755" s="279"/>
      <c r="O1755" s="333"/>
      <c r="P1755" s="333"/>
      <c r="Q1755" s="132"/>
      <c r="R1755" s="94"/>
    </row>
    <row r="1756" spans="1:18" outlineLevel="1">
      <c r="A1756" s="36"/>
      <c r="B1756" s="311"/>
      <c r="C1756" s="528" t="s">
        <v>863</v>
      </c>
      <c r="D1756" s="472"/>
      <c r="E1756" s="311">
        <v>12333921001</v>
      </c>
      <c r="F1756" s="529" t="s">
        <v>1422</v>
      </c>
      <c r="G1756" s="530"/>
      <c r="H1756" s="472" t="s">
        <v>65</v>
      </c>
      <c r="I1756" s="472">
        <v>1</v>
      </c>
      <c r="J1756" s="279" t="s">
        <v>49</v>
      </c>
      <c r="K1756" s="279"/>
      <c r="L1756" s="392"/>
      <c r="M1756" s="279"/>
      <c r="N1756" s="279"/>
      <c r="O1756" s="333"/>
      <c r="P1756" s="333"/>
      <c r="Q1756" s="132"/>
      <c r="R1756" s="94"/>
    </row>
    <row r="1757" spans="1:18" outlineLevel="1">
      <c r="A1757" s="36"/>
      <c r="B1757" s="311"/>
      <c r="C1757" s="528" t="s">
        <v>863</v>
      </c>
      <c r="D1757" s="472"/>
      <c r="E1757" s="311">
        <v>12334021001</v>
      </c>
      <c r="F1757" s="529" t="s">
        <v>1423</v>
      </c>
      <c r="G1757" s="530"/>
      <c r="H1757" s="472" t="s">
        <v>65</v>
      </c>
      <c r="I1757" s="472">
        <v>1</v>
      </c>
      <c r="J1757" s="279" t="s">
        <v>49</v>
      </c>
      <c r="K1757" s="279"/>
      <c r="L1757" s="392"/>
      <c r="M1757" s="279"/>
      <c r="N1757" s="279"/>
      <c r="O1757" s="333"/>
      <c r="P1757" s="333"/>
      <c r="Q1757" s="132"/>
      <c r="R1757" s="94"/>
    </row>
    <row r="1758" spans="1:18" outlineLevel="1">
      <c r="A1758" s="36"/>
      <c r="B1758" s="311"/>
      <c r="C1758" s="528" t="s">
        <v>863</v>
      </c>
      <c r="D1758" s="472"/>
      <c r="E1758" s="311">
        <v>12334121001</v>
      </c>
      <c r="F1758" s="529" t="s">
        <v>1424</v>
      </c>
      <c r="G1758" s="530"/>
      <c r="H1758" s="472" t="s">
        <v>65</v>
      </c>
      <c r="I1758" s="472">
        <v>1</v>
      </c>
      <c r="J1758" s="279" t="s">
        <v>49</v>
      </c>
      <c r="K1758" s="279"/>
      <c r="L1758" s="392"/>
      <c r="M1758" s="279"/>
      <c r="N1758" s="279"/>
      <c r="O1758" s="333"/>
      <c r="P1758" s="333"/>
      <c r="Q1758" s="132"/>
      <c r="R1758" s="94"/>
    </row>
    <row r="1759" spans="1:18" outlineLevel="1">
      <c r="A1759" s="36"/>
      <c r="B1759" s="311"/>
      <c r="C1759" s="528" t="s">
        <v>863</v>
      </c>
      <c r="D1759" s="472"/>
      <c r="E1759" s="311">
        <v>12334221001</v>
      </c>
      <c r="F1759" s="529" t="s">
        <v>1425</v>
      </c>
      <c r="G1759" s="530"/>
      <c r="H1759" s="472" t="s">
        <v>65</v>
      </c>
      <c r="I1759" s="472">
        <v>1</v>
      </c>
      <c r="J1759" s="279" t="s">
        <v>49</v>
      </c>
      <c r="K1759" s="279"/>
      <c r="L1759" s="392"/>
      <c r="M1759" s="279"/>
      <c r="N1759" s="279"/>
      <c r="O1759" s="333"/>
      <c r="P1759" s="333"/>
      <c r="Q1759" s="132"/>
      <c r="R1759" s="94"/>
    </row>
    <row r="1760" spans="1:18" outlineLevel="1">
      <c r="A1760" s="36"/>
      <c r="B1760" s="311"/>
      <c r="C1760" s="528" t="s">
        <v>863</v>
      </c>
      <c r="D1760" s="472"/>
      <c r="E1760" s="311">
        <v>12334321001</v>
      </c>
      <c r="F1760" s="529" t="s">
        <v>1426</v>
      </c>
      <c r="G1760" s="530"/>
      <c r="H1760" s="472" t="s">
        <v>65</v>
      </c>
      <c r="I1760" s="472">
        <v>1</v>
      </c>
      <c r="J1760" s="279" t="s">
        <v>49</v>
      </c>
      <c r="K1760" s="279"/>
      <c r="L1760" s="392"/>
      <c r="M1760" s="279"/>
      <c r="N1760" s="279"/>
      <c r="O1760" s="333"/>
      <c r="P1760" s="333"/>
      <c r="Q1760" s="132"/>
      <c r="R1760" s="94"/>
    </row>
    <row r="1761" spans="1:38" outlineLevel="1">
      <c r="A1761" s="36"/>
      <c r="B1761" s="311"/>
      <c r="C1761" s="528" t="s">
        <v>863</v>
      </c>
      <c r="D1761" s="472"/>
      <c r="E1761" s="311">
        <v>12334421001</v>
      </c>
      <c r="F1761" s="529" t="s">
        <v>1427</v>
      </c>
      <c r="G1761" s="530"/>
      <c r="H1761" s="472" t="s">
        <v>65</v>
      </c>
      <c r="I1761" s="472">
        <v>1</v>
      </c>
      <c r="J1761" s="279" t="s">
        <v>49</v>
      </c>
      <c r="K1761" s="279"/>
      <c r="L1761" s="392"/>
      <c r="M1761" s="279"/>
      <c r="N1761" s="279"/>
      <c r="O1761" s="333"/>
      <c r="P1761" s="333"/>
      <c r="Q1761" s="132"/>
      <c r="R1761" s="94"/>
    </row>
    <row r="1762" spans="1:38" outlineLevel="1">
      <c r="A1762" s="36"/>
      <c r="B1762" s="311"/>
      <c r="C1762" s="528" t="s">
        <v>863</v>
      </c>
      <c r="D1762" s="472"/>
      <c r="E1762" s="311">
        <v>12334521001</v>
      </c>
      <c r="F1762" s="529" t="s">
        <v>1428</v>
      </c>
      <c r="G1762" s="530"/>
      <c r="H1762" s="472" t="s">
        <v>65</v>
      </c>
      <c r="I1762" s="472">
        <v>1</v>
      </c>
      <c r="J1762" s="279" t="s">
        <v>49</v>
      </c>
      <c r="K1762" s="279"/>
      <c r="L1762" s="392"/>
      <c r="M1762" s="279"/>
      <c r="N1762" s="279"/>
      <c r="O1762" s="333"/>
      <c r="P1762" s="333"/>
      <c r="Q1762" s="132"/>
      <c r="R1762" s="94"/>
    </row>
    <row r="1763" spans="1:38" outlineLevel="1">
      <c r="A1763" s="36"/>
      <c r="B1763" s="311"/>
      <c r="C1763" s="528" t="s">
        <v>863</v>
      </c>
      <c r="D1763" s="472"/>
      <c r="E1763" s="311">
        <v>12334621001</v>
      </c>
      <c r="F1763" s="529" t="s">
        <v>1429</v>
      </c>
      <c r="G1763" s="530"/>
      <c r="H1763" s="472" t="s">
        <v>65</v>
      </c>
      <c r="I1763" s="472">
        <v>1</v>
      </c>
      <c r="J1763" s="279" t="s">
        <v>49</v>
      </c>
      <c r="K1763" s="279"/>
      <c r="L1763" s="392"/>
      <c r="M1763" s="279"/>
      <c r="N1763" s="279"/>
      <c r="O1763" s="333"/>
      <c r="P1763" s="333"/>
      <c r="Q1763" s="132"/>
      <c r="R1763" s="94"/>
    </row>
    <row r="1764" spans="1:38" outlineLevel="1">
      <c r="A1764" s="36"/>
      <c r="B1764" s="311"/>
      <c r="C1764" s="528" t="s">
        <v>863</v>
      </c>
      <c r="D1764" s="472"/>
      <c r="E1764" s="311">
        <v>12334721001</v>
      </c>
      <c r="F1764" s="529" t="s">
        <v>1430</v>
      </c>
      <c r="G1764" s="530"/>
      <c r="H1764" s="472" t="s">
        <v>65</v>
      </c>
      <c r="I1764" s="472">
        <v>1</v>
      </c>
      <c r="J1764" s="279" t="s">
        <v>49</v>
      </c>
      <c r="K1764" s="279"/>
      <c r="L1764" s="392"/>
      <c r="M1764" s="279"/>
      <c r="N1764" s="279"/>
      <c r="O1764" s="333"/>
      <c r="P1764" s="333"/>
      <c r="Q1764" s="132"/>
      <c r="R1764" s="94"/>
    </row>
    <row r="1765" spans="1:38" outlineLevel="1">
      <c r="A1765" s="36"/>
      <c r="B1765" s="311"/>
      <c r="C1765" s="528" t="s">
        <v>863</v>
      </c>
      <c r="D1765" s="472"/>
      <c r="E1765" s="311">
        <v>12334821001</v>
      </c>
      <c r="F1765" s="529" t="s">
        <v>1431</v>
      </c>
      <c r="G1765" s="530"/>
      <c r="H1765" s="472" t="s">
        <v>65</v>
      </c>
      <c r="I1765" s="472">
        <v>1</v>
      </c>
      <c r="J1765" s="279" t="s">
        <v>49</v>
      </c>
      <c r="K1765" s="279"/>
      <c r="L1765" s="392"/>
      <c r="M1765" s="279"/>
      <c r="N1765" s="279"/>
      <c r="O1765" s="333"/>
      <c r="P1765" s="333"/>
      <c r="Q1765" s="132"/>
      <c r="R1765" s="94"/>
    </row>
    <row r="1766" spans="1:38" outlineLevel="1">
      <c r="A1766" s="36"/>
      <c r="B1766" s="311"/>
      <c r="C1766" s="528" t="s">
        <v>863</v>
      </c>
      <c r="D1766" s="472"/>
      <c r="E1766" s="311">
        <v>12334921001</v>
      </c>
      <c r="F1766" s="529" t="s">
        <v>1432</v>
      </c>
      <c r="G1766" s="530"/>
      <c r="H1766" s="472" t="s">
        <v>65</v>
      </c>
      <c r="I1766" s="472">
        <v>1</v>
      </c>
      <c r="J1766" s="279" t="s">
        <v>49</v>
      </c>
      <c r="K1766" s="279"/>
      <c r="L1766" s="392"/>
      <c r="M1766" s="279"/>
      <c r="N1766" s="279"/>
      <c r="O1766" s="333"/>
      <c r="P1766" s="333"/>
      <c r="Q1766" s="132"/>
      <c r="R1766" s="94"/>
    </row>
    <row r="1767" spans="1:38" outlineLevel="1">
      <c r="A1767" s="36"/>
      <c r="B1767" s="311"/>
      <c r="C1767" s="528" t="s">
        <v>863</v>
      </c>
      <c r="D1767" s="472"/>
      <c r="E1767" s="311">
        <v>12335021001</v>
      </c>
      <c r="F1767" s="529" t="s">
        <v>1433</v>
      </c>
      <c r="G1767" s="530"/>
      <c r="H1767" s="472" t="s">
        <v>65</v>
      </c>
      <c r="I1767" s="472">
        <v>1</v>
      </c>
      <c r="J1767" s="279" t="s">
        <v>49</v>
      </c>
      <c r="K1767" s="279"/>
      <c r="L1767" s="392"/>
      <c r="M1767" s="279"/>
      <c r="N1767" s="279"/>
      <c r="O1767" s="333"/>
      <c r="P1767" s="333"/>
      <c r="Q1767" s="132"/>
      <c r="R1767" s="94"/>
    </row>
    <row r="1768" spans="1:38" outlineLevel="1">
      <c r="A1768" s="36"/>
      <c r="B1768" s="311"/>
      <c r="C1768" s="528" t="s">
        <v>863</v>
      </c>
      <c r="D1768" s="472"/>
      <c r="E1768" s="311">
        <v>12335121001</v>
      </c>
      <c r="F1768" s="529" t="s">
        <v>1434</v>
      </c>
      <c r="G1768" s="530"/>
      <c r="H1768" s="472" t="s">
        <v>65</v>
      </c>
      <c r="I1768" s="472">
        <v>1</v>
      </c>
      <c r="J1768" s="279" t="s">
        <v>49</v>
      </c>
      <c r="K1768" s="279"/>
      <c r="L1768" s="392"/>
      <c r="M1768" s="279"/>
      <c r="N1768" s="279"/>
      <c r="O1768" s="333"/>
      <c r="P1768" s="333"/>
      <c r="Q1768" s="132"/>
      <c r="R1768" s="94"/>
    </row>
    <row r="1769" spans="1:38" outlineLevel="1">
      <c r="A1769" s="36"/>
      <c r="B1769" s="311"/>
      <c r="C1769" s="528" t="s">
        <v>863</v>
      </c>
      <c r="D1769" s="472"/>
      <c r="E1769" s="311">
        <v>12335221001</v>
      </c>
      <c r="F1769" s="529" t="s">
        <v>1435</v>
      </c>
      <c r="G1769" s="530"/>
      <c r="H1769" s="472" t="s">
        <v>65</v>
      </c>
      <c r="I1769" s="472">
        <v>1</v>
      </c>
      <c r="J1769" s="279" t="s">
        <v>49</v>
      </c>
      <c r="K1769" s="279"/>
      <c r="L1769" s="392"/>
      <c r="M1769" s="279"/>
      <c r="N1769" s="279"/>
      <c r="O1769" s="333"/>
      <c r="P1769" s="333"/>
      <c r="Q1769" s="132"/>
      <c r="R1769" s="94"/>
    </row>
    <row r="1770" spans="1:38" outlineLevel="1">
      <c r="A1770" s="36"/>
      <c r="B1770" s="311"/>
      <c r="C1770" s="528" t="s">
        <v>863</v>
      </c>
      <c r="D1770" s="472"/>
      <c r="E1770" s="311">
        <v>12335321001</v>
      </c>
      <c r="F1770" s="529" t="s">
        <v>1436</v>
      </c>
      <c r="G1770" s="530"/>
      <c r="H1770" s="472" t="s">
        <v>65</v>
      </c>
      <c r="I1770" s="472">
        <v>1</v>
      </c>
      <c r="J1770" s="279" t="s">
        <v>49</v>
      </c>
      <c r="K1770" s="279"/>
      <c r="L1770" s="392"/>
      <c r="M1770" s="279"/>
      <c r="N1770" s="279"/>
      <c r="O1770" s="333"/>
      <c r="P1770" s="333"/>
      <c r="Q1770" s="132"/>
      <c r="R1770" s="94"/>
    </row>
    <row r="1771" spans="1:38" outlineLevel="1">
      <c r="A1771" s="36"/>
      <c r="B1771" s="311"/>
      <c r="C1771" s="528" t="s">
        <v>863</v>
      </c>
      <c r="D1771" s="472"/>
      <c r="E1771" s="311">
        <v>12335421001</v>
      </c>
      <c r="F1771" s="529" t="s">
        <v>1437</v>
      </c>
      <c r="G1771" s="530"/>
      <c r="H1771" s="472" t="s">
        <v>65</v>
      </c>
      <c r="I1771" s="472">
        <v>1</v>
      </c>
      <c r="J1771" s="279" t="s">
        <v>49</v>
      </c>
      <c r="K1771" s="279"/>
      <c r="L1771" s="392"/>
      <c r="M1771" s="279"/>
      <c r="N1771" s="279"/>
      <c r="O1771" s="333"/>
      <c r="P1771" s="333"/>
      <c r="Q1771" s="132"/>
      <c r="R1771" s="96"/>
    </row>
    <row r="1772" spans="1:38" outlineLevel="1">
      <c r="A1772" s="36"/>
      <c r="B1772" s="311"/>
      <c r="C1772" s="528" t="s">
        <v>863</v>
      </c>
      <c r="D1772" s="472"/>
      <c r="E1772" s="311">
        <v>12335521001</v>
      </c>
      <c r="F1772" s="529" t="s">
        <v>1438</v>
      </c>
      <c r="G1772" s="530"/>
      <c r="H1772" s="472" t="s">
        <v>65</v>
      </c>
      <c r="I1772" s="472">
        <v>1</v>
      </c>
      <c r="J1772" s="279" t="s">
        <v>49</v>
      </c>
      <c r="K1772" s="279"/>
      <c r="L1772" s="392"/>
      <c r="M1772" s="279"/>
      <c r="N1772" s="279"/>
      <c r="O1772" s="333"/>
      <c r="P1772" s="333"/>
      <c r="Q1772" s="132"/>
      <c r="R1772" s="94"/>
    </row>
    <row r="1773" spans="1:38" outlineLevel="1">
      <c r="A1773" s="36"/>
      <c r="B1773" s="311"/>
      <c r="C1773" s="528" t="s">
        <v>863</v>
      </c>
      <c r="D1773" s="472"/>
      <c r="E1773" s="311">
        <v>12335621001</v>
      </c>
      <c r="F1773" s="529" t="s">
        <v>1439</v>
      </c>
      <c r="G1773" s="530"/>
      <c r="H1773" s="472" t="s">
        <v>65</v>
      </c>
      <c r="I1773" s="472">
        <v>1</v>
      </c>
      <c r="J1773" s="279" t="s">
        <v>49</v>
      </c>
      <c r="K1773" s="279"/>
      <c r="L1773" s="392"/>
      <c r="M1773" s="279"/>
      <c r="N1773" s="279"/>
      <c r="O1773" s="333"/>
      <c r="P1773" s="333"/>
      <c r="Q1773" s="132"/>
      <c r="R1773" s="94"/>
    </row>
    <row r="1774" spans="1:38" outlineLevel="1">
      <c r="A1774" s="36"/>
      <c r="B1774" s="456"/>
      <c r="C1774" s="500"/>
      <c r="D1774" s="387"/>
      <c r="E1774" s="188"/>
      <c r="F1774" s="388"/>
      <c r="G1774" s="455"/>
      <c r="H1774" s="387"/>
      <c r="I1774" s="387"/>
      <c r="J1774" s="212"/>
      <c r="K1774" s="212"/>
      <c r="L1774" s="392"/>
      <c r="M1774" s="279"/>
      <c r="N1774" s="279"/>
      <c r="O1774" s="333"/>
      <c r="P1774" s="333"/>
      <c r="Q1774" s="132"/>
      <c r="R1774" s="94"/>
    </row>
    <row r="1775" spans="1:38" outlineLevel="1">
      <c r="A1775" s="36"/>
      <c r="B1775" s="311"/>
      <c r="C1775" s="528" t="s">
        <v>863</v>
      </c>
      <c r="D1775" s="472"/>
      <c r="E1775" s="311">
        <v>12453871001</v>
      </c>
      <c r="F1775" s="529" t="s">
        <v>1440</v>
      </c>
      <c r="G1775" s="530"/>
      <c r="H1775" s="472" t="s">
        <v>65</v>
      </c>
      <c r="I1775" s="472">
        <v>1</v>
      </c>
      <c r="J1775" s="279" t="s">
        <v>49</v>
      </c>
      <c r="K1775" s="279"/>
      <c r="L1775" s="392"/>
      <c r="M1775" s="279"/>
      <c r="N1775" s="279"/>
      <c r="O1775" s="333"/>
      <c r="P1775" s="333"/>
      <c r="Q1775" s="132"/>
      <c r="R1775" s="94"/>
      <c r="AL1775" s="74"/>
    </row>
    <row r="1776" spans="1:38" outlineLevel="1">
      <c r="A1776" s="36"/>
      <c r="B1776" s="311"/>
      <c r="C1776" s="528" t="s">
        <v>863</v>
      </c>
      <c r="D1776" s="472"/>
      <c r="E1776" s="311">
        <v>12464621001</v>
      </c>
      <c r="F1776" s="529" t="s">
        <v>1441</v>
      </c>
      <c r="G1776" s="530"/>
      <c r="H1776" s="472" t="s">
        <v>65</v>
      </c>
      <c r="I1776" s="472">
        <v>1</v>
      </c>
      <c r="J1776" s="279" t="s">
        <v>49</v>
      </c>
      <c r="K1776" s="279"/>
      <c r="L1776" s="392"/>
      <c r="M1776" s="279"/>
      <c r="N1776" s="279"/>
      <c r="O1776" s="333"/>
      <c r="P1776" s="333"/>
      <c r="Q1776" s="132"/>
      <c r="R1776" s="94"/>
    </row>
    <row r="1777" spans="1:38" outlineLevel="1">
      <c r="A1777" s="36"/>
      <c r="B1777" s="311"/>
      <c r="C1777" s="528" t="s">
        <v>863</v>
      </c>
      <c r="D1777" s="472"/>
      <c r="E1777" s="311">
        <v>12453971001</v>
      </c>
      <c r="F1777" s="529" t="s">
        <v>1442</v>
      </c>
      <c r="G1777" s="530"/>
      <c r="H1777" s="472" t="s">
        <v>65</v>
      </c>
      <c r="I1777" s="472">
        <v>1</v>
      </c>
      <c r="J1777" s="279" t="s">
        <v>49</v>
      </c>
      <c r="K1777" s="279"/>
      <c r="L1777" s="392"/>
      <c r="M1777" s="279"/>
      <c r="N1777" s="279"/>
      <c r="O1777" s="333"/>
      <c r="P1777" s="333"/>
      <c r="Q1777" s="132"/>
      <c r="R1777" s="94"/>
      <c r="AL1777" s="74"/>
    </row>
    <row r="1778" spans="1:38" s="74" customFormat="1" outlineLevel="1">
      <c r="A1778" s="156"/>
      <c r="B1778" s="311"/>
      <c r="C1778" s="528" t="s">
        <v>863</v>
      </c>
      <c r="D1778" s="472"/>
      <c r="E1778" s="311">
        <v>12891541001</v>
      </c>
      <c r="F1778" s="529" t="s">
        <v>1443</v>
      </c>
      <c r="G1778" s="530"/>
      <c r="H1778" s="472" t="s">
        <v>65</v>
      </c>
      <c r="I1778" s="472">
        <v>1</v>
      </c>
      <c r="J1778" s="279" t="s">
        <v>49</v>
      </c>
      <c r="K1778" s="279"/>
      <c r="L1778" s="392"/>
      <c r="M1778" s="279"/>
      <c r="N1778" s="279"/>
      <c r="O1778" s="333"/>
      <c r="P1778" s="333"/>
      <c r="Q1778" s="132"/>
      <c r="R1778" s="94"/>
      <c r="AK1778"/>
    </row>
    <row r="1779" spans="1:38" outlineLevel="1">
      <c r="A1779" s="36"/>
      <c r="B1779" s="311"/>
      <c r="C1779" s="528" t="s">
        <v>863</v>
      </c>
      <c r="D1779" s="472"/>
      <c r="E1779" s="311">
        <v>12464721001</v>
      </c>
      <c r="F1779" s="529" t="s">
        <v>1444</v>
      </c>
      <c r="G1779" s="530"/>
      <c r="H1779" s="472" t="s">
        <v>65</v>
      </c>
      <c r="I1779" s="472">
        <v>1</v>
      </c>
      <c r="J1779" s="279" t="s">
        <v>49</v>
      </c>
      <c r="K1779" s="279"/>
      <c r="L1779" s="392"/>
      <c r="M1779" s="279"/>
      <c r="N1779" s="279"/>
      <c r="O1779" s="333"/>
      <c r="P1779" s="333"/>
      <c r="Q1779" s="132"/>
      <c r="R1779" s="94"/>
    </row>
    <row r="1780" spans="1:38" s="74" customFormat="1" outlineLevel="1">
      <c r="A1780" s="156"/>
      <c r="B1780" s="225" t="s">
        <v>52</v>
      </c>
      <c r="C1780" s="514" t="s">
        <v>863</v>
      </c>
      <c r="D1780" s="515"/>
      <c r="E1780" s="225">
        <v>12454071001</v>
      </c>
      <c r="F1780" s="516" t="s">
        <v>1445</v>
      </c>
      <c r="G1780" s="502"/>
      <c r="H1780" s="515" t="s">
        <v>65</v>
      </c>
      <c r="I1780" s="515">
        <v>1</v>
      </c>
      <c r="J1780" s="229" t="s">
        <v>49</v>
      </c>
      <c r="K1780" s="229"/>
      <c r="L1780" s="517"/>
      <c r="M1780" s="229"/>
      <c r="N1780" s="229"/>
      <c r="O1780" s="230"/>
      <c r="P1780" s="230"/>
      <c r="Q1780" s="132"/>
      <c r="R1780" s="94"/>
      <c r="AK1780"/>
      <c r="AL1780"/>
    </row>
    <row r="1781" spans="1:38" s="74" customFormat="1" outlineLevel="1">
      <c r="A1781" s="156"/>
      <c r="B1781" s="311"/>
      <c r="C1781" s="528" t="s">
        <v>863</v>
      </c>
      <c r="D1781" s="472"/>
      <c r="E1781" s="311">
        <v>12891551001</v>
      </c>
      <c r="F1781" s="529" t="s">
        <v>1446</v>
      </c>
      <c r="G1781" s="530"/>
      <c r="H1781" s="472" t="s">
        <v>65</v>
      </c>
      <c r="I1781" s="472">
        <v>1</v>
      </c>
      <c r="J1781" s="279" t="s">
        <v>49</v>
      </c>
      <c r="K1781" s="279"/>
      <c r="L1781" s="392"/>
      <c r="M1781" s="279"/>
      <c r="N1781" s="279"/>
      <c r="O1781" s="333"/>
      <c r="P1781" s="333"/>
      <c r="Q1781" s="132"/>
      <c r="R1781" s="94"/>
      <c r="AK1781"/>
      <c r="AL1781"/>
    </row>
    <row r="1782" spans="1:38" outlineLevel="1">
      <c r="A1782" s="36"/>
      <c r="B1782" s="311"/>
      <c r="C1782" s="528" t="s">
        <v>863</v>
      </c>
      <c r="D1782" s="472"/>
      <c r="E1782" s="311">
        <v>12464821001</v>
      </c>
      <c r="F1782" s="529" t="s">
        <v>1447</v>
      </c>
      <c r="G1782" s="530"/>
      <c r="H1782" s="472" t="s">
        <v>65</v>
      </c>
      <c r="I1782" s="472">
        <v>1</v>
      </c>
      <c r="J1782" s="279" t="s">
        <v>49</v>
      </c>
      <c r="K1782" s="279"/>
      <c r="L1782" s="392"/>
      <c r="M1782" s="279"/>
      <c r="N1782" s="279"/>
      <c r="O1782" s="333"/>
      <c r="P1782" s="333"/>
      <c r="Q1782" s="132"/>
      <c r="R1782" s="94"/>
    </row>
    <row r="1783" spans="1:38" outlineLevel="1">
      <c r="A1783" s="36"/>
      <c r="B1783" s="311"/>
      <c r="C1783" s="528" t="s">
        <v>863</v>
      </c>
      <c r="D1783" s="472"/>
      <c r="E1783" s="311">
        <v>12464921001</v>
      </c>
      <c r="F1783" s="529" t="s">
        <v>1448</v>
      </c>
      <c r="G1783" s="530"/>
      <c r="H1783" s="472" t="s">
        <v>65</v>
      </c>
      <c r="I1783" s="472">
        <v>1</v>
      </c>
      <c r="J1783" s="279" t="s">
        <v>49</v>
      </c>
      <c r="K1783" s="279"/>
      <c r="L1783" s="392"/>
      <c r="M1783" s="279"/>
      <c r="N1783" s="279"/>
      <c r="O1783" s="333"/>
      <c r="P1783" s="333"/>
      <c r="Q1783" s="132"/>
      <c r="R1783" s="94"/>
    </row>
    <row r="1784" spans="1:38" outlineLevel="1">
      <c r="A1784" s="36"/>
      <c r="B1784" s="311"/>
      <c r="C1784" s="528" t="s">
        <v>863</v>
      </c>
      <c r="D1784" s="472"/>
      <c r="E1784" s="311">
        <v>12465021001</v>
      </c>
      <c r="F1784" s="529" t="s">
        <v>1449</v>
      </c>
      <c r="G1784" s="530"/>
      <c r="H1784" s="472" t="s">
        <v>65</v>
      </c>
      <c r="I1784" s="472">
        <v>1</v>
      </c>
      <c r="J1784" s="279" t="s">
        <v>49</v>
      </c>
      <c r="K1784" s="279"/>
      <c r="L1784" s="392"/>
      <c r="M1784" s="279"/>
      <c r="N1784" s="279"/>
      <c r="O1784" s="333"/>
      <c r="P1784" s="333"/>
      <c r="Q1784" s="132"/>
      <c r="R1784" s="94"/>
    </row>
    <row r="1785" spans="1:38" outlineLevel="1">
      <c r="A1785" s="36"/>
      <c r="B1785" s="311"/>
      <c r="C1785" s="528" t="s">
        <v>863</v>
      </c>
      <c r="D1785" s="472"/>
      <c r="E1785" s="311">
        <v>12465121001</v>
      </c>
      <c r="F1785" s="529" t="s">
        <v>1450</v>
      </c>
      <c r="G1785" s="530"/>
      <c r="H1785" s="472" t="s">
        <v>65</v>
      </c>
      <c r="I1785" s="472">
        <v>1</v>
      </c>
      <c r="J1785" s="279" t="s">
        <v>49</v>
      </c>
      <c r="K1785" s="279"/>
      <c r="L1785" s="392"/>
      <c r="M1785" s="279"/>
      <c r="N1785" s="279"/>
      <c r="O1785" s="333"/>
      <c r="P1785" s="333"/>
      <c r="Q1785" s="132"/>
      <c r="R1785" s="94"/>
    </row>
    <row r="1786" spans="1:38" outlineLevel="1">
      <c r="A1786" s="36"/>
      <c r="B1786" s="311"/>
      <c r="C1786" s="528" t="s">
        <v>863</v>
      </c>
      <c r="D1786" s="472"/>
      <c r="E1786" s="311">
        <v>12465221001</v>
      </c>
      <c r="F1786" s="529" t="s">
        <v>1451</v>
      </c>
      <c r="G1786" s="530"/>
      <c r="H1786" s="472" t="s">
        <v>65</v>
      </c>
      <c r="I1786" s="472">
        <v>1</v>
      </c>
      <c r="J1786" s="279" t="s">
        <v>49</v>
      </c>
      <c r="K1786" s="279"/>
      <c r="L1786" s="392"/>
      <c r="M1786" s="279"/>
      <c r="N1786" s="279"/>
      <c r="O1786" s="333"/>
      <c r="P1786" s="333"/>
      <c r="Q1786" s="132"/>
      <c r="R1786" s="94"/>
    </row>
    <row r="1787" spans="1:38" outlineLevel="1">
      <c r="A1787" s="36"/>
      <c r="B1787" s="311"/>
      <c r="C1787" s="528" t="s">
        <v>863</v>
      </c>
      <c r="D1787" s="472"/>
      <c r="E1787" s="311">
        <v>12465321001</v>
      </c>
      <c r="F1787" s="529" t="s">
        <v>1452</v>
      </c>
      <c r="G1787" s="530"/>
      <c r="H1787" s="472" t="s">
        <v>65</v>
      </c>
      <c r="I1787" s="472">
        <v>1</v>
      </c>
      <c r="J1787" s="279" t="s">
        <v>49</v>
      </c>
      <c r="K1787" s="279"/>
      <c r="L1787" s="392"/>
      <c r="M1787" s="279"/>
      <c r="N1787" s="279"/>
      <c r="O1787" s="333"/>
      <c r="P1787" s="333"/>
      <c r="Q1787" s="132"/>
      <c r="R1787" s="94"/>
      <c r="AL1787" s="74"/>
    </row>
    <row r="1788" spans="1:38" outlineLevel="1">
      <c r="A1788" s="36"/>
      <c r="B1788" s="311"/>
      <c r="C1788" s="528" t="s">
        <v>863</v>
      </c>
      <c r="D1788" s="472"/>
      <c r="E1788" s="311">
        <v>12465421001</v>
      </c>
      <c r="F1788" s="529" t="s">
        <v>1453</v>
      </c>
      <c r="G1788" s="530"/>
      <c r="H1788" s="472" t="s">
        <v>65</v>
      </c>
      <c r="I1788" s="472">
        <v>1</v>
      </c>
      <c r="J1788" s="279" t="s">
        <v>49</v>
      </c>
      <c r="K1788" s="279"/>
      <c r="L1788" s="392"/>
      <c r="M1788" s="279"/>
      <c r="N1788" s="279"/>
      <c r="O1788" s="333"/>
      <c r="P1788" s="333"/>
      <c r="Q1788" s="132"/>
      <c r="R1788" s="94"/>
    </row>
    <row r="1789" spans="1:38" outlineLevel="1">
      <c r="A1789" s="36"/>
      <c r="B1789" s="311"/>
      <c r="C1789" s="528" t="s">
        <v>863</v>
      </c>
      <c r="D1789" s="472"/>
      <c r="E1789" s="311">
        <v>12465521001</v>
      </c>
      <c r="F1789" s="529" t="s">
        <v>1454</v>
      </c>
      <c r="G1789" s="530"/>
      <c r="H1789" s="472" t="s">
        <v>65</v>
      </c>
      <c r="I1789" s="472">
        <v>1</v>
      </c>
      <c r="J1789" s="279" t="s">
        <v>49</v>
      </c>
      <c r="K1789" s="279"/>
      <c r="L1789" s="392"/>
      <c r="M1789" s="279"/>
      <c r="N1789" s="279"/>
      <c r="O1789" s="333"/>
      <c r="P1789" s="333"/>
      <c r="Q1789" s="132"/>
      <c r="R1789" s="94"/>
    </row>
    <row r="1790" spans="1:38" s="74" customFormat="1" outlineLevel="1">
      <c r="A1790" s="156"/>
      <c r="B1790" s="311"/>
      <c r="C1790" s="528" t="s">
        <v>863</v>
      </c>
      <c r="D1790" s="472"/>
      <c r="E1790" s="311">
        <v>12891561001</v>
      </c>
      <c r="F1790" s="529" t="s">
        <v>1455</v>
      </c>
      <c r="G1790" s="530"/>
      <c r="H1790" s="472" t="s">
        <v>65</v>
      </c>
      <c r="I1790" s="472">
        <v>1</v>
      </c>
      <c r="J1790" s="279" t="s">
        <v>49</v>
      </c>
      <c r="K1790" s="279"/>
      <c r="L1790" s="392"/>
      <c r="M1790" s="279"/>
      <c r="N1790" s="279"/>
      <c r="O1790" s="333"/>
      <c r="P1790" s="333"/>
      <c r="Q1790" s="132"/>
      <c r="R1790" s="94"/>
      <c r="AK1790"/>
      <c r="AL1790"/>
    </row>
    <row r="1791" spans="1:38" outlineLevel="1">
      <c r="A1791" s="36"/>
      <c r="B1791" s="311"/>
      <c r="C1791" s="528" t="s">
        <v>863</v>
      </c>
      <c r="D1791" s="472"/>
      <c r="E1791" s="311">
        <v>12465621001</v>
      </c>
      <c r="F1791" s="529" t="s">
        <v>1456</v>
      </c>
      <c r="G1791" s="530"/>
      <c r="H1791" s="472" t="s">
        <v>65</v>
      </c>
      <c r="I1791" s="472">
        <v>1</v>
      </c>
      <c r="J1791" s="279" t="s">
        <v>49</v>
      </c>
      <c r="K1791" s="279"/>
      <c r="L1791" s="392"/>
      <c r="M1791" s="279"/>
      <c r="N1791" s="279"/>
      <c r="O1791" s="333"/>
      <c r="P1791" s="333"/>
      <c r="Q1791" s="132"/>
      <c r="R1791" s="94"/>
    </row>
    <row r="1792" spans="1:38" outlineLevel="1">
      <c r="A1792" s="36"/>
      <c r="B1792" s="311"/>
      <c r="C1792" s="528" t="s">
        <v>863</v>
      </c>
      <c r="D1792" s="472"/>
      <c r="E1792" s="311">
        <v>12465721001</v>
      </c>
      <c r="F1792" s="529" t="s">
        <v>1457</v>
      </c>
      <c r="G1792" s="530"/>
      <c r="H1792" s="472" t="s">
        <v>65</v>
      </c>
      <c r="I1792" s="472">
        <v>1</v>
      </c>
      <c r="J1792" s="279" t="s">
        <v>49</v>
      </c>
      <c r="K1792" s="279"/>
      <c r="L1792" s="392"/>
      <c r="M1792" s="279"/>
      <c r="N1792" s="279"/>
      <c r="O1792" s="333"/>
      <c r="P1792" s="333"/>
      <c r="Q1792" s="132"/>
      <c r="R1792" s="94"/>
    </row>
    <row r="1793" spans="1:18" outlineLevel="1">
      <c r="A1793" s="36"/>
      <c r="B1793" s="311"/>
      <c r="C1793" s="528" t="s">
        <v>863</v>
      </c>
      <c r="D1793" s="472"/>
      <c r="E1793" s="311">
        <v>12465821001</v>
      </c>
      <c r="F1793" s="529" t="s">
        <v>1458</v>
      </c>
      <c r="G1793" s="530"/>
      <c r="H1793" s="472" t="s">
        <v>65</v>
      </c>
      <c r="I1793" s="472">
        <v>1</v>
      </c>
      <c r="J1793" s="279" t="s">
        <v>49</v>
      </c>
      <c r="K1793" s="279"/>
      <c r="L1793" s="392"/>
      <c r="M1793" s="279"/>
      <c r="N1793" s="279"/>
      <c r="O1793" s="333"/>
      <c r="P1793" s="333"/>
      <c r="Q1793" s="132"/>
      <c r="R1793" s="94"/>
    </row>
    <row r="1794" spans="1:18" outlineLevel="1">
      <c r="A1794" s="36"/>
      <c r="B1794" s="311"/>
      <c r="C1794" s="528" t="s">
        <v>863</v>
      </c>
      <c r="D1794" s="472"/>
      <c r="E1794" s="311">
        <v>12465921001</v>
      </c>
      <c r="F1794" s="529" t="s">
        <v>1459</v>
      </c>
      <c r="G1794" s="530"/>
      <c r="H1794" s="472" t="s">
        <v>65</v>
      </c>
      <c r="I1794" s="472">
        <v>1</v>
      </c>
      <c r="J1794" s="279" t="s">
        <v>49</v>
      </c>
      <c r="K1794" s="279"/>
      <c r="L1794" s="392"/>
      <c r="M1794" s="279"/>
      <c r="N1794" s="279"/>
      <c r="O1794" s="333"/>
      <c r="P1794" s="333"/>
      <c r="Q1794" s="132"/>
      <c r="R1794" s="94"/>
    </row>
    <row r="1795" spans="1:18" outlineLevel="1">
      <c r="A1795" s="36"/>
      <c r="B1795" s="311"/>
      <c r="C1795" s="528" t="s">
        <v>863</v>
      </c>
      <c r="D1795" s="472"/>
      <c r="E1795" s="311">
        <v>12466021001</v>
      </c>
      <c r="F1795" s="529" t="s">
        <v>1460</v>
      </c>
      <c r="G1795" s="530"/>
      <c r="H1795" s="472" t="s">
        <v>65</v>
      </c>
      <c r="I1795" s="472">
        <v>1</v>
      </c>
      <c r="J1795" s="279" t="s">
        <v>49</v>
      </c>
      <c r="K1795" s="279"/>
      <c r="L1795" s="392"/>
      <c r="M1795" s="279"/>
      <c r="N1795" s="279"/>
      <c r="O1795" s="333"/>
      <c r="P1795" s="333"/>
      <c r="Q1795" s="132"/>
      <c r="R1795" s="94"/>
    </row>
    <row r="1796" spans="1:18" outlineLevel="1">
      <c r="A1796" s="36"/>
      <c r="B1796" s="311"/>
      <c r="C1796" s="528" t="s">
        <v>863</v>
      </c>
      <c r="D1796" s="472"/>
      <c r="E1796" s="311">
        <v>12466121001</v>
      </c>
      <c r="F1796" s="529" t="s">
        <v>1461</v>
      </c>
      <c r="G1796" s="530"/>
      <c r="H1796" s="472" t="s">
        <v>65</v>
      </c>
      <c r="I1796" s="472">
        <v>1</v>
      </c>
      <c r="J1796" s="279" t="s">
        <v>49</v>
      </c>
      <c r="K1796" s="279"/>
      <c r="L1796" s="392"/>
      <c r="M1796" s="279"/>
      <c r="N1796" s="279"/>
      <c r="O1796" s="333"/>
      <c r="P1796" s="333"/>
      <c r="Q1796" s="132"/>
      <c r="R1796" s="94"/>
    </row>
    <row r="1797" spans="1:18" outlineLevel="1">
      <c r="A1797" s="36"/>
      <c r="B1797" s="311"/>
      <c r="C1797" s="528" t="s">
        <v>863</v>
      </c>
      <c r="D1797" s="472"/>
      <c r="E1797" s="311">
        <v>12466221001</v>
      </c>
      <c r="F1797" s="529" t="s">
        <v>1462</v>
      </c>
      <c r="G1797" s="530"/>
      <c r="H1797" s="472" t="s">
        <v>65</v>
      </c>
      <c r="I1797" s="472">
        <v>1</v>
      </c>
      <c r="J1797" s="279" t="s">
        <v>49</v>
      </c>
      <c r="K1797" s="279"/>
      <c r="L1797" s="392"/>
      <c r="M1797" s="279"/>
      <c r="N1797" s="279"/>
      <c r="O1797" s="333"/>
      <c r="P1797" s="333"/>
      <c r="Q1797" s="132"/>
      <c r="R1797" s="94"/>
    </row>
    <row r="1798" spans="1:18" outlineLevel="1">
      <c r="A1798" s="36"/>
      <c r="B1798" s="311"/>
      <c r="C1798" s="528" t="s">
        <v>863</v>
      </c>
      <c r="D1798" s="472"/>
      <c r="E1798" s="311">
        <v>12466321001</v>
      </c>
      <c r="F1798" s="529" t="s">
        <v>1463</v>
      </c>
      <c r="G1798" s="530"/>
      <c r="H1798" s="472" t="s">
        <v>65</v>
      </c>
      <c r="I1798" s="472">
        <v>1</v>
      </c>
      <c r="J1798" s="279" t="s">
        <v>49</v>
      </c>
      <c r="K1798" s="279"/>
      <c r="L1798" s="392"/>
      <c r="M1798" s="279"/>
      <c r="N1798" s="279"/>
      <c r="O1798" s="333"/>
      <c r="P1798" s="333"/>
      <c r="Q1798" s="132"/>
      <c r="R1798" s="94"/>
    </row>
    <row r="1799" spans="1:18" outlineLevel="1">
      <c r="A1799" s="36"/>
      <c r="B1799" s="311"/>
      <c r="C1799" s="528" t="s">
        <v>863</v>
      </c>
      <c r="D1799" s="472"/>
      <c r="E1799" s="311">
        <v>12332621001</v>
      </c>
      <c r="F1799" s="529" t="s">
        <v>1464</v>
      </c>
      <c r="G1799" s="530"/>
      <c r="H1799" s="472" t="s">
        <v>65</v>
      </c>
      <c r="I1799" s="472">
        <v>1</v>
      </c>
      <c r="J1799" s="279" t="s">
        <v>49</v>
      </c>
      <c r="K1799" s="279"/>
      <c r="L1799" s="392"/>
      <c r="M1799" s="279"/>
      <c r="N1799" s="279"/>
      <c r="O1799" s="333"/>
      <c r="P1799" s="333"/>
      <c r="Q1799" s="132"/>
      <c r="R1799" s="94"/>
    </row>
    <row r="1800" spans="1:18" outlineLevel="1">
      <c r="A1800" s="36"/>
      <c r="B1800" s="311"/>
      <c r="C1800" s="528" t="s">
        <v>863</v>
      </c>
      <c r="D1800" s="472"/>
      <c r="E1800" s="311">
        <v>12332721001</v>
      </c>
      <c r="F1800" s="529" t="s">
        <v>1465</v>
      </c>
      <c r="G1800" s="530"/>
      <c r="H1800" s="472" t="s">
        <v>65</v>
      </c>
      <c r="I1800" s="472">
        <v>1</v>
      </c>
      <c r="J1800" s="279" t="s">
        <v>49</v>
      </c>
      <c r="K1800" s="279"/>
      <c r="L1800" s="392"/>
      <c r="M1800" s="279"/>
      <c r="N1800" s="279"/>
      <c r="O1800" s="333"/>
      <c r="P1800" s="333"/>
      <c r="Q1800" s="132"/>
      <c r="R1800" s="94"/>
    </row>
    <row r="1801" spans="1:18" outlineLevel="1">
      <c r="A1801" s="36"/>
      <c r="B1801" s="311"/>
      <c r="C1801" s="528" t="s">
        <v>863</v>
      </c>
      <c r="D1801" s="472"/>
      <c r="E1801" s="311">
        <v>12332821001</v>
      </c>
      <c r="F1801" s="529" t="s">
        <v>1466</v>
      </c>
      <c r="G1801" s="530"/>
      <c r="H1801" s="472" t="s">
        <v>65</v>
      </c>
      <c r="I1801" s="472">
        <v>1</v>
      </c>
      <c r="J1801" s="279" t="s">
        <v>49</v>
      </c>
      <c r="K1801" s="279"/>
      <c r="L1801" s="392"/>
      <c r="M1801" s="279"/>
      <c r="N1801" s="279"/>
      <c r="O1801" s="333"/>
      <c r="P1801" s="333"/>
      <c r="Q1801" s="132"/>
      <c r="R1801" s="94"/>
    </row>
    <row r="1802" spans="1:18" outlineLevel="1">
      <c r="A1802" s="36"/>
      <c r="B1802" s="311"/>
      <c r="C1802" s="528" t="s">
        <v>863</v>
      </c>
      <c r="D1802" s="472"/>
      <c r="E1802" s="311">
        <v>12332921001</v>
      </c>
      <c r="F1802" s="529" t="s">
        <v>1467</v>
      </c>
      <c r="G1802" s="530"/>
      <c r="H1802" s="472" t="s">
        <v>65</v>
      </c>
      <c r="I1802" s="472">
        <v>1</v>
      </c>
      <c r="J1802" s="279" t="s">
        <v>49</v>
      </c>
      <c r="K1802" s="279"/>
      <c r="L1802" s="392"/>
      <c r="M1802" s="279"/>
      <c r="N1802" s="279"/>
      <c r="O1802" s="333"/>
      <c r="P1802" s="333"/>
      <c r="Q1802" s="132"/>
      <c r="R1802" s="94"/>
    </row>
    <row r="1803" spans="1:18" outlineLevel="1">
      <c r="A1803" s="36"/>
      <c r="B1803" s="311"/>
      <c r="C1803" s="528" t="s">
        <v>863</v>
      </c>
      <c r="D1803" s="472"/>
      <c r="E1803" s="311">
        <v>12466421001</v>
      </c>
      <c r="F1803" s="529" t="s">
        <v>1468</v>
      </c>
      <c r="G1803" s="530"/>
      <c r="H1803" s="472" t="s">
        <v>65</v>
      </c>
      <c r="I1803" s="472">
        <v>1</v>
      </c>
      <c r="J1803" s="279" t="s">
        <v>49</v>
      </c>
      <c r="K1803" s="279"/>
      <c r="L1803" s="392"/>
      <c r="M1803" s="279"/>
      <c r="N1803" s="279"/>
      <c r="O1803" s="333"/>
      <c r="P1803" s="333"/>
      <c r="Q1803" s="132"/>
      <c r="R1803" s="94"/>
    </row>
    <row r="1804" spans="1:18" outlineLevel="1">
      <c r="A1804" s="36"/>
      <c r="B1804" s="311"/>
      <c r="C1804" s="528" t="s">
        <v>863</v>
      </c>
      <c r="D1804" s="472"/>
      <c r="E1804" s="311">
        <v>12466521001</v>
      </c>
      <c r="F1804" s="529" t="s">
        <v>1469</v>
      </c>
      <c r="G1804" s="530"/>
      <c r="H1804" s="472" t="s">
        <v>65</v>
      </c>
      <c r="I1804" s="472">
        <v>1</v>
      </c>
      <c r="J1804" s="279" t="s">
        <v>49</v>
      </c>
      <c r="K1804" s="279"/>
      <c r="L1804" s="392"/>
      <c r="M1804" s="279"/>
      <c r="N1804" s="279"/>
      <c r="O1804" s="333"/>
      <c r="P1804" s="333"/>
      <c r="Q1804" s="132"/>
      <c r="R1804" s="96"/>
    </row>
    <row r="1805" spans="1:18" outlineLevel="1">
      <c r="A1805" s="36"/>
      <c r="B1805" s="311"/>
      <c r="C1805" s="528" t="s">
        <v>863</v>
      </c>
      <c r="D1805" s="472"/>
      <c r="E1805" s="311">
        <v>12466621001</v>
      </c>
      <c r="F1805" s="529" t="s">
        <v>1470</v>
      </c>
      <c r="G1805" s="530"/>
      <c r="H1805" s="472" t="s">
        <v>65</v>
      </c>
      <c r="I1805" s="472">
        <v>1</v>
      </c>
      <c r="J1805" s="279" t="s">
        <v>49</v>
      </c>
      <c r="K1805" s="279"/>
      <c r="L1805" s="392"/>
      <c r="M1805" s="279"/>
      <c r="N1805" s="279"/>
      <c r="O1805" s="333"/>
      <c r="P1805" s="333"/>
      <c r="Q1805" s="132"/>
      <c r="R1805" s="94"/>
    </row>
    <row r="1806" spans="1:18" outlineLevel="1">
      <c r="A1806" s="36"/>
      <c r="B1806" s="311"/>
      <c r="C1806" s="528" t="s">
        <v>863</v>
      </c>
      <c r="D1806" s="472"/>
      <c r="E1806" s="311">
        <v>12466721001</v>
      </c>
      <c r="F1806" s="529" t="s">
        <v>1471</v>
      </c>
      <c r="G1806" s="530"/>
      <c r="H1806" s="472" t="s">
        <v>65</v>
      </c>
      <c r="I1806" s="472">
        <v>1</v>
      </c>
      <c r="J1806" s="279" t="s">
        <v>49</v>
      </c>
      <c r="K1806" s="279"/>
      <c r="L1806" s="392"/>
      <c r="M1806" s="279"/>
      <c r="N1806" s="279"/>
      <c r="O1806" s="333"/>
      <c r="P1806" s="333"/>
      <c r="Q1806" s="132"/>
      <c r="R1806" s="94"/>
    </row>
    <row r="1807" spans="1:18" outlineLevel="1">
      <c r="A1807" s="36"/>
      <c r="B1807" s="456"/>
      <c r="C1807" s="500"/>
      <c r="D1807" s="387"/>
      <c r="E1807" s="188"/>
      <c r="F1807" s="388"/>
      <c r="G1807" s="455"/>
      <c r="H1807" s="387"/>
      <c r="I1807" s="387"/>
      <c r="J1807" s="212"/>
      <c r="K1807" s="212"/>
      <c r="L1807" s="392"/>
      <c r="M1807" s="279"/>
      <c r="N1807" s="279"/>
      <c r="O1807" s="333"/>
      <c r="P1807" s="333"/>
      <c r="Q1807" s="132"/>
      <c r="R1807" s="94"/>
    </row>
    <row r="1808" spans="1:18" outlineLevel="1">
      <c r="A1808" s="36"/>
      <c r="B1808" s="311"/>
      <c r="C1808" s="528" t="s">
        <v>863</v>
      </c>
      <c r="D1808" s="472"/>
      <c r="E1808" s="311">
        <v>12471321001</v>
      </c>
      <c r="F1808" s="529" t="s">
        <v>1472</v>
      </c>
      <c r="G1808" s="530"/>
      <c r="H1808" s="472" t="s">
        <v>65</v>
      </c>
      <c r="I1808" s="472">
        <v>1</v>
      </c>
      <c r="J1808" s="279" t="s">
        <v>49</v>
      </c>
      <c r="K1808" s="279"/>
      <c r="L1808" s="392"/>
      <c r="M1808" s="279"/>
      <c r="N1808" s="279"/>
      <c r="O1808" s="333"/>
      <c r="P1808" s="333"/>
      <c r="Q1808" s="132"/>
      <c r="R1808" s="94"/>
    </row>
    <row r="1809" spans="1:18" outlineLevel="1">
      <c r="A1809" s="36"/>
      <c r="B1809" s="311"/>
      <c r="C1809" s="528" t="s">
        <v>863</v>
      </c>
      <c r="D1809" s="472"/>
      <c r="E1809" s="311">
        <v>12471421001</v>
      </c>
      <c r="F1809" s="529" t="s">
        <v>1473</v>
      </c>
      <c r="G1809" s="530"/>
      <c r="H1809" s="472" t="s">
        <v>65</v>
      </c>
      <c r="I1809" s="472">
        <v>1</v>
      </c>
      <c r="J1809" s="279" t="s">
        <v>49</v>
      </c>
      <c r="K1809" s="279"/>
      <c r="L1809" s="392"/>
      <c r="M1809" s="279"/>
      <c r="N1809" s="279"/>
      <c r="O1809" s="333"/>
      <c r="P1809" s="333"/>
      <c r="Q1809" s="132"/>
      <c r="R1809" s="94"/>
    </row>
    <row r="1810" spans="1:18" outlineLevel="1">
      <c r="A1810" s="36"/>
      <c r="B1810" s="311"/>
      <c r="C1810" s="528" t="s">
        <v>863</v>
      </c>
      <c r="D1810" s="472"/>
      <c r="E1810" s="311">
        <v>12471521001</v>
      </c>
      <c r="F1810" s="529" t="s">
        <v>1474</v>
      </c>
      <c r="G1810" s="530"/>
      <c r="H1810" s="472" t="s">
        <v>65</v>
      </c>
      <c r="I1810" s="472">
        <v>1</v>
      </c>
      <c r="J1810" s="279" t="s">
        <v>49</v>
      </c>
      <c r="K1810" s="279"/>
      <c r="L1810" s="392"/>
      <c r="M1810" s="279"/>
      <c r="N1810" s="279"/>
      <c r="O1810" s="333"/>
      <c r="P1810" s="333"/>
      <c r="Q1810" s="132"/>
      <c r="R1810" s="94"/>
    </row>
    <row r="1811" spans="1:18" outlineLevel="1">
      <c r="A1811" s="36"/>
      <c r="B1811" s="311"/>
      <c r="C1811" s="528" t="s">
        <v>863</v>
      </c>
      <c r="D1811" s="472"/>
      <c r="E1811" s="311">
        <v>12471621001</v>
      </c>
      <c r="F1811" s="529" t="s">
        <v>1475</v>
      </c>
      <c r="G1811" s="530"/>
      <c r="H1811" s="472" t="s">
        <v>65</v>
      </c>
      <c r="I1811" s="472">
        <v>1</v>
      </c>
      <c r="J1811" s="279" t="s">
        <v>49</v>
      </c>
      <c r="K1811" s="279"/>
      <c r="L1811" s="392"/>
      <c r="M1811" s="279"/>
      <c r="N1811" s="279"/>
      <c r="O1811" s="333"/>
      <c r="P1811" s="333"/>
      <c r="Q1811" s="132"/>
      <c r="R1811" s="94"/>
    </row>
    <row r="1812" spans="1:18" outlineLevel="1">
      <c r="A1812" s="36"/>
      <c r="B1812" s="311"/>
      <c r="C1812" s="528" t="s">
        <v>863</v>
      </c>
      <c r="D1812" s="472"/>
      <c r="E1812" s="311">
        <v>12471721001</v>
      </c>
      <c r="F1812" s="529" t="s">
        <v>1476</v>
      </c>
      <c r="G1812" s="530"/>
      <c r="H1812" s="472" t="s">
        <v>65</v>
      </c>
      <c r="I1812" s="472">
        <v>1</v>
      </c>
      <c r="J1812" s="279" t="s">
        <v>49</v>
      </c>
      <c r="K1812" s="279"/>
      <c r="L1812" s="392"/>
      <c r="M1812" s="279"/>
      <c r="N1812" s="279"/>
      <c r="O1812" s="333"/>
      <c r="P1812" s="333"/>
      <c r="Q1812" s="132"/>
      <c r="R1812" s="94"/>
    </row>
    <row r="1813" spans="1:18" outlineLevel="1">
      <c r="A1813" s="36"/>
      <c r="B1813" s="311"/>
      <c r="C1813" s="528" t="s">
        <v>863</v>
      </c>
      <c r="D1813" s="472"/>
      <c r="E1813" s="311">
        <v>12471821001</v>
      </c>
      <c r="F1813" s="529" t="s">
        <v>1477</v>
      </c>
      <c r="G1813" s="530"/>
      <c r="H1813" s="472" t="s">
        <v>65</v>
      </c>
      <c r="I1813" s="472">
        <v>1</v>
      </c>
      <c r="J1813" s="279" t="s">
        <v>49</v>
      </c>
      <c r="K1813" s="279"/>
      <c r="L1813" s="392"/>
      <c r="M1813" s="279"/>
      <c r="N1813" s="279"/>
      <c r="O1813" s="333"/>
      <c r="P1813" s="333"/>
      <c r="Q1813" s="132"/>
      <c r="R1813" s="94"/>
    </row>
    <row r="1814" spans="1:18" outlineLevel="1">
      <c r="A1814" s="36"/>
      <c r="B1814" s="311"/>
      <c r="C1814" s="528" t="s">
        <v>863</v>
      </c>
      <c r="D1814" s="472"/>
      <c r="E1814" s="311">
        <v>12471921001</v>
      </c>
      <c r="F1814" s="529" t="s">
        <v>1478</v>
      </c>
      <c r="G1814" s="530"/>
      <c r="H1814" s="472" t="s">
        <v>65</v>
      </c>
      <c r="I1814" s="472">
        <v>1</v>
      </c>
      <c r="J1814" s="279" t="s">
        <v>49</v>
      </c>
      <c r="K1814" s="279"/>
      <c r="L1814" s="392"/>
      <c r="M1814" s="279"/>
      <c r="N1814" s="279"/>
      <c r="O1814" s="333"/>
      <c r="P1814" s="333"/>
      <c r="Q1814" s="132"/>
      <c r="R1814" s="96"/>
    </row>
    <row r="1815" spans="1:18" outlineLevel="1">
      <c r="A1815" s="36"/>
      <c r="B1815" s="311"/>
      <c r="C1815" s="528" t="s">
        <v>863</v>
      </c>
      <c r="D1815" s="472"/>
      <c r="E1815" s="311">
        <v>12335921001</v>
      </c>
      <c r="F1815" s="529" t="s">
        <v>1479</v>
      </c>
      <c r="G1815" s="530"/>
      <c r="H1815" s="472" t="s">
        <v>65</v>
      </c>
      <c r="I1815" s="472">
        <v>1</v>
      </c>
      <c r="J1815" s="279" t="s">
        <v>49</v>
      </c>
      <c r="K1815" s="279"/>
      <c r="L1815" s="392"/>
      <c r="M1815" s="279"/>
      <c r="N1815" s="279"/>
      <c r="O1815" s="333"/>
      <c r="P1815" s="333"/>
      <c r="Q1815" s="132"/>
      <c r="R1815" s="94"/>
    </row>
    <row r="1816" spans="1:18" outlineLevel="1">
      <c r="A1816" s="36"/>
      <c r="B1816" s="311"/>
      <c r="C1816" s="528" t="s">
        <v>863</v>
      </c>
      <c r="D1816" s="472"/>
      <c r="E1816" s="311">
        <v>12472021001</v>
      </c>
      <c r="F1816" s="529" t="s">
        <v>1480</v>
      </c>
      <c r="G1816" s="530"/>
      <c r="H1816" s="472" t="s">
        <v>65</v>
      </c>
      <c r="I1816" s="472">
        <v>1</v>
      </c>
      <c r="J1816" s="279" t="s">
        <v>49</v>
      </c>
      <c r="K1816" s="279"/>
      <c r="L1816" s="392"/>
      <c r="M1816" s="279"/>
      <c r="N1816" s="279"/>
      <c r="O1816" s="333"/>
      <c r="P1816" s="333"/>
      <c r="Q1816" s="132"/>
      <c r="R1816" s="94"/>
    </row>
    <row r="1817" spans="1:18" outlineLevel="1">
      <c r="A1817" s="36"/>
      <c r="B1817" s="456"/>
      <c r="C1817" s="500"/>
      <c r="D1817" s="387"/>
      <c r="E1817" s="188"/>
      <c r="F1817" s="388"/>
      <c r="G1817" s="455"/>
      <c r="H1817" s="387"/>
      <c r="I1817" s="387"/>
      <c r="J1817" s="212"/>
      <c r="K1817" s="212"/>
      <c r="L1817" s="392"/>
      <c r="M1817" s="279"/>
      <c r="N1817" s="279"/>
      <c r="O1817" s="333"/>
      <c r="P1817" s="333"/>
      <c r="Q1817" s="132"/>
      <c r="R1817" s="94"/>
    </row>
    <row r="1818" spans="1:18" outlineLevel="1">
      <c r="A1818" s="36"/>
      <c r="B1818" s="311"/>
      <c r="C1818" s="528" t="s">
        <v>863</v>
      </c>
      <c r="D1818" s="472"/>
      <c r="E1818" s="311">
        <v>12467221001</v>
      </c>
      <c r="F1818" s="529" t="s">
        <v>1481</v>
      </c>
      <c r="G1818" s="530"/>
      <c r="H1818" s="472" t="s">
        <v>65</v>
      </c>
      <c r="I1818" s="472">
        <v>1</v>
      </c>
      <c r="J1818" s="279" t="s">
        <v>49</v>
      </c>
      <c r="K1818" s="279"/>
      <c r="L1818" s="392"/>
      <c r="M1818" s="279"/>
      <c r="N1818" s="279"/>
      <c r="O1818" s="333"/>
      <c r="P1818" s="333"/>
      <c r="Q1818" s="132"/>
      <c r="R1818" s="94"/>
    </row>
    <row r="1819" spans="1:18" outlineLevel="1">
      <c r="A1819" s="36"/>
      <c r="B1819" s="311"/>
      <c r="C1819" s="528" t="s">
        <v>863</v>
      </c>
      <c r="D1819" s="472"/>
      <c r="E1819" s="311">
        <v>12467321001</v>
      </c>
      <c r="F1819" s="529" t="s">
        <v>1482</v>
      </c>
      <c r="G1819" s="530"/>
      <c r="H1819" s="472" t="s">
        <v>65</v>
      </c>
      <c r="I1819" s="472">
        <v>1</v>
      </c>
      <c r="J1819" s="279" t="s">
        <v>49</v>
      </c>
      <c r="K1819" s="279"/>
      <c r="L1819" s="392"/>
      <c r="M1819" s="279"/>
      <c r="N1819" s="279"/>
      <c r="O1819" s="333"/>
      <c r="P1819" s="333"/>
      <c r="Q1819" s="132"/>
      <c r="R1819" s="94"/>
    </row>
    <row r="1820" spans="1:18" outlineLevel="1">
      <c r="A1820" s="36"/>
      <c r="B1820" s="311"/>
      <c r="C1820" s="528" t="s">
        <v>863</v>
      </c>
      <c r="D1820" s="472"/>
      <c r="E1820" s="311">
        <v>12467421001</v>
      </c>
      <c r="F1820" s="529" t="s">
        <v>1483</v>
      </c>
      <c r="G1820" s="530"/>
      <c r="H1820" s="472" t="s">
        <v>65</v>
      </c>
      <c r="I1820" s="472">
        <v>1</v>
      </c>
      <c r="J1820" s="279" t="s">
        <v>49</v>
      </c>
      <c r="K1820" s="279"/>
      <c r="L1820" s="392"/>
      <c r="M1820" s="279"/>
      <c r="N1820" s="279"/>
      <c r="O1820" s="333"/>
      <c r="P1820" s="333"/>
      <c r="Q1820" s="132"/>
      <c r="R1820" s="94"/>
    </row>
    <row r="1821" spans="1:18" outlineLevel="1">
      <c r="A1821" s="36"/>
      <c r="B1821" s="311"/>
      <c r="C1821" s="528" t="s">
        <v>863</v>
      </c>
      <c r="D1821" s="472"/>
      <c r="E1821" s="311">
        <v>12467521001</v>
      </c>
      <c r="F1821" s="529" t="s">
        <v>1484</v>
      </c>
      <c r="G1821" s="530"/>
      <c r="H1821" s="472" t="s">
        <v>65</v>
      </c>
      <c r="I1821" s="472">
        <v>1</v>
      </c>
      <c r="J1821" s="279" t="s">
        <v>49</v>
      </c>
      <c r="K1821" s="279"/>
      <c r="L1821" s="392"/>
      <c r="M1821" s="279"/>
      <c r="N1821" s="279"/>
      <c r="O1821" s="333"/>
      <c r="P1821" s="333"/>
      <c r="Q1821" s="132"/>
      <c r="R1821" s="94"/>
    </row>
    <row r="1822" spans="1:18" outlineLevel="1">
      <c r="A1822" s="36"/>
      <c r="B1822" s="311"/>
      <c r="C1822" s="528" t="s">
        <v>863</v>
      </c>
      <c r="D1822" s="472"/>
      <c r="E1822" s="311">
        <v>12467621001</v>
      </c>
      <c r="F1822" s="529" t="s">
        <v>1485</v>
      </c>
      <c r="G1822" s="530"/>
      <c r="H1822" s="472" t="s">
        <v>65</v>
      </c>
      <c r="I1822" s="472">
        <v>1</v>
      </c>
      <c r="J1822" s="279" t="s">
        <v>49</v>
      </c>
      <c r="K1822" s="279"/>
      <c r="L1822" s="392"/>
      <c r="M1822" s="279"/>
      <c r="N1822" s="279"/>
      <c r="O1822" s="333"/>
      <c r="P1822" s="333"/>
      <c r="Q1822" s="132"/>
      <c r="R1822" s="94"/>
    </row>
    <row r="1823" spans="1:18" outlineLevel="1">
      <c r="A1823" s="36"/>
      <c r="B1823" s="311"/>
      <c r="C1823" s="528" t="s">
        <v>863</v>
      </c>
      <c r="D1823" s="472"/>
      <c r="E1823" s="311">
        <v>12467821001</v>
      </c>
      <c r="F1823" s="529" t="s">
        <v>1486</v>
      </c>
      <c r="G1823" s="530"/>
      <c r="H1823" s="472" t="s">
        <v>65</v>
      </c>
      <c r="I1823" s="472">
        <v>1</v>
      </c>
      <c r="J1823" s="279" t="s">
        <v>49</v>
      </c>
      <c r="K1823" s="279"/>
      <c r="L1823" s="392"/>
      <c r="M1823" s="279"/>
      <c r="N1823" s="279"/>
      <c r="O1823" s="333"/>
      <c r="P1823" s="333"/>
      <c r="Q1823" s="132"/>
      <c r="R1823" s="94"/>
    </row>
    <row r="1824" spans="1:18" outlineLevel="1">
      <c r="A1824" s="36"/>
      <c r="B1824" s="311"/>
      <c r="C1824" s="528" t="s">
        <v>863</v>
      </c>
      <c r="D1824" s="472"/>
      <c r="E1824" s="311">
        <v>12467921001</v>
      </c>
      <c r="F1824" s="529" t="s">
        <v>1487</v>
      </c>
      <c r="G1824" s="530"/>
      <c r="H1824" s="472" t="s">
        <v>65</v>
      </c>
      <c r="I1824" s="472">
        <v>1</v>
      </c>
      <c r="J1824" s="279" t="s">
        <v>49</v>
      </c>
      <c r="K1824" s="279"/>
      <c r="L1824" s="392"/>
      <c r="M1824" s="279"/>
      <c r="N1824" s="279"/>
      <c r="O1824" s="333"/>
      <c r="P1824" s="333"/>
      <c r="Q1824" s="132"/>
      <c r="R1824" s="96"/>
    </row>
    <row r="1825" spans="1:38" outlineLevel="1">
      <c r="A1825" s="36"/>
      <c r="B1825" s="311"/>
      <c r="C1825" s="528" t="s">
        <v>863</v>
      </c>
      <c r="D1825" s="472"/>
      <c r="E1825" s="311">
        <v>12335821001</v>
      </c>
      <c r="F1825" s="529" t="s">
        <v>1488</v>
      </c>
      <c r="G1825" s="530"/>
      <c r="H1825" s="472" t="s">
        <v>65</v>
      </c>
      <c r="I1825" s="472">
        <v>1</v>
      </c>
      <c r="J1825" s="279" t="s">
        <v>49</v>
      </c>
      <c r="K1825" s="279"/>
      <c r="L1825" s="392"/>
      <c r="M1825" s="279"/>
      <c r="N1825" s="279"/>
      <c r="O1825" s="333"/>
      <c r="P1825" s="333"/>
      <c r="Q1825" s="132"/>
      <c r="R1825" s="94"/>
      <c r="AL1825" s="74"/>
    </row>
    <row r="1826" spans="1:38" outlineLevel="1">
      <c r="A1826" s="36"/>
      <c r="B1826" s="311"/>
      <c r="C1826" s="528" t="s">
        <v>863</v>
      </c>
      <c r="D1826" s="472"/>
      <c r="E1826" s="311">
        <v>12468221001</v>
      </c>
      <c r="F1826" s="529" t="s">
        <v>1489</v>
      </c>
      <c r="G1826" s="530"/>
      <c r="H1826" s="472" t="s">
        <v>65</v>
      </c>
      <c r="I1826" s="472">
        <v>1</v>
      </c>
      <c r="J1826" s="279" t="s">
        <v>49</v>
      </c>
      <c r="K1826" s="279"/>
      <c r="L1826" s="392"/>
      <c r="M1826" s="279"/>
      <c r="N1826" s="279"/>
      <c r="O1826" s="333"/>
      <c r="P1826" s="333"/>
      <c r="Q1826" s="132"/>
      <c r="R1826" s="94"/>
      <c r="AL1826" s="74"/>
    </row>
    <row r="1827" spans="1:38" outlineLevel="1">
      <c r="A1827" s="36"/>
      <c r="B1827" s="456"/>
      <c r="C1827" s="500"/>
      <c r="D1827" s="387"/>
      <c r="E1827" s="188"/>
      <c r="F1827" s="388"/>
      <c r="G1827" s="455"/>
      <c r="H1827" s="387"/>
      <c r="I1827" s="387"/>
      <c r="J1827" s="212"/>
      <c r="K1827" s="212"/>
      <c r="L1827" s="392"/>
      <c r="M1827" s="279"/>
      <c r="N1827" s="279"/>
      <c r="O1827" s="333"/>
      <c r="P1827" s="333"/>
      <c r="Q1827" s="132"/>
      <c r="R1827" s="94"/>
      <c r="AL1827" s="74"/>
    </row>
    <row r="1828" spans="1:38" s="74" customFormat="1" outlineLevel="1">
      <c r="A1828" s="156"/>
      <c r="B1828" s="225" t="s">
        <v>52</v>
      </c>
      <c r="C1828" s="514" t="s">
        <v>863</v>
      </c>
      <c r="D1828" s="515"/>
      <c r="E1828" s="225">
        <v>12891161001</v>
      </c>
      <c r="F1828" s="516" t="s">
        <v>1490</v>
      </c>
      <c r="G1828" s="502"/>
      <c r="H1828" s="515" t="s">
        <v>65</v>
      </c>
      <c r="I1828" s="515">
        <v>1</v>
      </c>
      <c r="J1828" s="229" t="s">
        <v>49</v>
      </c>
      <c r="K1828" s="229"/>
      <c r="L1828" s="517"/>
      <c r="M1828" s="229"/>
      <c r="N1828" s="229"/>
      <c r="O1828" s="230"/>
      <c r="P1828" s="230"/>
      <c r="Q1828" s="132"/>
      <c r="R1828" s="94"/>
      <c r="AK1828"/>
    </row>
    <row r="1829" spans="1:38" s="74" customFormat="1" outlineLevel="1">
      <c r="A1829" s="156"/>
      <c r="B1829" s="225" t="s">
        <v>52</v>
      </c>
      <c r="C1829" s="514" t="s">
        <v>863</v>
      </c>
      <c r="D1829" s="515"/>
      <c r="E1829" s="225">
        <v>12891171001</v>
      </c>
      <c r="F1829" s="516" t="s">
        <v>1491</v>
      </c>
      <c r="G1829" s="502"/>
      <c r="H1829" s="515" t="s">
        <v>65</v>
      </c>
      <c r="I1829" s="515">
        <v>1</v>
      </c>
      <c r="J1829" s="229" t="s">
        <v>49</v>
      </c>
      <c r="K1829" s="229"/>
      <c r="L1829" s="517"/>
      <c r="M1829" s="229"/>
      <c r="N1829" s="229"/>
      <c r="O1829" s="230"/>
      <c r="P1829" s="230"/>
      <c r="Q1829" s="132"/>
      <c r="R1829" s="94"/>
      <c r="AK1829"/>
    </row>
    <row r="1830" spans="1:38" s="74" customFormat="1" outlineLevel="1">
      <c r="A1830" s="156"/>
      <c r="B1830" s="225" t="s">
        <v>52</v>
      </c>
      <c r="C1830" s="514" t="s">
        <v>863</v>
      </c>
      <c r="D1830" s="515"/>
      <c r="E1830" s="225">
        <v>12891181001</v>
      </c>
      <c r="F1830" s="516" t="s">
        <v>1492</v>
      </c>
      <c r="G1830" s="502"/>
      <c r="H1830" s="515" t="s">
        <v>65</v>
      </c>
      <c r="I1830" s="515">
        <v>1</v>
      </c>
      <c r="J1830" s="229" t="s">
        <v>49</v>
      </c>
      <c r="K1830" s="229"/>
      <c r="L1830" s="517"/>
      <c r="M1830" s="229"/>
      <c r="N1830" s="229"/>
      <c r="O1830" s="230"/>
      <c r="P1830" s="230"/>
      <c r="Q1830" s="132"/>
      <c r="R1830" s="94"/>
      <c r="AK1830"/>
      <c r="AL1830"/>
    </row>
    <row r="1831" spans="1:38" s="74" customFormat="1" outlineLevel="1">
      <c r="A1831" s="156"/>
      <c r="B1831" s="225" t="s">
        <v>52</v>
      </c>
      <c r="C1831" s="514" t="s">
        <v>863</v>
      </c>
      <c r="D1831" s="515"/>
      <c r="E1831" s="225">
        <v>12891211001</v>
      </c>
      <c r="F1831" s="516" t="s">
        <v>1493</v>
      </c>
      <c r="G1831" s="502"/>
      <c r="H1831" s="515" t="s">
        <v>65</v>
      </c>
      <c r="I1831" s="515">
        <v>1</v>
      </c>
      <c r="J1831" s="229" t="s">
        <v>49</v>
      </c>
      <c r="K1831" s="229"/>
      <c r="L1831" s="517"/>
      <c r="M1831" s="229"/>
      <c r="N1831" s="229"/>
      <c r="O1831" s="230"/>
      <c r="P1831" s="230"/>
      <c r="Q1831" s="132"/>
      <c r="R1831" s="94"/>
      <c r="AK1831"/>
    </row>
    <row r="1832" spans="1:38" s="74" customFormat="1" outlineLevel="1">
      <c r="A1832" s="156"/>
      <c r="B1832" s="225" t="s">
        <v>52</v>
      </c>
      <c r="C1832" s="514" t="s">
        <v>863</v>
      </c>
      <c r="D1832" s="515"/>
      <c r="E1832" s="225">
        <v>12891231001</v>
      </c>
      <c r="F1832" s="516" t="s">
        <v>1494</v>
      </c>
      <c r="G1832" s="502"/>
      <c r="H1832" s="515" t="s">
        <v>65</v>
      </c>
      <c r="I1832" s="515">
        <v>1</v>
      </c>
      <c r="J1832" s="229" t="s">
        <v>49</v>
      </c>
      <c r="K1832" s="229"/>
      <c r="L1832" s="517"/>
      <c r="M1832" s="229"/>
      <c r="N1832" s="229"/>
      <c r="O1832" s="230"/>
      <c r="P1832" s="230"/>
      <c r="Q1832" s="132"/>
      <c r="R1832" s="94"/>
      <c r="AK1832"/>
      <c r="AL1832"/>
    </row>
    <row r="1833" spans="1:38" outlineLevel="1">
      <c r="A1833" s="36"/>
      <c r="B1833" s="311"/>
      <c r="C1833" s="528" t="s">
        <v>863</v>
      </c>
      <c r="D1833" s="472"/>
      <c r="E1833" s="311">
        <v>12891241001</v>
      </c>
      <c r="F1833" s="529" t="s">
        <v>1495</v>
      </c>
      <c r="G1833" s="530"/>
      <c r="H1833" s="472" t="s">
        <v>65</v>
      </c>
      <c r="I1833" s="472">
        <v>1</v>
      </c>
      <c r="J1833" s="279" t="s">
        <v>49</v>
      </c>
      <c r="K1833" s="279"/>
      <c r="L1833" s="392"/>
      <c r="M1833" s="279"/>
      <c r="N1833" s="279"/>
      <c r="O1833" s="333"/>
      <c r="P1833" s="333"/>
      <c r="Q1833" s="132"/>
      <c r="R1833" s="94"/>
    </row>
    <row r="1834" spans="1:38" s="74" customFormat="1" outlineLevel="1">
      <c r="A1834" s="156"/>
      <c r="B1834" s="225" t="s">
        <v>52</v>
      </c>
      <c r="C1834" s="514" t="s">
        <v>863</v>
      </c>
      <c r="D1834" s="515"/>
      <c r="E1834" s="225">
        <v>12891251001</v>
      </c>
      <c r="F1834" s="516" t="s">
        <v>1496</v>
      </c>
      <c r="G1834" s="502"/>
      <c r="H1834" s="515" t="s">
        <v>65</v>
      </c>
      <c r="I1834" s="515">
        <v>1</v>
      </c>
      <c r="J1834" s="229" t="s">
        <v>49</v>
      </c>
      <c r="K1834" s="229"/>
      <c r="L1834" s="517"/>
      <c r="M1834" s="229"/>
      <c r="N1834" s="229"/>
      <c r="O1834" s="230"/>
      <c r="P1834" s="230"/>
      <c r="Q1834" s="132"/>
      <c r="R1834" s="97"/>
      <c r="AK1834"/>
      <c r="AL1834"/>
    </row>
    <row r="1835" spans="1:38" outlineLevel="1">
      <c r="A1835" s="36"/>
      <c r="B1835" s="311"/>
      <c r="C1835" s="528" t="s">
        <v>863</v>
      </c>
      <c r="D1835" s="472"/>
      <c r="E1835" s="311">
        <v>12891261001</v>
      </c>
      <c r="F1835" s="529" t="s">
        <v>1497</v>
      </c>
      <c r="G1835" s="530"/>
      <c r="H1835" s="472" t="s">
        <v>65</v>
      </c>
      <c r="I1835" s="472">
        <v>1</v>
      </c>
      <c r="J1835" s="279" t="s">
        <v>49</v>
      </c>
      <c r="K1835" s="279"/>
      <c r="L1835" s="392"/>
      <c r="M1835" s="279"/>
      <c r="N1835" s="279"/>
      <c r="O1835" s="333"/>
      <c r="P1835" s="333"/>
      <c r="Q1835" s="132"/>
      <c r="R1835" s="98"/>
      <c r="AL1835" s="73"/>
    </row>
    <row r="1836" spans="1:38" outlineLevel="1">
      <c r="A1836" s="36"/>
      <c r="B1836" s="311"/>
      <c r="C1836" s="528" t="s">
        <v>863</v>
      </c>
      <c r="D1836" s="472"/>
      <c r="E1836" s="311">
        <v>12891271001</v>
      </c>
      <c r="F1836" s="529" t="s">
        <v>1498</v>
      </c>
      <c r="G1836" s="530"/>
      <c r="H1836" s="472" t="s">
        <v>65</v>
      </c>
      <c r="I1836" s="472">
        <v>1</v>
      </c>
      <c r="J1836" s="279" t="s">
        <v>49</v>
      </c>
      <c r="K1836" s="279"/>
      <c r="L1836" s="392"/>
      <c r="M1836" s="279"/>
      <c r="N1836" s="279"/>
      <c r="O1836" s="333"/>
      <c r="P1836" s="333"/>
      <c r="Q1836" s="132"/>
      <c r="R1836" s="99"/>
      <c r="AL1836" s="73"/>
    </row>
    <row r="1837" spans="1:38" outlineLevel="1">
      <c r="A1837" s="36"/>
      <c r="B1837" s="456"/>
      <c r="C1837" s="500"/>
      <c r="D1837" s="387"/>
      <c r="E1837" s="188"/>
      <c r="F1837" s="388"/>
      <c r="G1837" s="455"/>
      <c r="H1837" s="387"/>
      <c r="I1837" s="387"/>
      <c r="J1837" s="212"/>
      <c r="K1837" s="212"/>
      <c r="L1837" s="392"/>
      <c r="M1837" s="279"/>
      <c r="N1837" s="279"/>
      <c r="O1837" s="333"/>
      <c r="P1837" s="333"/>
      <c r="Q1837" s="132"/>
      <c r="R1837" s="99"/>
      <c r="AL1837" s="73"/>
    </row>
    <row r="1838" spans="1:38" s="73" customFormat="1" outlineLevel="1">
      <c r="A1838" s="152"/>
      <c r="B1838" s="188"/>
      <c r="C1838" s="487" t="s">
        <v>863</v>
      </c>
      <c r="D1838" s="488"/>
      <c r="E1838" s="511"/>
      <c r="F1838" s="490" t="s">
        <v>1499</v>
      </c>
      <c r="G1838" s="518"/>
      <c r="H1838" s="492"/>
      <c r="I1838" s="492"/>
      <c r="J1838" s="418"/>
      <c r="K1838" s="418"/>
      <c r="L1838" s="493"/>
      <c r="M1838" s="494"/>
      <c r="N1838" s="494"/>
      <c r="O1838" s="525"/>
      <c r="P1838" s="493"/>
      <c r="Q1838" s="132"/>
      <c r="R1838" s="94"/>
      <c r="AK1838"/>
      <c r="AL1838" s="74"/>
    </row>
    <row r="1839" spans="1:38" s="73" customFormat="1" outlineLevel="1">
      <c r="A1839" s="152"/>
      <c r="B1839" s="188"/>
      <c r="C1839" s="487" t="s">
        <v>863</v>
      </c>
      <c r="D1839" s="488"/>
      <c r="E1839" s="511"/>
      <c r="F1839" s="490" t="s">
        <v>1500</v>
      </c>
      <c r="G1839" s="512"/>
      <c r="H1839" s="513"/>
      <c r="I1839" s="513"/>
      <c r="J1839" s="418"/>
      <c r="K1839" s="418"/>
      <c r="L1839" s="493"/>
      <c r="M1839" s="494"/>
      <c r="N1839" s="494"/>
      <c r="O1839" s="525"/>
      <c r="P1839" s="493"/>
      <c r="Q1839" s="132"/>
      <c r="R1839" s="94"/>
      <c r="AK1839"/>
      <c r="AL1839" s="74"/>
    </row>
    <row r="1840" spans="1:38" s="73" customFormat="1" outlineLevel="1">
      <c r="A1840" s="152"/>
      <c r="B1840" s="188"/>
      <c r="C1840" s="487" t="s">
        <v>863</v>
      </c>
      <c r="D1840" s="488"/>
      <c r="E1840" s="511"/>
      <c r="F1840" s="490" t="s">
        <v>1501</v>
      </c>
      <c r="G1840" s="518"/>
      <c r="H1840" s="492"/>
      <c r="I1840" s="492"/>
      <c r="J1840" s="418"/>
      <c r="K1840" s="418"/>
      <c r="L1840" s="493"/>
      <c r="M1840" s="494"/>
      <c r="N1840" s="494"/>
      <c r="O1840" s="525"/>
      <c r="P1840" s="493"/>
      <c r="Q1840" s="132"/>
      <c r="R1840" s="97"/>
      <c r="AK1840"/>
      <c r="AL1840"/>
    </row>
    <row r="1841" spans="1:38" s="74" customFormat="1" outlineLevel="1">
      <c r="A1841" s="156"/>
      <c r="B1841" s="225" t="s">
        <v>52</v>
      </c>
      <c r="C1841" s="514" t="s">
        <v>863</v>
      </c>
      <c r="D1841" s="515"/>
      <c r="E1841" s="225">
        <v>11363921005</v>
      </c>
      <c r="F1841" s="516" t="s">
        <v>1502</v>
      </c>
      <c r="G1841" s="502"/>
      <c r="H1841" s="515" t="s">
        <v>28</v>
      </c>
      <c r="I1841" s="515">
        <v>5</v>
      </c>
      <c r="J1841" s="229" t="s">
        <v>49</v>
      </c>
      <c r="K1841" s="229"/>
      <c r="L1841" s="517"/>
      <c r="M1841" s="229"/>
      <c r="N1841" s="229"/>
      <c r="O1841" s="230"/>
      <c r="P1841" s="230"/>
      <c r="Q1841" s="132"/>
      <c r="R1841" s="94"/>
      <c r="AK1841"/>
    </row>
    <row r="1842" spans="1:38" s="74" customFormat="1" outlineLevel="1">
      <c r="A1842" s="156"/>
      <c r="B1842" s="225" t="s">
        <v>52</v>
      </c>
      <c r="C1842" s="514" t="s">
        <v>863</v>
      </c>
      <c r="D1842" s="515"/>
      <c r="E1842" s="225">
        <v>11363621005</v>
      </c>
      <c r="F1842" s="516" t="s">
        <v>1503</v>
      </c>
      <c r="G1842" s="502"/>
      <c r="H1842" s="515" t="s">
        <v>28</v>
      </c>
      <c r="I1842" s="515">
        <v>5</v>
      </c>
      <c r="J1842" s="229" t="s">
        <v>49</v>
      </c>
      <c r="K1842" s="229"/>
      <c r="L1842" s="517"/>
      <c r="M1842" s="229"/>
      <c r="N1842" s="229"/>
      <c r="O1842" s="230"/>
      <c r="P1842" s="230"/>
      <c r="Q1842" s="132"/>
      <c r="R1842" s="94"/>
      <c r="AK1842"/>
    </row>
    <row r="1843" spans="1:38" outlineLevel="1">
      <c r="A1843" s="36"/>
      <c r="B1843" s="520" t="s">
        <v>52</v>
      </c>
      <c r="C1843" s="514" t="s">
        <v>863</v>
      </c>
      <c r="D1843" s="515"/>
      <c r="E1843" s="225">
        <v>11363621100</v>
      </c>
      <c r="F1843" s="516" t="s">
        <v>1504</v>
      </c>
      <c r="G1843" s="502"/>
      <c r="H1843" s="515" t="s">
        <v>28</v>
      </c>
      <c r="I1843" s="515">
        <v>100</v>
      </c>
      <c r="J1843" s="229" t="s">
        <v>895</v>
      </c>
      <c r="K1843" s="229"/>
      <c r="L1843" s="517"/>
      <c r="M1843" s="229"/>
      <c r="N1843" s="229"/>
      <c r="O1843" s="230"/>
      <c r="P1843" s="230"/>
      <c r="Q1843" s="132"/>
      <c r="R1843" s="94"/>
      <c r="AL1843" s="74"/>
    </row>
    <row r="1844" spans="1:38" s="74" customFormat="1" outlineLevel="1">
      <c r="A1844" s="156"/>
      <c r="B1844" s="225" t="s">
        <v>52</v>
      </c>
      <c r="C1844" s="514" t="s">
        <v>863</v>
      </c>
      <c r="D1844" s="515"/>
      <c r="E1844" s="225">
        <v>11363421005</v>
      </c>
      <c r="F1844" s="516" t="s">
        <v>1505</v>
      </c>
      <c r="G1844" s="502"/>
      <c r="H1844" s="515" t="s">
        <v>28</v>
      </c>
      <c r="I1844" s="515">
        <v>5</v>
      </c>
      <c r="J1844" s="229" t="s">
        <v>49</v>
      </c>
      <c r="K1844" s="229"/>
      <c r="L1844" s="517"/>
      <c r="M1844" s="229"/>
      <c r="N1844" s="229"/>
      <c r="O1844" s="230"/>
      <c r="P1844" s="230"/>
      <c r="Q1844" s="132"/>
      <c r="R1844" s="94"/>
      <c r="AK1844"/>
    </row>
    <row r="1845" spans="1:38" s="74" customFormat="1" outlineLevel="1">
      <c r="A1845" s="156"/>
      <c r="B1845" s="225" t="s">
        <v>52</v>
      </c>
      <c r="C1845" s="514" t="s">
        <v>863</v>
      </c>
      <c r="D1845" s="515"/>
      <c r="E1845" s="225">
        <v>11363821005</v>
      </c>
      <c r="F1845" s="516" t="s">
        <v>1506</v>
      </c>
      <c r="G1845" s="502"/>
      <c r="H1845" s="515" t="s">
        <v>28</v>
      </c>
      <c r="I1845" s="515">
        <v>5</v>
      </c>
      <c r="J1845" s="229" t="s">
        <v>49</v>
      </c>
      <c r="K1845" s="229"/>
      <c r="L1845" s="517"/>
      <c r="M1845" s="229"/>
      <c r="N1845" s="229"/>
      <c r="O1845" s="230"/>
      <c r="P1845" s="230"/>
      <c r="Q1845" s="132"/>
      <c r="R1845" s="97"/>
      <c r="AK1845"/>
      <c r="AL1845"/>
    </row>
    <row r="1846" spans="1:38" s="74" customFormat="1" outlineLevel="1">
      <c r="A1846" s="156"/>
      <c r="B1846" s="225" t="s">
        <v>52</v>
      </c>
      <c r="C1846" s="514" t="s">
        <v>863</v>
      </c>
      <c r="D1846" s="515"/>
      <c r="E1846" s="225">
        <v>11363721005</v>
      </c>
      <c r="F1846" s="516" t="s">
        <v>1507</v>
      </c>
      <c r="G1846" s="502"/>
      <c r="H1846" s="515" t="s">
        <v>28</v>
      </c>
      <c r="I1846" s="515">
        <v>5</v>
      </c>
      <c r="J1846" s="229" t="s">
        <v>49</v>
      </c>
      <c r="K1846" s="229"/>
      <c r="L1846" s="517"/>
      <c r="M1846" s="229"/>
      <c r="N1846" s="229"/>
      <c r="O1846" s="230"/>
      <c r="P1846" s="230"/>
      <c r="Q1846" s="132"/>
      <c r="R1846" s="123"/>
      <c r="AK1846"/>
      <c r="AL1846" s="73"/>
    </row>
    <row r="1847" spans="1:38" s="74" customFormat="1" outlineLevel="1">
      <c r="A1847" s="156"/>
      <c r="B1847" s="225" t="s">
        <v>52</v>
      </c>
      <c r="C1847" s="514" t="s">
        <v>863</v>
      </c>
      <c r="D1847" s="515"/>
      <c r="E1847" s="225">
        <v>11363521005</v>
      </c>
      <c r="F1847" s="516" t="s">
        <v>1508</v>
      </c>
      <c r="G1847" s="502"/>
      <c r="H1847" s="515" t="s">
        <v>28</v>
      </c>
      <c r="I1847" s="515">
        <v>5</v>
      </c>
      <c r="J1847" s="229" t="s">
        <v>49</v>
      </c>
      <c r="K1847" s="229"/>
      <c r="L1847" s="517"/>
      <c r="M1847" s="229"/>
      <c r="N1847" s="229"/>
      <c r="O1847" s="230"/>
      <c r="P1847" s="230"/>
      <c r="Q1847" s="132"/>
      <c r="R1847" s="94"/>
      <c r="AK1847"/>
    </row>
    <row r="1848" spans="1:38" outlineLevel="1">
      <c r="A1848" s="36"/>
      <c r="B1848" s="456"/>
      <c r="C1848" s="500"/>
      <c r="D1848" s="387"/>
      <c r="E1848" s="188"/>
      <c r="F1848" s="388"/>
      <c r="G1848" s="455"/>
      <c r="H1848" s="387"/>
      <c r="I1848" s="387"/>
      <c r="J1848" s="212"/>
      <c r="K1848" s="212"/>
      <c r="L1848" s="392"/>
      <c r="M1848" s="279"/>
      <c r="N1848" s="279"/>
      <c r="O1848" s="333"/>
      <c r="P1848" s="333"/>
      <c r="Q1848" s="132"/>
      <c r="R1848" s="94"/>
      <c r="AL1848" s="74"/>
    </row>
    <row r="1849" spans="1:38" s="73" customFormat="1" outlineLevel="1">
      <c r="A1849" s="152"/>
      <c r="B1849" s="188"/>
      <c r="C1849" s="487" t="s">
        <v>863</v>
      </c>
      <c r="D1849" s="488"/>
      <c r="E1849" s="511"/>
      <c r="F1849" s="490" t="s">
        <v>1509</v>
      </c>
      <c r="G1849" s="518"/>
      <c r="H1849" s="492"/>
      <c r="I1849" s="492"/>
      <c r="J1849" s="418"/>
      <c r="K1849" s="418"/>
      <c r="L1849" s="493"/>
      <c r="M1849" s="494"/>
      <c r="N1849" s="494"/>
      <c r="O1849" s="525"/>
      <c r="P1849" s="493"/>
      <c r="Q1849" s="132"/>
      <c r="R1849" s="94"/>
      <c r="AK1849"/>
      <c r="AL1849" s="74"/>
    </row>
    <row r="1850" spans="1:38" s="74" customFormat="1" outlineLevel="1">
      <c r="A1850" s="156"/>
      <c r="B1850" s="225" t="s">
        <v>52</v>
      </c>
      <c r="C1850" s="514" t="s">
        <v>863</v>
      </c>
      <c r="D1850" s="515"/>
      <c r="E1850" s="225">
        <v>11040611005</v>
      </c>
      <c r="F1850" s="516" t="s">
        <v>1510</v>
      </c>
      <c r="G1850" s="502"/>
      <c r="H1850" s="515" t="s">
        <v>28</v>
      </c>
      <c r="I1850" s="515">
        <v>5</v>
      </c>
      <c r="J1850" s="229" t="s">
        <v>49</v>
      </c>
      <c r="K1850" s="229"/>
      <c r="L1850" s="517"/>
      <c r="M1850" s="229"/>
      <c r="N1850" s="229"/>
      <c r="O1850" s="230"/>
      <c r="P1850" s="230"/>
      <c r="Q1850" s="132"/>
      <c r="R1850" s="94"/>
      <c r="AK1850"/>
    </row>
    <row r="1851" spans="1:38" s="74" customFormat="1" outlineLevel="1">
      <c r="A1851" s="156"/>
      <c r="B1851" s="225" t="s">
        <v>52</v>
      </c>
      <c r="C1851" s="514" t="s">
        <v>863</v>
      </c>
      <c r="D1851" s="515"/>
      <c r="E1851" s="225">
        <v>11040711005</v>
      </c>
      <c r="F1851" s="516" t="s">
        <v>1511</v>
      </c>
      <c r="G1851" s="502"/>
      <c r="H1851" s="515" t="s">
        <v>28</v>
      </c>
      <c r="I1851" s="515">
        <v>5</v>
      </c>
      <c r="J1851" s="229" t="s">
        <v>49</v>
      </c>
      <c r="K1851" s="229"/>
      <c r="L1851" s="517"/>
      <c r="M1851" s="229"/>
      <c r="N1851" s="229"/>
      <c r="O1851" s="230"/>
      <c r="P1851" s="230"/>
      <c r="Q1851" s="132"/>
      <c r="R1851" s="94"/>
      <c r="AK1851"/>
    </row>
    <row r="1852" spans="1:38" s="74" customFormat="1" outlineLevel="1">
      <c r="A1852" s="156"/>
      <c r="B1852" s="225" t="s">
        <v>52</v>
      </c>
      <c r="C1852" s="514" t="s">
        <v>863</v>
      </c>
      <c r="D1852" s="515"/>
      <c r="E1852" s="225">
        <v>11040811005</v>
      </c>
      <c r="F1852" s="516" t="s">
        <v>1512</v>
      </c>
      <c r="G1852" s="502"/>
      <c r="H1852" s="515" t="s">
        <v>28</v>
      </c>
      <c r="I1852" s="515">
        <v>5</v>
      </c>
      <c r="J1852" s="229" t="s">
        <v>49</v>
      </c>
      <c r="K1852" s="229"/>
      <c r="L1852" s="517"/>
      <c r="M1852" s="229"/>
      <c r="N1852" s="229"/>
      <c r="O1852" s="230"/>
      <c r="P1852" s="230"/>
      <c r="Q1852" s="132"/>
      <c r="R1852" s="94"/>
      <c r="AK1852"/>
    </row>
    <row r="1853" spans="1:38" s="74" customFormat="1" outlineLevel="1">
      <c r="A1853" s="156"/>
      <c r="B1853" s="225" t="s">
        <v>52</v>
      </c>
      <c r="C1853" s="514" t="s">
        <v>863</v>
      </c>
      <c r="D1853" s="515"/>
      <c r="E1853" s="225">
        <v>11040911005</v>
      </c>
      <c r="F1853" s="516" t="s">
        <v>1513</v>
      </c>
      <c r="G1853" s="502"/>
      <c r="H1853" s="515" t="s">
        <v>28</v>
      </c>
      <c r="I1853" s="515">
        <v>5</v>
      </c>
      <c r="J1853" s="229" t="s">
        <v>49</v>
      </c>
      <c r="K1853" s="229"/>
      <c r="L1853" s="517"/>
      <c r="M1853" s="229"/>
      <c r="N1853" s="229"/>
      <c r="O1853" s="230"/>
      <c r="P1853" s="230"/>
      <c r="Q1853" s="132"/>
      <c r="R1853" s="97"/>
      <c r="AK1853"/>
      <c r="AL1853"/>
    </row>
    <row r="1854" spans="1:38" s="74" customFormat="1" outlineLevel="1">
      <c r="A1854" s="156"/>
      <c r="B1854" s="225" t="s">
        <v>52</v>
      </c>
      <c r="C1854" s="514" t="s">
        <v>863</v>
      </c>
      <c r="D1854" s="515"/>
      <c r="E1854" s="225">
        <v>11041011005</v>
      </c>
      <c r="F1854" s="516" t="s">
        <v>1514</v>
      </c>
      <c r="G1854" s="502"/>
      <c r="H1854" s="515" t="s">
        <v>28</v>
      </c>
      <c r="I1854" s="515">
        <v>5</v>
      </c>
      <c r="J1854" s="229" t="s">
        <v>49</v>
      </c>
      <c r="K1854" s="229"/>
      <c r="L1854" s="517"/>
      <c r="M1854" s="229"/>
      <c r="N1854" s="229"/>
      <c r="O1854" s="230"/>
      <c r="P1854" s="230"/>
      <c r="Q1854" s="132"/>
      <c r="R1854" s="94"/>
      <c r="AK1854"/>
    </row>
    <row r="1855" spans="1:38" s="74" customFormat="1" outlineLevel="1">
      <c r="A1855" s="156"/>
      <c r="B1855" s="225" t="s">
        <v>52</v>
      </c>
      <c r="C1855" s="514" t="s">
        <v>863</v>
      </c>
      <c r="D1855" s="515"/>
      <c r="E1855" s="225">
        <v>11041111005</v>
      </c>
      <c r="F1855" s="516" t="s">
        <v>1515</v>
      </c>
      <c r="G1855" s="502"/>
      <c r="H1855" s="515" t="s">
        <v>28</v>
      </c>
      <c r="I1855" s="515">
        <v>5</v>
      </c>
      <c r="J1855" s="229" t="s">
        <v>49</v>
      </c>
      <c r="K1855" s="229"/>
      <c r="L1855" s="517"/>
      <c r="M1855" s="229"/>
      <c r="N1855" s="229"/>
      <c r="O1855" s="230"/>
      <c r="P1855" s="230"/>
      <c r="Q1855" s="132"/>
      <c r="R1855" s="94"/>
      <c r="AK1855"/>
    </row>
    <row r="1856" spans="1:38" outlineLevel="1">
      <c r="A1856" s="36"/>
      <c r="B1856" s="456"/>
      <c r="C1856" s="500"/>
      <c r="D1856" s="387"/>
      <c r="E1856" s="188"/>
      <c r="F1856" s="388"/>
      <c r="G1856" s="455"/>
      <c r="H1856" s="387"/>
      <c r="I1856" s="387"/>
      <c r="J1856" s="212"/>
      <c r="K1856" s="212"/>
      <c r="L1856" s="392"/>
      <c r="M1856" s="279"/>
      <c r="N1856" s="279"/>
      <c r="O1856" s="333"/>
      <c r="P1856" s="333"/>
      <c r="Q1856" s="132"/>
      <c r="R1856" s="94"/>
      <c r="AL1856" s="74"/>
    </row>
    <row r="1857" spans="1:38" s="74" customFormat="1" outlineLevel="1">
      <c r="A1857" s="156"/>
      <c r="B1857" s="225" t="s">
        <v>52</v>
      </c>
      <c r="C1857" s="514" t="s">
        <v>863</v>
      </c>
      <c r="D1857" s="515"/>
      <c r="E1857" s="225">
        <v>12434831002</v>
      </c>
      <c r="F1857" s="516" t="s">
        <v>1516</v>
      </c>
      <c r="G1857" s="502"/>
      <c r="H1857" s="515" t="s">
        <v>65</v>
      </c>
      <c r="I1857" s="515">
        <v>10</v>
      </c>
      <c r="J1857" s="229" t="s">
        <v>49</v>
      </c>
      <c r="K1857" s="229"/>
      <c r="L1857" s="517"/>
      <c r="M1857" s="229"/>
      <c r="N1857" s="229"/>
      <c r="O1857" s="230"/>
      <c r="P1857" s="230"/>
      <c r="Q1857" s="132"/>
      <c r="R1857" s="94"/>
      <c r="AK1857"/>
    </row>
    <row r="1858" spans="1:38" s="74" customFormat="1" outlineLevel="1">
      <c r="A1858" s="156"/>
      <c r="B1858" s="225" t="s">
        <v>52</v>
      </c>
      <c r="C1858" s="514" t="s">
        <v>863</v>
      </c>
      <c r="D1858" s="515"/>
      <c r="E1858" s="225">
        <v>12434931002</v>
      </c>
      <c r="F1858" s="516" t="s">
        <v>1517</v>
      </c>
      <c r="G1858" s="502"/>
      <c r="H1858" s="515" t="s">
        <v>65</v>
      </c>
      <c r="I1858" s="515">
        <v>10</v>
      </c>
      <c r="J1858" s="229" t="s">
        <v>49</v>
      </c>
      <c r="K1858" s="229"/>
      <c r="L1858" s="517"/>
      <c r="M1858" s="229"/>
      <c r="N1858" s="229"/>
      <c r="O1858" s="230"/>
      <c r="P1858" s="230"/>
      <c r="Q1858" s="132"/>
      <c r="R1858" s="94"/>
      <c r="AK1858"/>
    </row>
    <row r="1859" spans="1:38" s="74" customFormat="1" outlineLevel="1">
      <c r="A1859" s="156"/>
      <c r="B1859" s="225" t="s">
        <v>52</v>
      </c>
      <c r="C1859" s="514" t="s">
        <v>863</v>
      </c>
      <c r="D1859" s="515"/>
      <c r="E1859" s="225">
        <v>12435031002</v>
      </c>
      <c r="F1859" s="516" t="s">
        <v>1518</v>
      </c>
      <c r="G1859" s="502"/>
      <c r="H1859" s="515" t="s">
        <v>65</v>
      </c>
      <c r="I1859" s="515">
        <v>10</v>
      </c>
      <c r="J1859" s="229" t="s">
        <v>49</v>
      </c>
      <c r="K1859" s="229"/>
      <c r="L1859" s="517"/>
      <c r="M1859" s="229"/>
      <c r="N1859" s="229"/>
      <c r="O1859" s="230"/>
      <c r="P1859" s="230"/>
      <c r="Q1859" s="132"/>
      <c r="R1859" s="94"/>
      <c r="AK1859"/>
    </row>
    <row r="1860" spans="1:38" s="74" customFormat="1" outlineLevel="1">
      <c r="A1860" s="156"/>
      <c r="B1860" s="225" t="s">
        <v>52</v>
      </c>
      <c r="C1860" s="514" t="s">
        <v>863</v>
      </c>
      <c r="D1860" s="515"/>
      <c r="E1860" s="225">
        <v>12435131002</v>
      </c>
      <c r="F1860" s="516" t="s">
        <v>1519</v>
      </c>
      <c r="G1860" s="502"/>
      <c r="H1860" s="515" t="s">
        <v>65</v>
      </c>
      <c r="I1860" s="515">
        <v>5</v>
      </c>
      <c r="J1860" s="229" t="s">
        <v>49</v>
      </c>
      <c r="K1860" s="229"/>
      <c r="L1860" s="517"/>
      <c r="M1860" s="229"/>
      <c r="N1860" s="229"/>
      <c r="O1860" s="230"/>
      <c r="P1860" s="230"/>
      <c r="Q1860" s="132"/>
      <c r="R1860" s="94"/>
      <c r="AK1860"/>
    </row>
    <row r="1861" spans="1:38" s="74" customFormat="1" outlineLevel="1">
      <c r="A1861" s="156"/>
      <c r="B1861" s="225" t="s">
        <v>52</v>
      </c>
      <c r="C1861" s="514" t="s">
        <v>863</v>
      </c>
      <c r="D1861" s="515"/>
      <c r="E1861" s="225">
        <v>12435231002</v>
      </c>
      <c r="F1861" s="516" t="s">
        <v>1520</v>
      </c>
      <c r="G1861" s="502"/>
      <c r="H1861" s="515" t="s">
        <v>65</v>
      </c>
      <c r="I1861" s="515">
        <v>5</v>
      </c>
      <c r="J1861" s="229" t="s">
        <v>49</v>
      </c>
      <c r="K1861" s="229"/>
      <c r="L1861" s="517"/>
      <c r="M1861" s="229"/>
      <c r="N1861" s="229"/>
      <c r="O1861" s="230"/>
      <c r="P1861" s="230"/>
      <c r="Q1861" s="132"/>
      <c r="R1861" s="94"/>
      <c r="AK1861"/>
    </row>
    <row r="1862" spans="1:38" s="74" customFormat="1" outlineLevel="1">
      <c r="A1862" s="156"/>
      <c r="B1862" s="225" t="s">
        <v>52</v>
      </c>
      <c r="C1862" s="514" t="s">
        <v>863</v>
      </c>
      <c r="D1862" s="515"/>
      <c r="E1862" s="225">
        <v>12435331002</v>
      </c>
      <c r="F1862" s="516" t="s">
        <v>1521</v>
      </c>
      <c r="G1862" s="502"/>
      <c r="H1862" s="515" t="s">
        <v>65</v>
      </c>
      <c r="I1862" s="515">
        <v>5</v>
      </c>
      <c r="J1862" s="229" t="s">
        <v>49</v>
      </c>
      <c r="K1862" s="229"/>
      <c r="L1862" s="517"/>
      <c r="M1862" s="229"/>
      <c r="N1862" s="229"/>
      <c r="O1862" s="230"/>
      <c r="P1862" s="230"/>
      <c r="Q1862" s="132"/>
      <c r="R1862" s="94"/>
      <c r="AK1862"/>
    </row>
    <row r="1863" spans="1:38" s="74" customFormat="1" outlineLevel="1">
      <c r="A1863" s="156"/>
      <c r="B1863" s="225" t="s">
        <v>52</v>
      </c>
      <c r="C1863" s="514" t="s">
        <v>863</v>
      </c>
      <c r="D1863" s="515"/>
      <c r="E1863" s="225">
        <v>12228551001</v>
      </c>
      <c r="F1863" s="516" t="s">
        <v>952</v>
      </c>
      <c r="G1863" s="502"/>
      <c r="H1863" s="515" t="s">
        <v>65</v>
      </c>
      <c r="I1863" s="515">
        <v>1</v>
      </c>
      <c r="J1863" s="229" t="s">
        <v>49</v>
      </c>
      <c r="K1863" s="229"/>
      <c r="L1863" s="517"/>
      <c r="M1863" s="229"/>
      <c r="N1863" s="229"/>
      <c r="O1863" s="230"/>
      <c r="P1863" s="230"/>
      <c r="Q1863" s="132"/>
      <c r="R1863" s="94"/>
      <c r="AK1863"/>
    </row>
    <row r="1864" spans="1:38" s="74" customFormat="1" outlineLevel="1">
      <c r="A1864" s="156"/>
      <c r="B1864" s="225" t="s">
        <v>52</v>
      </c>
      <c r="C1864" s="514" t="s">
        <v>863</v>
      </c>
      <c r="D1864" s="515"/>
      <c r="E1864" s="225">
        <v>12228561001</v>
      </c>
      <c r="F1864" s="516" t="s">
        <v>953</v>
      </c>
      <c r="G1864" s="502"/>
      <c r="H1864" s="515" t="s">
        <v>65</v>
      </c>
      <c r="I1864" s="515">
        <v>1</v>
      </c>
      <c r="J1864" s="229" t="s">
        <v>49</v>
      </c>
      <c r="K1864" s="229"/>
      <c r="L1864" s="517"/>
      <c r="M1864" s="229"/>
      <c r="N1864" s="229"/>
      <c r="O1864" s="230"/>
      <c r="P1864" s="230"/>
      <c r="Q1864" s="132"/>
      <c r="R1864" s="94"/>
      <c r="AK1864"/>
    </row>
    <row r="1865" spans="1:38" s="74" customFormat="1" outlineLevel="1">
      <c r="A1865" s="156"/>
      <c r="B1865" s="225" t="s">
        <v>52</v>
      </c>
      <c r="C1865" s="514" t="s">
        <v>863</v>
      </c>
      <c r="D1865" s="515"/>
      <c r="E1865" s="225">
        <v>12228571001</v>
      </c>
      <c r="F1865" s="516" t="s">
        <v>954</v>
      </c>
      <c r="G1865" s="502"/>
      <c r="H1865" s="515" t="s">
        <v>65</v>
      </c>
      <c r="I1865" s="515">
        <v>1</v>
      </c>
      <c r="J1865" s="229" t="s">
        <v>49</v>
      </c>
      <c r="K1865" s="229"/>
      <c r="L1865" s="517"/>
      <c r="M1865" s="229"/>
      <c r="N1865" s="229"/>
      <c r="O1865" s="230"/>
      <c r="P1865" s="230"/>
      <c r="Q1865" s="132"/>
      <c r="R1865" s="97"/>
      <c r="AK1865"/>
      <c r="AL1865"/>
    </row>
    <row r="1866" spans="1:38" s="74" customFormat="1" outlineLevel="1">
      <c r="A1866" s="156"/>
      <c r="B1866" s="225" t="s">
        <v>52</v>
      </c>
      <c r="C1866" s="514" t="s">
        <v>863</v>
      </c>
      <c r="D1866" s="515"/>
      <c r="E1866" s="225">
        <v>12316661001</v>
      </c>
      <c r="F1866" s="516" t="s">
        <v>955</v>
      </c>
      <c r="G1866" s="502"/>
      <c r="H1866" s="515" t="s">
        <v>65</v>
      </c>
      <c r="I1866" s="515">
        <v>1</v>
      </c>
      <c r="J1866" s="229" t="s">
        <v>49</v>
      </c>
      <c r="K1866" s="229"/>
      <c r="L1866" s="517"/>
      <c r="M1866" s="229"/>
      <c r="N1866" s="229"/>
      <c r="O1866" s="230"/>
      <c r="P1866" s="230"/>
      <c r="Q1866" s="132"/>
      <c r="R1866" s="123"/>
      <c r="AK1866"/>
      <c r="AL1866" s="73"/>
    </row>
    <row r="1867" spans="1:38" s="74" customFormat="1" outlineLevel="1">
      <c r="A1867" s="156"/>
      <c r="B1867" s="225" t="s">
        <v>52</v>
      </c>
      <c r="C1867" s="514" t="s">
        <v>863</v>
      </c>
      <c r="D1867" s="515"/>
      <c r="E1867" s="225">
        <v>12346001001</v>
      </c>
      <c r="F1867" s="516" t="s">
        <v>956</v>
      </c>
      <c r="G1867" s="502"/>
      <c r="H1867" s="515" t="s">
        <v>65</v>
      </c>
      <c r="I1867" s="515">
        <v>1</v>
      </c>
      <c r="J1867" s="229" t="s">
        <v>49</v>
      </c>
      <c r="K1867" s="229"/>
      <c r="L1867" s="517"/>
      <c r="M1867" s="229"/>
      <c r="N1867" s="229"/>
      <c r="O1867" s="230"/>
      <c r="P1867" s="230"/>
      <c r="Q1867" s="132"/>
      <c r="R1867" s="94"/>
      <c r="AK1867"/>
    </row>
    <row r="1868" spans="1:38" outlineLevel="1">
      <c r="A1868" s="36"/>
      <c r="B1868" s="456"/>
      <c r="C1868" s="500"/>
      <c r="D1868" s="387"/>
      <c r="E1868" s="188"/>
      <c r="F1868" s="388"/>
      <c r="G1868" s="455"/>
      <c r="H1868" s="387"/>
      <c r="I1868" s="387"/>
      <c r="J1868" s="212"/>
      <c r="K1868" s="212"/>
      <c r="L1868" s="392"/>
      <c r="M1868" s="279"/>
      <c r="N1868" s="279"/>
      <c r="O1868" s="333"/>
      <c r="P1868" s="333"/>
      <c r="Q1868" s="132"/>
      <c r="R1868" s="94"/>
      <c r="AL1868" s="74"/>
    </row>
    <row r="1869" spans="1:38" s="73" customFormat="1" outlineLevel="1">
      <c r="A1869" s="152"/>
      <c r="B1869" s="188"/>
      <c r="C1869" s="487" t="s">
        <v>863</v>
      </c>
      <c r="D1869" s="488"/>
      <c r="E1869" s="511"/>
      <c r="F1869" s="490" t="s">
        <v>1522</v>
      </c>
      <c r="G1869" s="491"/>
      <c r="H1869" s="492"/>
      <c r="I1869" s="492"/>
      <c r="J1869" s="418"/>
      <c r="K1869" s="418"/>
      <c r="L1869" s="493"/>
      <c r="M1869" s="494"/>
      <c r="N1869" s="494"/>
      <c r="O1869" s="525"/>
      <c r="P1869" s="493"/>
      <c r="Q1869" s="132"/>
      <c r="R1869" s="94"/>
      <c r="AK1869"/>
      <c r="AL1869" s="74"/>
    </row>
    <row r="1870" spans="1:38" s="74" customFormat="1" outlineLevel="1">
      <c r="A1870" s="156"/>
      <c r="B1870" s="225" t="s">
        <v>52</v>
      </c>
      <c r="C1870" s="514" t="s">
        <v>863</v>
      </c>
      <c r="D1870" s="515"/>
      <c r="E1870" s="225">
        <v>12596151002</v>
      </c>
      <c r="F1870" s="516" t="s">
        <v>1523</v>
      </c>
      <c r="G1870" s="502"/>
      <c r="H1870" s="515" t="s">
        <v>65</v>
      </c>
      <c r="I1870" s="515">
        <v>100</v>
      </c>
      <c r="J1870" s="229" t="s">
        <v>49</v>
      </c>
      <c r="K1870" s="229"/>
      <c r="L1870" s="517"/>
      <c r="M1870" s="229"/>
      <c r="N1870" s="229"/>
      <c r="O1870" s="230"/>
      <c r="P1870" s="230"/>
      <c r="Q1870" s="132"/>
      <c r="R1870" s="94"/>
      <c r="AK1870"/>
    </row>
    <row r="1871" spans="1:38" s="74" customFormat="1" outlineLevel="1">
      <c r="A1871" s="156"/>
      <c r="B1871" s="225" t="s">
        <v>52</v>
      </c>
      <c r="C1871" s="514" t="s">
        <v>863</v>
      </c>
      <c r="D1871" s="226">
        <v>12596251002</v>
      </c>
      <c r="E1871" s="225">
        <v>12596251402</v>
      </c>
      <c r="F1871" s="516" t="s">
        <v>1524</v>
      </c>
      <c r="G1871" s="502"/>
      <c r="H1871" s="515" t="s">
        <v>65</v>
      </c>
      <c r="I1871" s="515">
        <v>100</v>
      </c>
      <c r="J1871" s="229" t="s">
        <v>49</v>
      </c>
      <c r="K1871" s="229"/>
      <c r="L1871" s="517"/>
      <c r="M1871" s="229"/>
      <c r="N1871" s="229"/>
      <c r="O1871" s="230"/>
      <c r="P1871" s="230"/>
      <c r="Q1871" s="132"/>
      <c r="R1871" s="94"/>
      <c r="AK1871"/>
    </row>
    <row r="1872" spans="1:38" s="74" customFormat="1" outlineLevel="1">
      <c r="A1872" s="156"/>
      <c r="B1872" s="225" t="s">
        <v>52</v>
      </c>
      <c r="C1872" s="514" t="s">
        <v>863</v>
      </c>
      <c r="D1872" s="515"/>
      <c r="E1872" s="225">
        <v>11371661001</v>
      </c>
      <c r="F1872" s="516" t="s">
        <v>1525</v>
      </c>
      <c r="G1872" s="502"/>
      <c r="H1872" s="515" t="s">
        <v>65</v>
      </c>
      <c r="I1872" s="515">
        <v>25</v>
      </c>
      <c r="J1872" s="229" t="s">
        <v>49</v>
      </c>
      <c r="K1872" s="229"/>
      <c r="L1872" s="517"/>
      <c r="M1872" s="229"/>
      <c r="N1872" s="229"/>
      <c r="O1872" s="230"/>
      <c r="P1872" s="230"/>
      <c r="Q1872" s="132"/>
      <c r="R1872" s="94"/>
      <c r="AK1872"/>
    </row>
    <row r="1873" spans="1:38" s="74" customFormat="1" outlineLevel="1">
      <c r="A1873" s="156"/>
      <c r="B1873" s="225" t="s">
        <v>52</v>
      </c>
      <c r="C1873" s="514" t="s">
        <v>863</v>
      </c>
      <c r="D1873" s="515"/>
      <c r="E1873" s="225">
        <v>11372961001</v>
      </c>
      <c r="F1873" s="516" t="s">
        <v>1526</v>
      </c>
      <c r="G1873" s="502"/>
      <c r="H1873" s="515" t="s">
        <v>65</v>
      </c>
      <c r="I1873" s="515">
        <v>25</v>
      </c>
      <c r="J1873" s="229" t="s">
        <v>49</v>
      </c>
      <c r="K1873" s="229"/>
      <c r="L1873" s="517"/>
      <c r="M1873" s="229"/>
      <c r="N1873" s="229"/>
      <c r="O1873" s="230"/>
      <c r="P1873" s="230"/>
      <c r="Q1873" s="132"/>
      <c r="R1873" s="97"/>
      <c r="AK1873"/>
      <c r="AL1873"/>
    </row>
    <row r="1874" spans="1:38" s="73" customFormat="1" outlineLevel="1">
      <c r="A1874" s="152"/>
      <c r="B1874" s="188" t="s">
        <v>397</v>
      </c>
      <c r="C1874" s="500" t="s">
        <v>863</v>
      </c>
      <c r="D1874" s="387"/>
      <c r="E1874" s="188">
        <v>11397711002</v>
      </c>
      <c r="F1874" s="388" t="s">
        <v>1527</v>
      </c>
      <c r="G1874" s="455"/>
      <c r="H1874" s="387" t="s">
        <v>65</v>
      </c>
      <c r="I1874" s="387">
        <v>25</v>
      </c>
      <c r="J1874" s="212" t="s">
        <v>49</v>
      </c>
      <c r="K1874" s="212"/>
      <c r="L1874" s="196"/>
      <c r="M1874" s="212"/>
      <c r="N1874" s="212"/>
      <c r="O1874" s="213"/>
      <c r="P1874" s="213"/>
      <c r="Q1874" s="132"/>
      <c r="R1874" s="93"/>
      <c r="AK1874"/>
    </row>
    <row r="1875" spans="1:38" s="73" customFormat="1" outlineLevel="1">
      <c r="A1875" s="152"/>
      <c r="B1875" s="188" t="s">
        <v>397</v>
      </c>
      <c r="C1875" s="500" t="s">
        <v>863</v>
      </c>
      <c r="D1875" s="387"/>
      <c r="E1875" s="188">
        <v>11397811002</v>
      </c>
      <c r="F1875" s="388" t="s">
        <v>1528</v>
      </c>
      <c r="G1875" s="455"/>
      <c r="H1875" s="387" t="s">
        <v>65</v>
      </c>
      <c r="I1875" s="387">
        <v>25</v>
      </c>
      <c r="J1875" s="212" t="s">
        <v>49</v>
      </c>
      <c r="K1875" s="212"/>
      <c r="L1875" s="196"/>
      <c r="M1875" s="212"/>
      <c r="N1875" s="212"/>
      <c r="O1875" s="213"/>
      <c r="P1875" s="213"/>
      <c r="Q1875" s="132"/>
      <c r="R1875" s="93"/>
      <c r="AK1875"/>
    </row>
    <row r="1876" spans="1:38" outlineLevel="1">
      <c r="A1876" s="36"/>
      <c r="B1876" s="456"/>
      <c r="C1876" s="500"/>
      <c r="D1876" s="387"/>
      <c r="E1876" s="188"/>
      <c r="F1876" s="388"/>
      <c r="G1876" s="455"/>
      <c r="H1876" s="387"/>
      <c r="I1876" s="387"/>
      <c r="J1876" s="212"/>
      <c r="K1876" s="212"/>
      <c r="L1876" s="392"/>
      <c r="M1876" s="279"/>
      <c r="N1876" s="279"/>
      <c r="O1876" s="333"/>
      <c r="P1876" s="333"/>
      <c r="Q1876" s="132"/>
      <c r="R1876" s="94"/>
      <c r="AL1876" s="74"/>
    </row>
    <row r="1877" spans="1:38" s="74" customFormat="1" outlineLevel="1">
      <c r="A1877" s="156"/>
      <c r="B1877" s="225" t="s">
        <v>52</v>
      </c>
      <c r="C1877" s="514" t="s">
        <v>863</v>
      </c>
      <c r="D1877" s="226">
        <v>11680091001</v>
      </c>
      <c r="E1877" s="225">
        <v>13129701001</v>
      </c>
      <c r="F1877" s="516" t="s">
        <v>1529</v>
      </c>
      <c r="G1877" s="502"/>
      <c r="H1877" s="515" t="s">
        <v>65</v>
      </c>
      <c r="I1877" s="515">
        <v>10</v>
      </c>
      <c r="J1877" s="229" t="s">
        <v>49</v>
      </c>
      <c r="K1877" s="229"/>
      <c r="L1877" s="517"/>
      <c r="M1877" s="229"/>
      <c r="N1877" s="229"/>
      <c r="O1877" s="230"/>
      <c r="P1877" s="230"/>
      <c r="Q1877" s="132"/>
      <c r="R1877" s="94"/>
      <c r="AK1877"/>
    </row>
    <row r="1878" spans="1:38" s="74" customFormat="1" outlineLevel="1">
      <c r="A1878" s="156"/>
      <c r="B1878" s="225" t="s">
        <v>52</v>
      </c>
      <c r="C1878" s="514" t="s">
        <v>863</v>
      </c>
      <c r="D1878" s="226">
        <v>11680121001</v>
      </c>
      <c r="E1878" s="225">
        <v>13129711001</v>
      </c>
      <c r="F1878" s="516" t="s">
        <v>1530</v>
      </c>
      <c r="G1878" s="502"/>
      <c r="H1878" s="515" t="s">
        <v>65</v>
      </c>
      <c r="I1878" s="515">
        <v>10</v>
      </c>
      <c r="J1878" s="229" t="s">
        <v>49</v>
      </c>
      <c r="K1878" s="229"/>
      <c r="L1878" s="517"/>
      <c r="M1878" s="229"/>
      <c r="N1878" s="229"/>
      <c r="O1878" s="230"/>
      <c r="P1878" s="230"/>
      <c r="Q1878" s="132"/>
      <c r="R1878" s="94"/>
      <c r="AK1878"/>
    </row>
    <row r="1879" spans="1:38" s="74" customFormat="1" outlineLevel="1">
      <c r="A1879" s="156"/>
      <c r="B1879" s="225" t="s">
        <v>52</v>
      </c>
      <c r="C1879" s="514" t="s">
        <v>863</v>
      </c>
      <c r="D1879" s="226">
        <v>11680141001</v>
      </c>
      <c r="E1879" s="225">
        <v>13129731001</v>
      </c>
      <c r="F1879" s="516" t="s">
        <v>1531</v>
      </c>
      <c r="G1879" s="502"/>
      <c r="H1879" s="515" t="s">
        <v>65</v>
      </c>
      <c r="I1879" s="515">
        <v>10</v>
      </c>
      <c r="J1879" s="229" t="s">
        <v>49</v>
      </c>
      <c r="K1879" s="229"/>
      <c r="L1879" s="517"/>
      <c r="M1879" s="229"/>
      <c r="N1879" s="229"/>
      <c r="O1879" s="230"/>
      <c r="P1879" s="230"/>
      <c r="Q1879" s="132"/>
      <c r="R1879" s="94"/>
      <c r="AK1879"/>
    </row>
    <row r="1880" spans="1:38" s="74" customFormat="1" outlineLevel="1">
      <c r="A1880" s="156"/>
      <c r="B1880" s="225" t="s">
        <v>52</v>
      </c>
      <c r="C1880" s="514" t="s">
        <v>863</v>
      </c>
      <c r="D1880" s="226">
        <v>11680171001</v>
      </c>
      <c r="E1880" s="225">
        <v>13129721001</v>
      </c>
      <c r="F1880" s="516" t="s">
        <v>1532</v>
      </c>
      <c r="G1880" s="502"/>
      <c r="H1880" s="515" t="s">
        <v>65</v>
      </c>
      <c r="I1880" s="515">
        <v>1</v>
      </c>
      <c r="J1880" s="229" t="s">
        <v>49</v>
      </c>
      <c r="K1880" s="229"/>
      <c r="L1880" s="517"/>
      <c r="M1880" s="229"/>
      <c r="N1880" s="229"/>
      <c r="O1880" s="230"/>
      <c r="P1880" s="230"/>
      <c r="Q1880" s="132"/>
      <c r="R1880" s="97"/>
      <c r="AK1880"/>
      <c r="AL1880"/>
    </row>
    <row r="1881" spans="1:38" s="74" customFormat="1" outlineLevel="1">
      <c r="A1881" s="156"/>
      <c r="B1881" s="225" t="s">
        <v>52</v>
      </c>
      <c r="C1881" s="514" t="s">
        <v>863</v>
      </c>
      <c r="D1881" s="515"/>
      <c r="E1881" s="225">
        <v>11680201001</v>
      </c>
      <c r="F1881" s="516" t="s">
        <v>1533</v>
      </c>
      <c r="G1881" s="502"/>
      <c r="H1881" s="515" t="s">
        <v>65</v>
      </c>
      <c r="I1881" s="515">
        <v>1</v>
      </c>
      <c r="J1881" s="229" t="s">
        <v>49</v>
      </c>
      <c r="K1881" s="229"/>
      <c r="L1881" s="517"/>
      <c r="M1881" s="229"/>
      <c r="N1881" s="229"/>
      <c r="O1881" s="230"/>
      <c r="P1881" s="230"/>
      <c r="Q1881" s="132"/>
      <c r="R1881" s="94"/>
      <c r="AK1881"/>
    </row>
    <row r="1882" spans="1:38" s="74" customFormat="1" outlineLevel="1">
      <c r="A1882" s="156"/>
      <c r="B1882" s="225" t="s">
        <v>52</v>
      </c>
      <c r="C1882" s="514" t="s">
        <v>863</v>
      </c>
      <c r="D1882" s="515"/>
      <c r="E1882" s="225">
        <v>11680221001</v>
      </c>
      <c r="F1882" s="516" t="s">
        <v>1534</v>
      </c>
      <c r="G1882" s="502"/>
      <c r="H1882" s="515" t="s">
        <v>65</v>
      </c>
      <c r="I1882" s="515">
        <v>1</v>
      </c>
      <c r="J1882" s="229" t="s">
        <v>49</v>
      </c>
      <c r="K1882" s="229"/>
      <c r="L1882" s="517"/>
      <c r="M1882" s="229"/>
      <c r="N1882" s="229"/>
      <c r="O1882" s="230"/>
      <c r="P1882" s="230"/>
      <c r="Q1882" s="132"/>
      <c r="R1882" s="94"/>
      <c r="AK1882"/>
    </row>
    <row r="1883" spans="1:38" outlineLevel="1">
      <c r="A1883" s="36"/>
      <c r="B1883" s="456"/>
      <c r="C1883" s="500"/>
      <c r="D1883" s="387"/>
      <c r="E1883" s="188"/>
      <c r="F1883" s="388"/>
      <c r="G1883" s="455"/>
      <c r="H1883" s="387"/>
      <c r="I1883" s="387"/>
      <c r="J1883" s="212"/>
      <c r="K1883" s="212"/>
      <c r="L1883" s="392"/>
      <c r="M1883" s="279"/>
      <c r="N1883" s="279"/>
      <c r="O1883" s="333"/>
      <c r="P1883" s="333"/>
      <c r="Q1883" s="132"/>
      <c r="R1883" s="94"/>
      <c r="AL1883" s="74"/>
    </row>
    <row r="1884" spans="1:38" s="74" customFormat="1" outlineLevel="1">
      <c r="A1884" s="156"/>
      <c r="B1884" s="225" t="s">
        <v>52</v>
      </c>
      <c r="C1884" s="514" t="s">
        <v>863</v>
      </c>
      <c r="D1884" s="226">
        <v>11680111001</v>
      </c>
      <c r="E1884" s="225">
        <v>13129771001</v>
      </c>
      <c r="F1884" s="516" t="s">
        <v>1535</v>
      </c>
      <c r="G1884" s="502"/>
      <c r="H1884" s="515" t="s">
        <v>65</v>
      </c>
      <c r="I1884" s="515">
        <v>10</v>
      </c>
      <c r="J1884" s="229" t="s">
        <v>49</v>
      </c>
      <c r="K1884" s="229"/>
      <c r="L1884" s="517"/>
      <c r="M1884" s="229"/>
      <c r="N1884" s="229"/>
      <c r="O1884" s="230"/>
      <c r="P1884" s="230"/>
      <c r="Q1884" s="132"/>
      <c r="R1884" s="94"/>
      <c r="AK1884"/>
    </row>
    <row r="1885" spans="1:38" s="74" customFormat="1" outlineLevel="1">
      <c r="A1885" s="156"/>
      <c r="B1885" s="225" t="s">
        <v>52</v>
      </c>
      <c r="C1885" s="514" t="s">
        <v>863</v>
      </c>
      <c r="D1885" s="226">
        <v>11680131001</v>
      </c>
      <c r="E1885" s="225">
        <v>13129781001</v>
      </c>
      <c r="F1885" s="516" t="s">
        <v>1536</v>
      </c>
      <c r="G1885" s="502"/>
      <c r="H1885" s="515" t="s">
        <v>65</v>
      </c>
      <c r="I1885" s="515">
        <v>10</v>
      </c>
      <c r="J1885" s="229" t="s">
        <v>49</v>
      </c>
      <c r="K1885" s="229"/>
      <c r="L1885" s="517"/>
      <c r="M1885" s="229"/>
      <c r="N1885" s="229"/>
      <c r="O1885" s="230"/>
      <c r="P1885" s="230"/>
      <c r="Q1885" s="132"/>
      <c r="R1885" s="94"/>
      <c r="AK1885"/>
    </row>
    <row r="1886" spans="1:38" s="74" customFormat="1" outlineLevel="1">
      <c r="A1886" s="156"/>
      <c r="B1886" s="225" t="s">
        <v>52</v>
      </c>
      <c r="C1886" s="514" t="s">
        <v>863</v>
      </c>
      <c r="D1886" s="226">
        <v>11680151001</v>
      </c>
      <c r="E1886" s="225">
        <v>13129811001</v>
      </c>
      <c r="F1886" s="516" t="s">
        <v>1537</v>
      </c>
      <c r="G1886" s="502"/>
      <c r="H1886" s="515" t="s">
        <v>65</v>
      </c>
      <c r="I1886" s="515">
        <v>5</v>
      </c>
      <c r="J1886" s="229" t="s">
        <v>49</v>
      </c>
      <c r="K1886" s="229"/>
      <c r="L1886" s="517"/>
      <c r="M1886" s="229"/>
      <c r="N1886" s="229"/>
      <c r="O1886" s="230"/>
      <c r="P1886" s="230"/>
      <c r="Q1886" s="132"/>
      <c r="R1886" s="94"/>
      <c r="AK1886"/>
    </row>
    <row r="1887" spans="1:38" s="74" customFormat="1" outlineLevel="1">
      <c r="A1887" s="156"/>
      <c r="B1887" s="225" t="s">
        <v>52</v>
      </c>
      <c r="C1887" s="514" t="s">
        <v>863</v>
      </c>
      <c r="D1887" s="226">
        <v>11680161001</v>
      </c>
      <c r="E1887" s="225">
        <v>13129801001</v>
      </c>
      <c r="F1887" s="516" t="s">
        <v>1538</v>
      </c>
      <c r="G1887" s="502"/>
      <c r="H1887" s="515" t="s">
        <v>65</v>
      </c>
      <c r="I1887" s="515">
        <v>5</v>
      </c>
      <c r="J1887" s="229" t="s">
        <v>49</v>
      </c>
      <c r="K1887" s="229"/>
      <c r="L1887" s="517"/>
      <c r="M1887" s="229"/>
      <c r="N1887" s="229"/>
      <c r="O1887" s="230"/>
      <c r="P1887" s="230"/>
      <c r="Q1887" s="132"/>
      <c r="R1887" s="94"/>
      <c r="AK1887"/>
    </row>
    <row r="1888" spans="1:38" s="74" customFormat="1" outlineLevel="1">
      <c r="A1888" s="156"/>
      <c r="B1888" s="225" t="s">
        <v>52</v>
      </c>
      <c r="C1888" s="514" t="s">
        <v>863</v>
      </c>
      <c r="D1888" s="515"/>
      <c r="E1888" s="225">
        <v>11680181001</v>
      </c>
      <c r="F1888" s="516" t="s">
        <v>1539</v>
      </c>
      <c r="G1888" s="502"/>
      <c r="H1888" s="515" t="s">
        <v>65</v>
      </c>
      <c r="I1888" s="515">
        <v>1</v>
      </c>
      <c r="J1888" s="229" t="s">
        <v>49</v>
      </c>
      <c r="K1888" s="229"/>
      <c r="L1888" s="517"/>
      <c r="M1888" s="229"/>
      <c r="N1888" s="229"/>
      <c r="O1888" s="230"/>
      <c r="P1888" s="230"/>
      <c r="Q1888" s="132"/>
      <c r="R1888" s="97"/>
      <c r="AK1888"/>
      <c r="AL1888"/>
    </row>
    <row r="1889" spans="1:38" s="74" customFormat="1" outlineLevel="1">
      <c r="A1889" s="156"/>
      <c r="B1889" s="225" t="s">
        <v>52</v>
      </c>
      <c r="C1889" s="514" t="s">
        <v>863</v>
      </c>
      <c r="D1889" s="515"/>
      <c r="E1889" s="225">
        <v>11680191001</v>
      </c>
      <c r="F1889" s="516" t="s">
        <v>1540</v>
      </c>
      <c r="G1889" s="502"/>
      <c r="H1889" s="515" t="s">
        <v>65</v>
      </c>
      <c r="I1889" s="515">
        <v>1</v>
      </c>
      <c r="J1889" s="229" t="s">
        <v>49</v>
      </c>
      <c r="K1889" s="229"/>
      <c r="L1889" s="517"/>
      <c r="M1889" s="229"/>
      <c r="N1889" s="229"/>
      <c r="O1889" s="230"/>
      <c r="P1889" s="230"/>
      <c r="Q1889" s="132"/>
      <c r="R1889" s="97"/>
      <c r="AK1889"/>
    </row>
    <row r="1890" spans="1:38" s="74" customFormat="1" outlineLevel="1">
      <c r="A1890" s="156"/>
      <c r="B1890" s="225" t="s">
        <v>52</v>
      </c>
      <c r="C1890" s="514" t="s">
        <v>863</v>
      </c>
      <c r="D1890" s="515"/>
      <c r="E1890" s="225">
        <v>11680211001</v>
      </c>
      <c r="F1890" s="516" t="s">
        <v>1541</v>
      </c>
      <c r="G1890" s="502"/>
      <c r="H1890" s="515" t="s">
        <v>65</v>
      </c>
      <c r="I1890" s="515">
        <v>1</v>
      </c>
      <c r="J1890" s="229" t="s">
        <v>49</v>
      </c>
      <c r="K1890" s="229"/>
      <c r="L1890" s="517"/>
      <c r="M1890" s="229"/>
      <c r="N1890" s="229"/>
      <c r="O1890" s="230"/>
      <c r="P1890" s="230"/>
      <c r="Q1890" s="132"/>
      <c r="R1890" s="97"/>
      <c r="AK1890"/>
    </row>
    <row r="1891" spans="1:38" outlineLevel="1">
      <c r="A1891" s="36"/>
      <c r="B1891" s="456"/>
      <c r="C1891" s="500"/>
      <c r="D1891" s="387"/>
      <c r="E1891" s="188"/>
      <c r="F1891" s="388"/>
      <c r="G1891" s="455"/>
      <c r="H1891" s="387"/>
      <c r="I1891" s="387"/>
      <c r="J1891" s="212"/>
      <c r="K1891" s="212"/>
      <c r="L1891" s="392"/>
      <c r="M1891" s="279"/>
      <c r="N1891" s="279"/>
      <c r="O1891" s="333"/>
      <c r="P1891" s="333"/>
      <c r="Q1891" s="132"/>
      <c r="R1891" s="97"/>
      <c r="AL1891" s="74"/>
    </row>
    <row r="1892" spans="1:38" s="74" customFormat="1" outlineLevel="1">
      <c r="A1892" s="156"/>
      <c r="B1892" s="225" t="s">
        <v>52</v>
      </c>
      <c r="C1892" s="514" t="s">
        <v>863</v>
      </c>
      <c r="D1892" s="226">
        <v>11680921001</v>
      </c>
      <c r="E1892" s="225">
        <v>13129951001</v>
      </c>
      <c r="F1892" s="516" t="s">
        <v>1542</v>
      </c>
      <c r="G1892" s="502"/>
      <c r="H1892" s="515" t="s">
        <v>65</v>
      </c>
      <c r="I1892" s="515">
        <v>10</v>
      </c>
      <c r="J1892" s="229" t="s">
        <v>895</v>
      </c>
      <c r="K1892" s="229"/>
      <c r="L1892" s="517"/>
      <c r="M1892" s="229"/>
      <c r="N1892" s="229"/>
      <c r="O1892" s="230"/>
      <c r="P1892" s="230"/>
      <c r="Q1892" s="132"/>
      <c r="R1892" s="97"/>
      <c r="AK1892"/>
    </row>
    <row r="1893" spans="1:38" s="74" customFormat="1" outlineLevel="1">
      <c r="A1893" s="156"/>
      <c r="B1893" s="225" t="s">
        <v>52</v>
      </c>
      <c r="C1893" s="514" t="s">
        <v>863</v>
      </c>
      <c r="D1893" s="515"/>
      <c r="E1893" s="225">
        <v>11680911001</v>
      </c>
      <c r="F1893" s="516" t="s">
        <v>1543</v>
      </c>
      <c r="G1893" s="502"/>
      <c r="H1893" s="515" t="s">
        <v>65</v>
      </c>
      <c r="I1893" s="515">
        <v>5</v>
      </c>
      <c r="J1893" s="229" t="s">
        <v>895</v>
      </c>
      <c r="K1893" s="229"/>
      <c r="L1893" s="517"/>
      <c r="M1893" s="229"/>
      <c r="N1893" s="229"/>
      <c r="O1893" s="230"/>
      <c r="P1893" s="230"/>
      <c r="Q1893" s="132"/>
      <c r="R1893" s="97"/>
      <c r="AK1893"/>
    </row>
    <row r="1894" spans="1:38" s="74" customFormat="1" outlineLevel="1">
      <c r="A1894" s="156"/>
      <c r="B1894" s="225" t="s">
        <v>52</v>
      </c>
      <c r="C1894" s="514" t="s">
        <v>863</v>
      </c>
      <c r="D1894" s="226">
        <v>11680971001</v>
      </c>
      <c r="E1894" s="225">
        <v>13129961001</v>
      </c>
      <c r="F1894" s="516" t="s">
        <v>1544</v>
      </c>
      <c r="G1894" s="502"/>
      <c r="H1894" s="515" t="s">
        <v>65</v>
      </c>
      <c r="I1894" s="515">
        <v>10</v>
      </c>
      <c r="J1894" s="229" t="s">
        <v>895</v>
      </c>
      <c r="K1894" s="229"/>
      <c r="L1894" s="517"/>
      <c r="M1894" s="229"/>
      <c r="N1894" s="229"/>
      <c r="O1894" s="230"/>
      <c r="P1894" s="230"/>
      <c r="Q1894" s="132"/>
      <c r="R1894" s="97"/>
      <c r="AK1894"/>
    </row>
    <row r="1895" spans="1:38" s="74" customFormat="1" outlineLevel="1">
      <c r="A1895" s="156"/>
      <c r="B1895" s="225" t="s">
        <v>52</v>
      </c>
      <c r="C1895" s="514" t="s">
        <v>863</v>
      </c>
      <c r="D1895" s="226">
        <v>11680991001</v>
      </c>
      <c r="E1895" s="225">
        <v>13129971001</v>
      </c>
      <c r="F1895" s="516" t="s">
        <v>1545</v>
      </c>
      <c r="G1895" s="502"/>
      <c r="H1895" s="515" t="s">
        <v>65</v>
      </c>
      <c r="I1895" s="515">
        <v>10</v>
      </c>
      <c r="J1895" s="229" t="s">
        <v>895</v>
      </c>
      <c r="K1895" s="229"/>
      <c r="L1895" s="517"/>
      <c r="M1895" s="229"/>
      <c r="N1895" s="229"/>
      <c r="O1895" s="230"/>
      <c r="P1895" s="230"/>
      <c r="Q1895" s="132"/>
      <c r="R1895" s="97"/>
      <c r="AK1895"/>
    </row>
    <row r="1896" spans="1:38" s="74" customFormat="1" outlineLevel="1">
      <c r="A1896" s="156"/>
      <c r="B1896" s="225" t="s">
        <v>52</v>
      </c>
      <c r="C1896" s="514" t="s">
        <v>863</v>
      </c>
      <c r="D1896" s="226">
        <v>11680981001</v>
      </c>
      <c r="E1896" s="225">
        <v>13129981001</v>
      </c>
      <c r="F1896" s="516" t="s">
        <v>1546</v>
      </c>
      <c r="G1896" s="502"/>
      <c r="H1896" s="515" t="s">
        <v>65</v>
      </c>
      <c r="I1896" s="515">
        <v>10</v>
      </c>
      <c r="J1896" s="229" t="s">
        <v>895</v>
      </c>
      <c r="K1896" s="229"/>
      <c r="L1896" s="517"/>
      <c r="M1896" s="229"/>
      <c r="N1896" s="229"/>
      <c r="O1896" s="230"/>
      <c r="P1896" s="230"/>
      <c r="Q1896" s="132"/>
      <c r="R1896" s="97"/>
      <c r="AK1896"/>
    </row>
    <row r="1897" spans="1:38" s="74" customFormat="1" outlineLevel="1">
      <c r="A1897" s="156"/>
      <c r="B1897" s="225" t="s">
        <v>52</v>
      </c>
      <c r="C1897" s="514" t="s">
        <v>863</v>
      </c>
      <c r="D1897" s="226">
        <v>11681061001</v>
      </c>
      <c r="E1897" s="225">
        <v>13129991001</v>
      </c>
      <c r="F1897" s="516" t="s">
        <v>1547</v>
      </c>
      <c r="G1897" s="502"/>
      <c r="H1897" s="515" t="s">
        <v>65</v>
      </c>
      <c r="I1897" s="515">
        <v>10</v>
      </c>
      <c r="J1897" s="229" t="s">
        <v>895</v>
      </c>
      <c r="K1897" s="229"/>
      <c r="L1897" s="517"/>
      <c r="M1897" s="229"/>
      <c r="N1897" s="229"/>
      <c r="O1897" s="230"/>
      <c r="P1897" s="230"/>
      <c r="Q1897" s="132"/>
      <c r="R1897" s="97"/>
      <c r="AK1897"/>
    </row>
    <row r="1898" spans="1:38" s="74" customFormat="1" outlineLevel="1">
      <c r="A1898" s="156"/>
      <c r="B1898" s="225" t="s">
        <v>52</v>
      </c>
      <c r="C1898" s="514" t="s">
        <v>863</v>
      </c>
      <c r="D1898" s="226">
        <v>11681051001</v>
      </c>
      <c r="E1898" s="225">
        <v>13130581001</v>
      </c>
      <c r="F1898" s="516" t="s">
        <v>1548</v>
      </c>
      <c r="G1898" s="502"/>
      <c r="H1898" s="515" t="s">
        <v>65</v>
      </c>
      <c r="I1898" s="515">
        <v>10</v>
      </c>
      <c r="J1898" s="229" t="s">
        <v>895</v>
      </c>
      <c r="K1898" s="229"/>
      <c r="L1898" s="517"/>
      <c r="M1898" s="229"/>
      <c r="N1898" s="229"/>
      <c r="O1898" s="230"/>
      <c r="P1898" s="230"/>
      <c r="Q1898" s="132"/>
      <c r="R1898" s="97"/>
      <c r="AK1898"/>
    </row>
    <row r="1899" spans="1:38" s="74" customFormat="1" outlineLevel="1">
      <c r="A1899" s="156"/>
      <c r="B1899" s="225" t="s">
        <v>52</v>
      </c>
      <c r="C1899" s="514" t="s">
        <v>863</v>
      </c>
      <c r="D1899" s="226">
        <v>11681091001</v>
      </c>
      <c r="E1899" s="225">
        <v>13130601001</v>
      </c>
      <c r="F1899" s="516" t="s">
        <v>1549</v>
      </c>
      <c r="G1899" s="502"/>
      <c r="H1899" s="515" t="s">
        <v>65</v>
      </c>
      <c r="I1899" s="515">
        <v>5</v>
      </c>
      <c r="J1899" s="229" t="s">
        <v>895</v>
      </c>
      <c r="K1899" s="229"/>
      <c r="L1899" s="517"/>
      <c r="M1899" s="229"/>
      <c r="N1899" s="229"/>
      <c r="O1899" s="230"/>
      <c r="P1899" s="230"/>
      <c r="Q1899" s="132"/>
      <c r="R1899" s="97"/>
      <c r="AK1899"/>
      <c r="AL1899"/>
    </row>
    <row r="1900" spans="1:38" s="74" customFormat="1" outlineLevel="1">
      <c r="A1900" s="156"/>
      <c r="B1900" s="225" t="s">
        <v>52</v>
      </c>
      <c r="C1900" s="514" t="s">
        <v>863</v>
      </c>
      <c r="D1900" s="515"/>
      <c r="E1900" s="225">
        <v>11681111001</v>
      </c>
      <c r="F1900" s="516" t="s">
        <v>1550</v>
      </c>
      <c r="G1900" s="502"/>
      <c r="H1900" s="515" t="s">
        <v>65</v>
      </c>
      <c r="I1900" s="515">
        <v>1</v>
      </c>
      <c r="J1900" s="229" t="s">
        <v>895</v>
      </c>
      <c r="K1900" s="229"/>
      <c r="L1900" s="517"/>
      <c r="M1900" s="229"/>
      <c r="N1900" s="229"/>
      <c r="O1900" s="230"/>
      <c r="P1900" s="230"/>
      <c r="Q1900" s="132"/>
      <c r="R1900" s="94"/>
      <c r="AK1900"/>
    </row>
    <row r="1901" spans="1:38" s="74" customFormat="1" outlineLevel="1">
      <c r="A1901" s="156"/>
      <c r="B1901" s="225" t="s">
        <v>52</v>
      </c>
      <c r="C1901" s="514" t="s">
        <v>863</v>
      </c>
      <c r="D1901" s="515"/>
      <c r="E1901" s="225">
        <v>11681131001</v>
      </c>
      <c r="F1901" s="516" t="s">
        <v>1551</v>
      </c>
      <c r="G1901" s="502"/>
      <c r="H1901" s="515" t="s">
        <v>65</v>
      </c>
      <c r="I1901" s="515">
        <v>1</v>
      </c>
      <c r="J1901" s="229" t="s">
        <v>895</v>
      </c>
      <c r="K1901" s="229"/>
      <c r="L1901" s="517"/>
      <c r="M1901" s="229"/>
      <c r="N1901" s="229"/>
      <c r="O1901" s="230"/>
      <c r="P1901" s="230"/>
      <c r="Q1901" s="132"/>
      <c r="R1901" s="97"/>
      <c r="AK1901"/>
    </row>
    <row r="1902" spans="1:38" outlineLevel="1">
      <c r="A1902" s="36"/>
      <c r="B1902" s="520"/>
      <c r="C1902" s="514"/>
      <c r="D1902" s="515"/>
      <c r="E1902" s="225"/>
      <c r="F1902" s="516"/>
      <c r="G1902" s="502"/>
      <c r="H1902" s="515"/>
      <c r="I1902" s="515"/>
      <c r="J1902" s="220"/>
      <c r="K1902" s="220"/>
      <c r="L1902" s="517"/>
      <c r="M1902" s="229"/>
      <c r="N1902" s="229"/>
      <c r="O1902" s="230"/>
      <c r="P1902" s="230"/>
      <c r="Q1902" s="132"/>
      <c r="R1902" s="97"/>
      <c r="AL1902" s="74"/>
    </row>
    <row r="1903" spans="1:38" s="74" customFormat="1" outlineLevel="1">
      <c r="A1903" s="156"/>
      <c r="B1903" s="225" t="s">
        <v>52</v>
      </c>
      <c r="C1903" s="514" t="s">
        <v>863</v>
      </c>
      <c r="D1903" s="515"/>
      <c r="E1903" s="225">
        <v>12446661001</v>
      </c>
      <c r="F1903" s="516" t="s">
        <v>1552</v>
      </c>
      <c r="G1903" s="502"/>
      <c r="H1903" s="515" t="s">
        <v>65</v>
      </c>
      <c r="I1903" s="515">
        <v>10</v>
      </c>
      <c r="J1903" s="229" t="s">
        <v>49</v>
      </c>
      <c r="K1903" s="229"/>
      <c r="L1903" s="517"/>
      <c r="M1903" s="229"/>
      <c r="N1903" s="229"/>
      <c r="O1903" s="230"/>
      <c r="P1903" s="230"/>
      <c r="Q1903" s="132"/>
      <c r="R1903" s="97"/>
      <c r="AK1903"/>
      <c r="AL1903"/>
    </row>
    <row r="1904" spans="1:38" s="74" customFormat="1" outlineLevel="1">
      <c r="A1904" s="156"/>
      <c r="B1904" s="225" t="s">
        <v>52</v>
      </c>
      <c r="C1904" s="514" t="s">
        <v>863</v>
      </c>
      <c r="D1904" s="515"/>
      <c r="E1904" s="225">
        <v>12446761001</v>
      </c>
      <c r="F1904" s="516" t="s">
        <v>1553</v>
      </c>
      <c r="G1904" s="502"/>
      <c r="H1904" s="515" t="s">
        <v>65</v>
      </c>
      <c r="I1904" s="515">
        <v>10</v>
      </c>
      <c r="J1904" s="229" t="s">
        <v>895</v>
      </c>
      <c r="K1904" s="229"/>
      <c r="L1904" s="517"/>
      <c r="M1904" s="229"/>
      <c r="N1904" s="229"/>
      <c r="O1904" s="230"/>
      <c r="P1904" s="230"/>
      <c r="Q1904" s="132"/>
      <c r="R1904" s="94"/>
      <c r="AK1904"/>
    </row>
    <row r="1905" spans="1:38" s="74" customFormat="1" outlineLevel="1">
      <c r="A1905" s="156"/>
      <c r="B1905" s="225" t="s">
        <v>52</v>
      </c>
      <c r="C1905" s="514" t="s">
        <v>863</v>
      </c>
      <c r="D1905" s="515"/>
      <c r="E1905" s="225">
        <v>12473661001</v>
      </c>
      <c r="F1905" s="516" t="s">
        <v>1554</v>
      </c>
      <c r="G1905" s="502"/>
      <c r="H1905" s="515" t="s">
        <v>65</v>
      </c>
      <c r="I1905" s="515">
        <v>10</v>
      </c>
      <c r="J1905" s="229" t="s">
        <v>895</v>
      </c>
      <c r="K1905" s="229"/>
      <c r="L1905" s="517"/>
      <c r="M1905" s="229"/>
      <c r="N1905" s="229"/>
      <c r="O1905" s="230"/>
      <c r="P1905" s="230"/>
      <c r="Q1905" s="132"/>
      <c r="R1905" s="94"/>
      <c r="AK1905"/>
    </row>
    <row r="1906" spans="1:38" outlineLevel="1">
      <c r="A1906" s="36"/>
      <c r="B1906" s="520"/>
      <c r="C1906" s="514"/>
      <c r="D1906" s="515"/>
      <c r="E1906" s="225"/>
      <c r="F1906" s="516"/>
      <c r="G1906" s="502"/>
      <c r="H1906" s="515"/>
      <c r="I1906" s="515"/>
      <c r="J1906" s="220"/>
      <c r="K1906" s="220"/>
      <c r="L1906" s="517"/>
      <c r="M1906" s="229"/>
      <c r="N1906" s="229"/>
      <c r="O1906" s="230"/>
      <c r="P1906" s="230"/>
      <c r="Q1906" s="132"/>
      <c r="R1906" s="94"/>
      <c r="AL1906" s="74"/>
    </row>
    <row r="1907" spans="1:38" s="74" customFormat="1" outlineLevel="1">
      <c r="A1907" s="156"/>
      <c r="B1907" s="225" t="s">
        <v>52</v>
      </c>
      <c r="C1907" s="514" t="s">
        <v>863</v>
      </c>
      <c r="D1907" s="226">
        <v>11680931001</v>
      </c>
      <c r="E1907" s="225">
        <v>13130641001</v>
      </c>
      <c r="F1907" s="516" t="s">
        <v>1555</v>
      </c>
      <c r="G1907" s="502"/>
      <c r="H1907" s="515" t="s">
        <v>65</v>
      </c>
      <c r="I1907" s="515">
        <v>10</v>
      </c>
      <c r="J1907" s="229" t="s">
        <v>49</v>
      </c>
      <c r="K1907" s="229"/>
      <c r="L1907" s="517"/>
      <c r="M1907" s="229"/>
      <c r="N1907" s="229"/>
      <c r="O1907" s="230"/>
      <c r="P1907" s="230"/>
      <c r="Q1907" s="132"/>
      <c r="R1907" s="94"/>
      <c r="AK1907"/>
    </row>
    <row r="1908" spans="1:38" s="74" customFormat="1" outlineLevel="1">
      <c r="A1908" s="156"/>
      <c r="B1908" s="225" t="s">
        <v>52</v>
      </c>
      <c r="C1908" s="514" t="s">
        <v>863</v>
      </c>
      <c r="D1908" s="226">
        <v>11680941001</v>
      </c>
      <c r="E1908" s="225">
        <v>13130651001</v>
      </c>
      <c r="F1908" s="516" t="s">
        <v>1556</v>
      </c>
      <c r="G1908" s="502"/>
      <c r="H1908" s="515" t="s">
        <v>65</v>
      </c>
      <c r="I1908" s="515">
        <v>10</v>
      </c>
      <c r="J1908" s="229" t="s">
        <v>49</v>
      </c>
      <c r="K1908" s="229"/>
      <c r="L1908" s="517"/>
      <c r="M1908" s="229"/>
      <c r="N1908" s="229"/>
      <c r="O1908" s="230"/>
      <c r="P1908" s="230"/>
      <c r="Q1908" s="132"/>
      <c r="R1908" s="94"/>
      <c r="AK1908"/>
    </row>
    <row r="1909" spans="1:38" s="74" customFormat="1" outlineLevel="1">
      <c r="A1909" s="156"/>
      <c r="B1909" s="225" t="s">
        <v>52</v>
      </c>
      <c r="C1909" s="514" t="s">
        <v>863</v>
      </c>
      <c r="D1909" s="226">
        <v>11681011001</v>
      </c>
      <c r="E1909" s="225">
        <v>13130661001</v>
      </c>
      <c r="F1909" s="516" t="s">
        <v>1557</v>
      </c>
      <c r="G1909" s="502"/>
      <c r="H1909" s="515" t="s">
        <v>65</v>
      </c>
      <c r="I1909" s="515">
        <v>10</v>
      </c>
      <c r="J1909" s="229" t="s">
        <v>49</v>
      </c>
      <c r="K1909" s="229"/>
      <c r="L1909" s="517"/>
      <c r="M1909" s="229"/>
      <c r="N1909" s="229"/>
      <c r="O1909" s="230"/>
      <c r="P1909" s="230"/>
      <c r="Q1909" s="132"/>
      <c r="R1909" s="94"/>
      <c r="AK1909"/>
    </row>
    <row r="1910" spans="1:38" s="74" customFormat="1" outlineLevel="1">
      <c r="A1910" s="156"/>
      <c r="B1910" s="225" t="s">
        <v>52</v>
      </c>
      <c r="C1910" s="514" t="s">
        <v>863</v>
      </c>
      <c r="D1910" s="226">
        <v>11681081001</v>
      </c>
      <c r="E1910" s="225">
        <v>13130671001</v>
      </c>
      <c r="F1910" s="516" t="s">
        <v>1558</v>
      </c>
      <c r="G1910" s="502"/>
      <c r="H1910" s="515" t="s">
        <v>65</v>
      </c>
      <c r="I1910" s="515">
        <v>10</v>
      </c>
      <c r="J1910" s="229" t="s">
        <v>49</v>
      </c>
      <c r="K1910" s="229"/>
      <c r="L1910" s="517"/>
      <c r="M1910" s="229"/>
      <c r="N1910" s="229"/>
      <c r="O1910" s="230"/>
      <c r="P1910" s="230"/>
      <c r="Q1910" s="132"/>
      <c r="R1910" s="97"/>
      <c r="AK1910"/>
      <c r="AL1910"/>
    </row>
    <row r="1911" spans="1:38" s="74" customFormat="1" outlineLevel="1">
      <c r="A1911" s="156"/>
      <c r="B1911" s="225" t="s">
        <v>52</v>
      </c>
      <c r="C1911" s="514" t="s">
        <v>863</v>
      </c>
      <c r="D1911" s="226">
        <v>11681071001</v>
      </c>
      <c r="E1911" s="225">
        <v>13130681001</v>
      </c>
      <c r="F1911" s="516" t="s">
        <v>1559</v>
      </c>
      <c r="G1911" s="502"/>
      <c r="H1911" s="515" t="s">
        <v>65</v>
      </c>
      <c r="I1911" s="515">
        <v>10</v>
      </c>
      <c r="J1911" s="229" t="s">
        <v>49</v>
      </c>
      <c r="K1911" s="229"/>
      <c r="L1911" s="517"/>
      <c r="M1911" s="229"/>
      <c r="N1911" s="229"/>
      <c r="O1911" s="230"/>
      <c r="P1911" s="230"/>
      <c r="Q1911" s="132"/>
      <c r="R1911" s="97"/>
      <c r="AK1911"/>
    </row>
    <row r="1912" spans="1:38" s="74" customFormat="1" outlineLevel="1">
      <c r="A1912" s="156"/>
      <c r="B1912" s="225" t="s">
        <v>52</v>
      </c>
      <c r="C1912" s="514" t="s">
        <v>863</v>
      </c>
      <c r="D1912" s="226">
        <v>11681101001</v>
      </c>
      <c r="E1912" s="225">
        <v>13130691001</v>
      </c>
      <c r="F1912" s="227" t="s">
        <v>1560</v>
      </c>
      <c r="G1912" s="502"/>
      <c r="H1912" s="515" t="s">
        <v>65</v>
      </c>
      <c r="I1912" s="515">
        <v>5</v>
      </c>
      <c r="J1912" s="229" t="s">
        <v>49</v>
      </c>
      <c r="K1912" s="229"/>
      <c r="L1912" s="517"/>
      <c r="M1912" s="229"/>
      <c r="N1912" s="229"/>
      <c r="O1912" s="230"/>
      <c r="P1912" s="230"/>
      <c r="Q1912" s="132"/>
      <c r="R1912" s="94"/>
      <c r="AK1912"/>
    </row>
    <row r="1913" spans="1:38" outlineLevel="1">
      <c r="A1913" s="36"/>
      <c r="B1913" s="521"/>
      <c r="C1913" s="500"/>
      <c r="D1913" s="190"/>
      <c r="E1913" s="188"/>
      <c r="F1913" s="210"/>
      <c r="G1913" s="455"/>
      <c r="H1913" s="387"/>
      <c r="I1913" s="387"/>
      <c r="J1913" s="212"/>
      <c r="K1913" s="212"/>
      <c r="L1913" s="392"/>
      <c r="M1913" s="279"/>
      <c r="N1913" s="279"/>
      <c r="O1913" s="333"/>
      <c r="P1913" s="333"/>
      <c r="Q1913" s="132"/>
      <c r="R1913" s="94"/>
      <c r="AL1913" s="74"/>
    </row>
    <row r="1914" spans="1:38" s="74" customFormat="1" outlineLevel="1">
      <c r="A1914" s="156"/>
      <c r="B1914" s="225" t="s">
        <v>52</v>
      </c>
      <c r="C1914" s="514" t="s">
        <v>863</v>
      </c>
      <c r="D1914" s="515"/>
      <c r="E1914" s="225">
        <v>11680881001</v>
      </c>
      <c r="F1914" s="516" t="s">
        <v>1561</v>
      </c>
      <c r="G1914" s="502"/>
      <c r="H1914" s="515" t="s">
        <v>65</v>
      </c>
      <c r="I1914" s="515">
        <v>10</v>
      </c>
      <c r="J1914" s="229" t="s">
        <v>895</v>
      </c>
      <c r="K1914" s="229"/>
      <c r="L1914" s="517"/>
      <c r="M1914" s="229"/>
      <c r="N1914" s="229"/>
      <c r="O1914" s="230"/>
      <c r="P1914" s="230"/>
      <c r="Q1914" s="132"/>
      <c r="R1914" s="97"/>
      <c r="AK1914"/>
    </row>
    <row r="1915" spans="1:38" s="74" customFormat="1" outlineLevel="1">
      <c r="A1915" s="156"/>
      <c r="B1915" s="225" t="s">
        <v>52</v>
      </c>
      <c r="C1915" s="514" t="s">
        <v>863</v>
      </c>
      <c r="D1915" s="515"/>
      <c r="E1915" s="225">
        <v>11680891001</v>
      </c>
      <c r="F1915" s="516" t="s">
        <v>1562</v>
      </c>
      <c r="G1915" s="502"/>
      <c r="H1915" s="515" t="s">
        <v>65</v>
      </c>
      <c r="I1915" s="515">
        <v>10</v>
      </c>
      <c r="J1915" s="229" t="s">
        <v>49</v>
      </c>
      <c r="K1915" s="229"/>
      <c r="L1915" s="517"/>
      <c r="M1915" s="229"/>
      <c r="N1915" s="229"/>
      <c r="O1915" s="230"/>
      <c r="P1915" s="230"/>
      <c r="Q1915" s="132"/>
      <c r="R1915" s="94"/>
      <c r="AK1915"/>
    </row>
    <row r="1916" spans="1:38" s="74" customFormat="1" outlineLevel="1">
      <c r="A1916" s="156"/>
      <c r="B1916" s="225" t="s">
        <v>52</v>
      </c>
      <c r="C1916" s="514" t="s">
        <v>863</v>
      </c>
      <c r="D1916" s="515"/>
      <c r="E1916" s="225">
        <v>11680961001</v>
      </c>
      <c r="F1916" s="516" t="s">
        <v>1563</v>
      </c>
      <c r="G1916" s="502"/>
      <c r="H1916" s="515" t="s">
        <v>65</v>
      </c>
      <c r="I1916" s="515">
        <v>10</v>
      </c>
      <c r="J1916" s="229" t="s">
        <v>49</v>
      </c>
      <c r="K1916" s="229"/>
      <c r="L1916" s="517"/>
      <c r="M1916" s="229"/>
      <c r="N1916" s="229"/>
      <c r="O1916" s="230"/>
      <c r="P1916" s="230"/>
      <c r="Q1916" s="132"/>
      <c r="R1916" s="97"/>
      <c r="AK1916"/>
      <c r="AL1916"/>
    </row>
    <row r="1917" spans="1:38" s="74" customFormat="1" outlineLevel="1">
      <c r="A1917" s="156"/>
      <c r="B1917" s="225" t="s">
        <v>52</v>
      </c>
      <c r="C1917" s="514" t="s">
        <v>863</v>
      </c>
      <c r="D1917" s="515"/>
      <c r="E1917" s="225">
        <v>11680951001</v>
      </c>
      <c r="F1917" s="516" t="s">
        <v>1564</v>
      </c>
      <c r="G1917" s="502"/>
      <c r="H1917" s="515" t="s">
        <v>65</v>
      </c>
      <c r="I1917" s="515">
        <v>10</v>
      </c>
      <c r="J1917" s="229" t="s">
        <v>895</v>
      </c>
      <c r="K1917" s="229"/>
      <c r="L1917" s="517"/>
      <c r="M1917" s="229"/>
      <c r="N1917" s="229"/>
      <c r="O1917" s="230"/>
      <c r="P1917" s="230"/>
      <c r="Q1917" s="132"/>
      <c r="R1917" s="94"/>
      <c r="AK1917"/>
    </row>
    <row r="1918" spans="1:38" s="74" customFormat="1" outlineLevel="1">
      <c r="A1918" s="156"/>
      <c r="B1918" s="225" t="s">
        <v>52</v>
      </c>
      <c r="C1918" s="514" t="s">
        <v>863</v>
      </c>
      <c r="D1918" s="515"/>
      <c r="E1918" s="225">
        <v>11681031001</v>
      </c>
      <c r="F1918" s="516" t="s">
        <v>1565</v>
      </c>
      <c r="G1918" s="502"/>
      <c r="H1918" s="515" t="s">
        <v>65</v>
      </c>
      <c r="I1918" s="515">
        <v>10</v>
      </c>
      <c r="J1918" s="229" t="s">
        <v>49</v>
      </c>
      <c r="K1918" s="229"/>
      <c r="L1918" s="517"/>
      <c r="M1918" s="229"/>
      <c r="N1918" s="229"/>
      <c r="O1918" s="230"/>
      <c r="P1918" s="230"/>
      <c r="Q1918" s="132"/>
      <c r="R1918" s="94"/>
      <c r="AK1918"/>
    </row>
    <row r="1919" spans="1:38" outlineLevel="1">
      <c r="A1919" s="36"/>
      <c r="B1919" s="456"/>
      <c r="C1919" s="500"/>
      <c r="D1919" s="387"/>
      <c r="E1919" s="188"/>
      <c r="F1919" s="388"/>
      <c r="G1919" s="455"/>
      <c r="H1919" s="387"/>
      <c r="I1919" s="387"/>
      <c r="J1919" s="212"/>
      <c r="K1919" s="212"/>
      <c r="L1919" s="392"/>
      <c r="M1919" s="279"/>
      <c r="N1919" s="279"/>
      <c r="O1919" s="333"/>
      <c r="P1919" s="333"/>
      <c r="Q1919" s="132"/>
      <c r="R1919" s="94"/>
      <c r="AL1919" s="74"/>
    </row>
    <row r="1920" spans="1:38" s="74" customFormat="1" outlineLevel="1">
      <c r="A1920" s="156"/>
      <c r="B1920" s="225" t="s">
        <v>52</v>
      </c>
      <c r="C1920" s="514" t="s">
        <v>863</v>
      </c>
      <c r="D1920" s="515"/>
      <c r="E1920" s="225">
        <v>12893491001</v>
      </c>
      <c r="F1920" s="516" t="s">
        <v>1566</v>
      </c>
      <c r="G1920" s="502"/>
      <c r="H1920" s="515" t="s">
        <v>65</v>
      </c>
      <c r="I1920" s="515">
        <v>10</v>
      </c>
      <c r="J1920" s="229" t="s">
        <v>49</v>
      </c>
      <c r="K1920" s="229"/>
      <c r="L1920" s="517"/>
      <c r="M1920" s="229"/>
      <c r="N1920" s="229"/>
      <c r="O1920" s="230"/>
      <c r="P1920" s="230"/>
      <c r="Q1920" s="132"/>
      <c r="R1920" s="94"/>
      <c r="AK1920"/>
    </row>
    <row r="1921" spans="1:38" s="74" customFormat="1" outlineLevel="1">
      <c r="A1921" s="156"/>
      <c r="B1921" s="225" t="s">
        <v>52</v>
      </c>
      <c r="C1921" s="514" t="s">
        <v>863</v>
      </c>
      <c r="D1921" s="515"/>
      <c r="E1921" s="225">
        <v>12677011001</v>
      </c>
      <c r="F1921" s="516" t="s">
        <v>1567</v>
      </c>
      <c r="G1921" s="502"/>
      <c r="H1921" s="515" t="s">
        <v>65</v>
      </c>
      <c r="I1921" s="515">
        <v>3</v>
      </c>
      <c r="J1921" s="229" t="s">
        <v>49</v>
      </c>
      <c r="K1921" s="229"/>
      <c r="L1921" s="517"/>
      <c r="M1921" s="229"/>
      <c r="N1921" s="229"/>
      <c r="O1921" s="230"/>
      <c r="P1921" s="230"/>
      <c r="Q1921" s="132"/>
      <c r="R1921" s="94"/>
      <c r="AK1921"/>
    </row>
    <row r="1922" spans="1:38" s="74" customFormat="1" outlineLevel="1">
      <c r="A1922" s="156"/>
      <c r="B1922" s="225" t="s">
        <v>52</v>
      </c>
      <c r="C1922" s="514" t="s">
        <v>863</v>
      </c>
      <c r="D1922" s="515"/>
      <c r="E1922" s="225">
        <v>12677111001</v>
      </c>
      <c r="F1922" s="516" t="s">
        <v>1568</v>
      </c>
      <c r="G1922" s="502"/>
      <c r="H1922" s="515" t="s">
        <v>65</v>
      </c>
      <c r="I1922" s="515">
        <v>3</v>
      </c>
      <c r="J1922" s="229" t="s">
        <v>49</v>
      </c>
      <c r="K1922" s="229"/>
      <c r="L1922" s="517"/>
      <c r="M1922" s="229"/>
      <c r="N1922" s="229"/>
      <c r="O1922" s="230"/>
      <c r="P1922" s="230"/>
      <c r="Q1922" s="132"/>
      <c r="R1922" s="123"/>
      <c r="AK1922"/>
      <c r="AL1922"/>
    </row>
    <row r="1923" spans="1:38" s="74" customFormat="1" outlineLevel="1">
      <c r="A1923" s="156"/>
      <c r="B1923" s="225" t="s">
        <v>52</v>
      </c>
      <c r="C1923" s="514" t="s">
        <v>863</v>
      </c>
      <c r="D1923" s="515"/>
      <c r="E1923" s="532">
        <v>13158271001</v>
      </c>
      <c r="F1923" s="516" t="s">
        <v>1569</v>
      </c>
      <c r="G1923" s="502"/>
      <c r="H1923" s="515" t="s">
        <v>65</v>
      </c>
      <c r="I1923" s="515">
        <v>1</v>
      </c>
      <c r="J1923" s="229" t="s">
        <v>49</v>
      </c>
      <c r="K1923" s="229"/>
      <c r="L1923" s="517"/>
      <c r="M1923" s="229"/>
      <c r="N1923" s="229"/>
      <c r="O1923" s="230"/>
      <c r="P1923" s="230"/>
      <c r="Q1923" s="132"/>
      <c r="R1923" s="94"/>
      <c r="AK1923"/>
    </row>
    <row r="1924" spans="1:38" s="74" customFormat="1" outlineLevel="1">
      <c r="A1924" s="156"/>
      <c r="B1924" s="225" t="s">
        <v>52</v>
      </c>
      <c r="C1924" s="514" t="s">
        <v>863</v>
      </c>
      <c r="D1924" s="515"/>
      <c r="E1924" s="532">
        <v>13158281001</v>
      </c>
      <c r="F1924" s="516" t="s">
        <v>1570</v>
      </c>
      <c r="G1924" s="502"/>
      <c r="H1924" s="515" t="s">
        <v>65</v>
      </c>
      <c r="I1924" s="515">
        <v>1</v>
      </c>
      <c r="J1924" s="229" t="s">
        <v>49</v>
      </c>
      <c r="K1924" s="229"/>
      <c r="L1924" s="517"/>
      <c r="M1924" s="229"/>
      <c r="N1924" s="229"/>
      <c r="O1924" s="230"/>
      <c r="P1924" s="230"/>
      <c r="Q1924" s="132"/>
      <c r="R1924" s="94"/>
      <c r="AK1924"/>
    </row>
    <row r="1925" spans="1:38" outlineLevel="1">
      <c r="A1925" s="36"/>
      <c r="B1925" s="486"/>
      <c r="C1925" s="500"/>
      <c r="D1925" s="387"/>
      <c r="E1925" s="510"/>
      <c r="F1925" s="388"/>
      <c r="G1925" s="455"/>
      <c r="H1925" s="387"/>
      <c r="I1925" s="387"/>
      <c r="J1925" s="212"/>
      <c r="K1925" s="212"/>
      <c r="L1925" s="392"/>
      <c r="M1925" s="279"/>
      <c r="N1925" s="279"/>
      <c r="O1925" s="333"/>
      <c r="P1925" s="333"/>
      <c r="Q1925" s="132"/>
      <c r="R1925" s="94"/>
      <c r="AL1925" s="74"/>
    </row>
    <row r="1926" spans="1:38" s="74" customFormat="1" outlineLevel="1">
      <c r="A1926" s="156"/>
      <c r="B1926" s="225" t="s">
        <v>52</v>
      </c>
      <c r="C1926" s="514" t="s">
        <v>863</v>
      </c>
      <c r="D1926" s="226">
        <v>11680371001</v>
      </c>
      <c r="E1926" s="225">
        <v>13129491001</v>
      </c>
      <c r="F1926" s="516" t="s">
        <v>1571</v>
      </c>
      <c r="G1926" s="502"/>
      <c r="H1926" s="515" t="s">
        <v>65</v>
      </c>
      <c r="I1926" s="515">
        <v>10</v>
      </c>
      <c r="J1926" s="229" t="s">
        <v>49</v>
      </c>
      <c r="K1926" s="229"/>
      <c r="L1926" s="517"/>
      <c r="M1926" s="229"/>
      <c r="N1926" s="229"/>
      <c r="O1926" s="230"/>
      <c r="P1926" s="230"/>
      <c r="Q1926" s="132"/>
      <c r="R1926" s="94"/>
      <c r="AK1926"/>
    </row>
    <row r="1927" spans="1:38" s="74" customFormat="1" outlineLevel="1">
      <c r="A1927" s="156"/>
      <c r="B1927" s="225" t="s">
        <v>52</v>
      </c>
      <c r="C1927" s="514" t="s">
        <v>863</v>
      </c>
      <c r="D1927" s="226">
        <v>11680481001</v>
      </c>
      <c r="E1927" s="225">
        <v>13129511001</v>
      </c>
      <c r="F1927" s="516" t="s">
        <v>1572</v>
      </c>
      <c r="G1927" s="502"/>
      <c r="H1927" s="515" t="s">
        <v>65</v>
      </c>
      <c r="I1927" s="515">
        <v>10</v>
      </c>
      <c r="J1927" s="229" t="s">
        <v>49</v>
      </c>
      <c r="K1927" s="229"/>
      <c r="L1927" s="517"/>
      <c r="M1927" s="229"/>
      <c r="N1927" s="229"/>
      <c r="O1927" s="230"/>
      <c r="P1927" s="230"/>
      <c r="Q1927" s="132"/>
      <c r="R1927" s="94"/>
      <c r="AK1927"/>
    </row>
    <row r="1928" spans="1:38" s="74" customFormat="1" outlineLevel="1">
      <c r="A1928" s="156"/>
      <c r="B1928" s="225" t="s">
        <v>52</v>
      </c>
      <c r="C1928" s="514" t="s">
        <v>863</v>
      </c>
      <c r="D1928" s="226">
        <v>11680601001</v>
      </c>
      <c r="E1928" s="225">
        <v>13129521001</v>
      </c>
      <c r="F1928" s="516" t="s">
        <v>1573</v>
      </c>
      <c r="G1928" s="502"/>
      <c r="H1928" s="515" t="s">
        <v>65</v>
      </c>
      <c r="I1928" s="515">
        <v>3</v>
      </c>
      <c r="J1928" s="229" t="s">
        <v>49</v>
      </c>
      <c r="K1928" s="229"/>
      <c r="L1928" s="517"/>
      <c r="M1928" s="229"/>
      <c r="N1928" s="229"/>
      <c r="O1928" s="230"/>
      <c r="P1928" s="230"/>
      <c r="Q1928" s="132"/>
      <c r="R1928" s="94"/>
      <c r="AK1928"/>
    </row>
    <row r="1929" spans="1:38" s="74" customFormat="1" outlineLevel="1">
      <c r="A1929" s="156"/>
      <c r="B1929" s="225" t="s">
        <v>52</v>
      </c>
      <c r="C1929" s="514" t="s">
        <v>863</v>
      </c>
      <c r="D1929" s="226">
        <v>11680681001</v>
      </c>
      <c r="E1929" s="225">
        <v>13129531001</v>
      </c>
      <c r="F1929" s="516" t="s">
        <v>1574</v>
      </c>
      <c r="G1929" s="502"/>
      <c r="H1929" s="515" t="s">
        <v>65</v>
      </c>
      <c r="I1929" s="515">
        <v>1</v>
      </c>
      <c r="J1929" s="229" t="s">
        <v>49</v>
      </c>
      <c r="K1929" s="229"/>
      <c r="L1929" s="517"/>
      <c r="M1929" s="229"/>
      <c r="N1929" s="229"/>
      <c r="O1929" s="230"/>
      <c r="P1929" s="230"/>
      <c r="Q1929" s="132"/>
      <c r="R1929" s="97"/>
      <c r="AK1929"/>
      <c r="AL1929"/>
    </row>
    <row r="1930" spans="1:38" s="74" customFormat="1" outlineLevel="1">
      <c r="A1930" s="156"/>
      <c r="B1930" s="225" t="s">
        <v>52</v>
      </c>
      <c r="C1930" s="514" t="s">
        <v>863</v>
      </c>
      <c r="D1930" s="515"/>
      <c r="E1930" s="225">
        <v>11680751001</v>
      </c>
      <c r="F1930" s="516" t="s">
        <v>1575</v>
      </c>
      <c r="G1930" s="502"/>
      <c r="H1930" s="515" t="s">
        <v>65</v>
      </c>
      <c r="I1930" s="515">
        <v>1</v>
      </c>
      <c r="J1930" s="229" t="s">
        <v>49</v>
      </c>
      <c r="K1930" s="229"/>
      <c r="L1930" s="517"/>
      <c r="M1930" s="229"/>
      <c r="N1930" s="229"/>
      <c r="O1930" s="230"/>
      <c r="P1930" s="230"/>
      <c r="Q1930" s="132"/>
      <c r="R1930" s="94"/>
      <c r="AK1930"/>
    </row>
    <row r="1931" spans="1:38" s="74" customFormat="1" outlineLevel="1">
      <c r="A1931" s="156"/>
      <c r="B1931" s="225" t="s">
        <v>52</v>
      </c>
      <c r="C1931" s="514" t="s">
        <v>863</v>
      </c>
      <c r="D1931" s="515"/>
      <c r="E1931" s="225">
        <v>11680811001</v>
      </c>
      <c r="F1931" s="516" t="s">
        <v>1576</v>
      </c>
      <c r="G1931" s="502"/>
      <c r="H1931" s="515" t="s">
        <v>65</v>
      </c>
      <c r="I1931" s="515">
        <v>1</v>
      </c>
      <c r="J1931" s="229" t="s">
        <v>49</v>
      </c>
      <c r="K1931" s="229"/>
      <c r="L1931" s="517"/>
      <c r="M1931" s="229"/>
      <c r="N1931" s="229"/>
      <c r="O1931" s="230"/>
      <c r="P1931" s="230"/>
      <c r="Q1931" s="132"/>
      <c r="R1931" s="94"/>
      <c r="AK1931"/>
    </row>
    <row r="1932" spans="1:38" outlineLevel="1">
      <c r="A1932" s="36"/>
      <c r="B1932" s="456"/>
      <c r="C1932" s="500"/>
      <c r="D1932" s="387"/>
      <c r="E1932" s="188"/>
      <c r="F1932" s="388"/>
      <c r="G1932" s="455"/>
      <c r="H1932" s="387"/>
      <c r="I1932" s="387"/>
      <c r="J1932" s="212"/>
      <c r="K1932" s="212"/>
      <c r="L1932" s="392"/>
      <c r="M1932" s="279"/>
      <c r="N1932" s="279"/>
      <c r="O1932" s="333"/>
      <c r="P1932" s="333"/>
      <c r="Q1932" s="132"/>
      <c r="R1932" s="94"/>
      <c r="AL1932" s="74"/>
    </row>
    <row r="1933" spans="1:38" s="74" customFormat="1" outlineLevel="1">
      <c r="A1933" s="156"/>
      <c r="B1933" s="225" t="s">
        <v>52</v>
      </c>
      <c r="C1933" s="514" t="s">
        <v>863</v>
      </c>
      <c r="D1933" s="226">
        <v>11680451001</v>
      </c>
      <c r="E1933" s="225">
        <v>13129581001</v>
      </c>
      <c r="F1933" s="516" t="s">
        <v>1577</v>
      </c>
      <c r="G1933" s="502"/>
      <c r="H1933" s="515" t="s">
        <v>65</v>
      </c>
      <c r="I1933" s="515">
        <v>10</v>
      </c>
      <c r="J1933" s="229" t="s">
        <v>49</v>
      </c>
      <c r="K1933" s="229"/>
      <c r="L1933" s="517"/>
      <c r="M1933" s="229"/>
      <c r="N1933" s="229"/>
      <c r="O1933" s="230"/>
      <c r="P1933" s="230"/>
      <c r="Q1933" s="132"/>
      <c r="R1933" s="94"/>
      <c r="AK1933"/>
    </row>
    <row r="1934" spans="1:38" s="74" customFormat="1" outlineLevel="1">
      <c r="A1934" s="156"/>
      <c r="B1934" s="225" t="s">
        <v>52</v>
      </c>
      <c r="C1934" s="514" t="s">
        <v>863</v>
      </c>
      <c r="D1934" s="515"/>
      <c r="E1934" s="225">
        <v>11680541001</v>
      </c>
      <c r="F1934" s="516" t="s">
        <v>1578</v>
      </c>
      <c r="G1934" s="502"/>
      <c r="H1934" s="515" t="s">
        <v>65</v>
      </c>
      <c r="I1934" s="515">
        <v>3</v>
      </c>
      <c r="J1934" s="229" t="s">
        <v>49</v>
      </c>
      <c r="K1934" s="229"/>
      <c r="L1934" s="517"/>
      <c r="M1934" s="229"/>
      <c r="N1934" s="229"/>
      <c r="O1934" s="230"/>
      <c r="P1934" s="230"/>
      <c r="Q1934" s="132"/>
      <c r="R1934" s="94"/>
      <c r="AK1934"/>
    </row>
    <row r="1935" spans="1:38" s="74" customFormat="1" outlineLevel="1">
      <c r="A1935" s="156"/>
      <c r="B1935" s="225" t="s">
        <v>52</v>
      </c>
      <c r="C1935" s="514" t="s">
        <v>863</v>
      </c>
      <c r="D1935" s="226">
        <v>11680571001</v>
      </c>
      <c r="E1935" s="225">
        <v>13129601001</v>
      </c>
      <c r="F1935" s="516" t="s">
        <v>1579</v>
      </c>
      <c r="G1935" s="502"/>
      <c r="H1935" s="515" t="s">
        <v>65</v>
      </c>
      <c r="I1935" s="515">
        <v>3</v>
      </c>
      <c r="J1935" s="229" t="s">
        <v>49</v>
      </c>
      <c r="K1935" s="229"/>
      <c r="L1935" s="517"/>
      <c r="M1935" s="229"/>
      <c r="N1935" s="229"/>
      <c r="O1935" s="230"/>
      <c r="P1935" s="230"/>
      <c r="Q1935" s="132"/>
      <c r="R1935" s="94"/>
      <c r="AK1935"/>
    </row>
    <row r="1936" spans="1:38" s="74" customFormat="1" outlineLevel="1">
      <c r="A1936" s="156"/>
      <c r="B1936" s="225" t="s">
        <v>52</v>
      </c>
      <c r="C1936" s="514" t="s">
        <v>863</v>
      </c>
      <c r="D1936" s="515"/>
      <c r="E1936" s="225">
        <v>11680641001</v>
      </c>
      <c r="F1936" s="516" t="s">
        <v>1580</v>
      </c>
      <c r="G1936" s="502"/>
      <c r="H1936" s="515" t="s">
        <v>65</v>
      </c>
      <c r="I1936" s="515">
        <v>1</v>
      </c>
      <c r="J1936" s="229" t="s">
        <v>49</v>
      </c>
      <c r="K1936" s="229"/>
      <c r="L1936" s="517"/>
      <c r="M1936" s="229"/>
      <c r="N1936" s="229"/>
      <c r="O1936" s="230"/>
      <c r="P1936" s="230"/>
      <c r="Q1936" s="132"/>
      <c r="R1936" s="94"/>
      <c r="AK1936"/>
    </row>
    <row r="1937" spans="1:38" s="74" customFormat="1" outlineLevel="1">
      <c r="A1937" s="156"/>
      <c r="B1937" s="225" t="s">
        <v>52</v>
      </c>
      <c r="C1937" s="514" t="s">
        <v>863</v>
      </c>
      <c r="D1937" s="515"/>
      <c r="E1937" s="225">
        <v>11680651001</v>
      </c>
      <c r="F1937" s="516" t="s">
        <v>1581</v>
      </c>
      <c r="G1937" s="502"/>
      <c r="H1937" s="515" t="s">
        <v>65</v>
      </c>
      <c r="I1937" s="515">
        <v>1</v>
      </c>
      <c r="J1937" s="229" t="s">
        <v>49</v>
      </c>
      <c r="K1937" s="229"/>
      <c r="L1937" s="517"/>
      <c r="M1937" s="229"/>
      <c r="N1937" s="229"/>
      <c r="O1937" s="230"/>
      <c r="P1937" s="230"/>
      <c r="Q1937" s="132"/>
      <c r="R1937" s="94"/>
      <c r="AK1937"/>
    </row>
    <row r="1938" spans="1:38" s="74" customFormat="1" outlineLevel="1">
      <c r="A1938" s="156"/>
      <c r="B1938" s="225" t="s">
        <v>52</v>
      </c>
      <c r="C1938" s="514" t="s">
        <v>863</v>
      </c>
      <c r="D1938" s="515"/>
      <c r="E1938" s="225">
        <v>11680671001</v>
      </c>
      <c r="F1938" s="516" t="s">
        <v>1582</v>
      </c>
      <c r="G1938" s="502"/>
      <c r="H1938" s="515" t="s">
        <v>65</v>
      </c>
      <c r="I1938" s="515">
        <v>1</v>
      </c>
      <c r="J1938" s="229" t="s">
        <v>49</v>
      </c>
      <c r="K1938" s="229"/>
      <c r="L1938" s="517"/>
      <c r="M1938" s="229"/>
      <c r="N1938" s="229"/>
      <c r="O1938" s="230"/>
      <c r="P1938" s="230"/>
      <c r="Q1938" s="132"/>
      <c r="R1938" s="94"/>
      <c r="AK1938"/>
    </row>
    <row r="1939" spans="1:38" s="74" customFormat="1" outlineLevel="1">
      <c r="A1939" s="156"/>
      <c r="B1939" s="225" t="s">
        <v>52</v>
      </c>
      <c r="C1939" s="514" t="s">
        <v>863</v>
      </c>
      <c r="D1939" s="515"/>
      <c r="E1939" s="225">
        <v>11680711001</v>
      </c>
      <c r="F1939" s="516" t="s">
        <v>1583</v>
      </c>
      <c r="G1939" s="502"/>
      <c r="H1939" s="515" t="s">
        <v>65</v>
      </c>
      <c r="I1939" s="515">
        <v>1</v>
      </c>
      <c r="J1939" s="229" t="s">
        <v>49</v>
      </c>
      <c r="K1939" s="229"/>
      <c r="L1939" s="517"/>
      <c r="M1939" s="229"/>
      <c r="N1939" s="229"/>
      <c r="O1939" s="230"/>
      <c r="P1939" s="230"/>
      <c r="Q1939" s="132"/>
      <c r="R1939" s="94"/>
      <c r="AK1939"/>
    </row>
    <row r="1940" spans="1:38" s="74" customFormat="1" outlineLevel="1">
      <c r="A1940" s="156"/>
      <c r="B1940" s="225" t="s">
        <v>52</v>
      </c>
      <c r="C1940" s="514" t="s">
        <v>863</v>
      </c>
      <c r="D1940" s="515"/>
      <c r="E1940" s="225">
        <v>11680731001</v>
      </c>
      <c r="F1940" s="516" t="s">
        <v>1584</v>
      </c>
      <c r="G1940" s="502"/>
      <c r="H1940" s="515" t="s">
        <v>65</v>
      </c>
      <c r="I1940" s="515">
        <v>1</v>
      </c>
      <c r="J1940" s="229" t="s">
        <v>49</v>
      </c>
      <c r="K1940" s="229"/>
      <c r="L1940" s="517"/>
      <c r="M1940" s="229"/>
      <c r="N1940" s="229"/>
      <c r="O1940" s="230"/>
      <c r="P1940" s="230"/>
      <c r="Q1940" s="132"/>
      <c r="R1940" s="94"/>
      <c r="AK1940"/>
    </row>
    <row r="1941" spans="1:38" s="74" customFormat="1" outlineLevel="1">
      <c r="A1941" s="156"/>
      <c r="B1941" s="225" t="s">
        <v>52</v>
      </c>
      <c r="C1941" s="514" t="s">
        <v>863</v>
      </c>
      <c r="D1941" s="515"/>
      <c r="E1941" s="225">
        <v>11680741001</v>
      </c>
      <c r="F1941" s="516" t="s">
        <v>1585</v>
      </c>
      <c r="G1941" s="502"/>
      <c r="H1941" s="515" t="s">
        <v>65</v>
      </c>
      <c r="I1941" s="515">
        <v>1</v>
      </c>
      <c r="J1941" s="229" t="s">
        <v>49</v>
      </c>
      <c r="K1941" s="229"/>
      <c r="L1941" s="517"/>
      <c r="M1941" s="229"/>
      <c r="N1941" s="229"/>
      <c r="O1941" s="230"/>
      <c r="P1941" s="230"/>
      <c r="Q1941" s="132"/>
      <c r="R1941" s="97"/>
      <c r="AK1941"/>
      <c r="AL1941"/>
    </row>
    <row r="1942" spans="1:38" s="74" customFormat="1" outlineLevel="1">
      <c r="A1942" s="156"/>
      <c r="B1942" s="225" t="s">
        <v>52</v>
      </c>
      <c r="C1942" s="514" t="s">
        <v>863</v>
      </c>
      <c r="D1942" s="515"/>
      <c r="E1942" s="225">
        <v>11680781001</v>
      </c>
      <c r="F1942" s="516" t="s">
        <v>1586</v>
      </c>
      <c r="G1942" s="502"/>
      <c r="H1942" s="515" t="s">
        <v>65</v>
      </c>
      <c r="I1942" s="515">
        <v>1</v>
      </c>
      <c r="J1942" s="229" t="s">
        <v>49</v>
      </c>
      <c r="K1942" s="229"/>
      <c r="L1942" s="517"/>
      <c r="M1942" s="229"/>
      <c r="N1942" s="229"/>
      <c r="O1942" s="230"/>
      <c r="P1942" s="230"/>
      <c r="Q1942" s="132"/>
      <c r="R1942" s="94"/>
      <c r="AK1942"/>
    </row>
    <row r="1943" spans="1:38" s="74" customFormat="1" outlineLevel="1">
      <c r="A1943" s="156"/>
      <c r="B1943" s="225" t="s">
        <v>52</v>
      </c>
      <c r="C1943" s="514" t="s">
        <v>863</v>
      </c>
      <c r="D1943" s="515"/>
      <c r="E1943" s="225">
        <v>11680801001</v>
      </c>
      <c r="F1943" s="516" t="s">
        <v>1587</v>
      </c>
      <c r="G1943" s="502"/>
      <c r="H1943" s="515" t="s">
        <v>65</v>
      </c>
      <c r="I1943" s="515">
        <v>1</v>
      </c>
      <c r="J1943" s="229" t="s">
        <v>49</v>
      </c>
      <c r="K1943" s="229"/>
      <c r="L1943" s="517"/>
      <c r="M1943" s="229"/>
      <c r="N1943" s="229"/>
      <c r="O1943" s="230"/>
      <c r="P1943" s="230"/>
      <c r="Q1943" s="132"/>
      <c r="R1943" s="94"/>
      <c r="AK1943"/>
    </row>
    <row r="1944" spans="1:38" outlineLevel="1">
      <c r="A1944" s="36"/>
      <c r="B1944" s="520"/>
      <c r="C1944" s="500"/>
      <c r="D1944" s="387"/>
      <c r="E1944" s="188"/>
      <c r="F1944" s="388"/>
      <c r="G1944" s="455"/>
      <c r="H1944" s="387"/>
      <c r="I1944" s="387"/>
      <c r="J1944" s="212"/>
      <c r="K1944" s="212"/>
      <c r="L1944" s="392"/>
      <c r="M1944" s="279"/>
      <c r="N1944" s="279"/>
      <c r="O1944" s="333"/>
      <c r="P1944" s="333"/>
      <c r="Q1944" s="132"/>
      <c r="R1944" s="101"/>
    </row>
    <row r="1945" spans="1:38" s="74" customFormat="1" outlineLevel="1">
      <c r="A1945" s="156"/>
      <c r="B1945" s="225" t="s">
        <v>52</v>
      </c>
      <c r="C1945" s="514" t="s">
        <v>863</v>
      </c>
      <c r="D1945" s="226">
        <v>11680471001</v>
      </c>
      <c r="E1945" s="225">
        <v>13129641001</v>
      </c>
      <c r="F1945" s="516" t="s">
        <v>1588</v>
      </c>
      <c r="G1945" s="502"/>
      <c r="H1945" s="515" t="s">
        <v>65</v>
      </c>
      <c r="I1945" s="515">
        <v>10</v>
      </c>
      <c r="J1945" s="229" t="s">
        <v>49</v>
      </c>
      <c r="K1945" s="229"/>
      <c r="L1945" s="517"/>
      <c r="M1945" s="229"/>
      <c r="N1945" s="229"/>
      <c r="O1945" s="230"/>
      <c r="P1945" s="230"/>
      <c r="Q1945" s="132"/>
      <c r="R1945" s="94"/>
      <c r="AK1945"/>
    </row>
    <row r="1946" spans="1:38" s="74" customFormat="1" outlineLevel="1">
      <c r="A1946" s="156"/>
      <c r="B1946" s="225" t="s">
        <v>52</v>
      </c>
      <c r="C1946" s="514" t="s">
        <v>863</v>
      </c>
      <c r="D1946" s="515"/>
      <c r="E1946" s="225">
        <v>11680591001</v>
      </c>
      <c r="F1946" s="516" t="s">
        <v>1589</v>
      </c>
      <c r="G1946" s="502"/>
      <c r="H1946" s="515" t="s">
        <v>65</v>
      </c>
      <c r="I1946" s="515">
        <v>3</v>
      </c>
      <c r="J1946" s="229" t="s">
        <v>49</v>
      </c>
      <c r="K1946" s="229"/>
      <c r="L1946" s="517"/>
      <c r="M1946" s="229"/>
      <c r="N1946" s="229"/>
      <c r="O1946" s="230"/>
      <c r="P1946" s="230"/>
      <c r="Q1946" s="132"/>
      <c r="R1946" s="94"/>
      <c r="AK1946"/>
    </row>
    <row r="1947" spans="1:38" outlineLevel="1">
      <c r="A1947" s="36"/>
      <c r="B1947" s="533"/>
      <c r="C1947" s="500"/>
      <c r="D1947" s="387"/>
      <c r="E1947" s="188"/>
      <c r="F1947" s="388"/>
      <c r="G1947" s="455"/>
      <c r="H1947" s="387"/>
      <c r="I1947" s="387"/>
      <c r="J1947" s="212"/>
      <c r="K1947" s="212"/>
      <c r="L1947" s="392"/>
      <c r="M1947" s="279"/>
      <c r="N1947" s="279"/>
      <c r="O1947" s="333"/>
      <c r="P1947" s="333"/>
      <c r="Q1947" s="132"/>
      <c r="R1947" s="94"/>
      <c r="AL1947" s="74"/>
    </row>
    <row r="1948" spans="1:38" s="74" customFormat="1" outlineLevel="1">
      <c r="A1948" s="156"/>
      <c r="B1948" s="225" t="s">
        <v>52</v>
      </c>
      <c r="C1948" s="514" t="s">
        <v>863</v>
      </c>
      <c r="D1948" s="226">
        <v>11680441001</v>
      </c>
      <c r="E1948" s="534">
        <v>13129651001</v>
      </c>
      <c r="F1948" s="516" t="s">
        <v>1590</v>
      </c>
      <c r="G1948" s="502"/>
      <c r="H1948" s="515" t="s">
        <v>65</v>
      </c>
      <c r="I1948" s="515">
        <v>10</v>
      </c>
      <c r="J1948" s="229" t="s">
        <v>49</v>
      </c>
      <c r="K1948" s="229"/>
      <c r="L1948" s="517"/>
      <c r="M1948" s="229"/>
      <c r="N1948" s="229"/>
      <c r="O1948" s="230"/>
      <c r="P1948" s="230"/>
      <c r="Q1948" s="132"/>
      <c r="R1948" s="94"/>
      <c r="AK1948"/>
    </row>
    <row r="1949" spans="1:38" s="74" customFormat="1" outlineLevel="1">
      <c r="A1949" s="156"/>
      <c r="B1949" s="225" t="s">
        <v>52</v>
      </c>
      <c r="C1949" s="514" t="s">
        <v>863</v>
      </c>
      <c r="D1949" s="515"/>
      <c r="E1949" s="225">
        <v>11680531001</v>
      </c>
      <c r="F1949" s="516" t="s">
        <v>1591</v>
      </c>
      <c r="G1949" s="502"/>
      <c r="H1949" s="515" t="s">
        <v>65</v>
      </c>
      <c r="I1949" s="515">
        <v>3</v>
      </c>
      <c r="J1949" s="229" t="s">
        <v>49</v>
      </c>
      <c r="K1949" s="229"/>
      <c r="L1949" s="517"/>
      <c r="M1949" s="229"/>
      <c r="N1949" s="229"/>
      <c r="O1949" s="230"/>
      <c r="P1949" s="230"/>
      <c r="Q1949" s="132"/>
      <c r="R1949" s="94"/>
      <c r="AK1949"/>
    </row>
    <row r="1950" spans="1:38" s="74" customFormat="1" outlineLevel="1">
      <c r="A1950" s="156"/>
      <c r="B1950" s="225" t="s">
        <v>52</v>
      </c>
      <c r="C1950" s="514" t="s">
        <v>863</v>
      </c>
      <c r="D1950" s="226">
        <v>11680561001</v>
      </c>
      <c r="E1950" s="534">
        <v>13129661001</v>
      </c>
      <c r="F1950" s="516" t="s">
        <v>1592</v>
      </c>
      <c r="G1950" s="502"/>
      <c r="H1950" s="515" t="s">
        <v>65</v>
      </c>
      <c r="I1950" s="515">
        <v>3</v>
      </c>
      <c r="J1950" s="229" t="s">
        <v>49</v>
      </c>
      <c r="K1950" s="229"/>
      <c r="L1950" s="517"/>
      <c r="M1950" s="229"/>
      <c r="N1950" s="229"/>
      <c r="O1950" s="230"/>
      <c r="P1950" s="230"/>
      <c r="Q1950" s="132"/>
      <c r="R1950" s="97"/>
      <c r="AK1950"/>
      <c r="AL1950"/>
    </row>
    <row r="1951" spans="1:38" s="74" customFormat="1" outlineLevel="1">
      <c r="A1951" s="156"/>
      <c r="B1951" s="225" t="s">
        <v>52</v>
      </c>
      <c r="C1951" s="514" t="s">
        <v>863</v>
      </c>
      <c r="D1951" s="515"/>
      <c r="E1951" s="225">
        <v>11680661001</v>
      </c>
      <c r="F1951" s="516" t="s">
        <v>1593</v>
      </c>
      <c r="G1951" s="502"/>
      <c r="H1951" s="515" t="s">
        <v>65</v>
      </c>
      <c r="I1951" s="515">
        <v>1</v>
      </c>
      <c r="J1951" s="229" t="s">
        <v>49</v>
      </c>
      <c r="K1951" s="229"/>
      <c r="L1951" s="517"/>
      <c r="M1951" s="229"/>
      <c r="N1951" s="229"/>
      <c r="O1951" s="230"/>
      <c r="P1951" s="230"/>
      <c r="Q1951" s="132"/>
      <c r="R1951" s="94"/>
      <c r="AK1951"/>
    </row>
    <row r="1952" spans="1:38" s="74" customFormat="1" outlineLevel="1">
      <c r="A1952" s="156"/>
      <c r="B1952" s="225" t="s">
        <v>52</v>
      </c>
      <c r="C1952" s="514" t="s">
        <v>863</v>
      </c>
      <c r="D1952" s="515"/>
      <c r="E1952" s="225">
        <v>11680721001</v>
      </c>
      <c r="F1952" s="516" t="s">
        <v>1594</v>
      </c>
      <c r="G1952" s="502"/>
      <c r="H1952" s="515" t="s">
        <v>65</v>
      </c>
      <c r="I1952" s="515">
        <v>1</v>
      </c>
      <c r="J1952" s="229" t="s">
        <v>49</v>
      </c>
      <c r="K1952" s="229"/>
      <c r="L1952" s="517"/>
      <c r="M1952" s="229"/>
      <c r="N1952" s="229"/>
      <c r="O1952" s="230"/>
      <c r="P1952" s="230"/>
      <c r="Q1952" s="132"/>
      <c r="R1952" s="97"/>
      <c r="AK1952"/>
      <c r="AL1952"/>
    </row>
    <row r="1953" spans="1:38" outlineLevel="1">
      <c r="A1953" s="36"/>
      <c r="B1953" s="456"/>
      <c r="C1953" s="500"/>
      <c r="D1953" s="387"/>
      <c r="E1953" s="188"/>
      <c r="F1953" s="388"/>
      <c r="G1953" s="455"/>
      <c r="H1953" s="387"/>
      <c r="I1953" s="387"/>
      <c r="J1953" s="212"/>
      <c r="K1953" s="212"/>
      <c r="L1953" s="392"/>
      <c r="M1953" s="279"/>
      <c r="N1953" s="279"/>
      <c r="O1953" s="333"/>
      <c r="P1953" s="333"/>
      <c r="Q1953" s="132"/>
      <c r="R1953" s="94"/>
      <c r="AL1953" s="74"/>
    </row>
    <row r="1954" spans="1:38" s="74" customFormat="1" outlineLevel="1">
      <c r="A1954" s="156"/>
      <c r="B1954" s="225" t="s">
        <v>52</v>
      </c>
      <c r="C1954" s="514" t="s">
        <v>863</v>
      </c>
      <c r="D1954" s="515"/>
      <c r="E1954" s="225">
        <v>11680391001</v>
      </c>
      <c r="F1954" s="516" t="s">
        <v>1595</v>
      </c>
      <c r="G1954" s="502"/>
      <c r="H1954" s="515" t="s">
        <v>65</v>
      </c>
      <c r="I1954" s="515">
        <v>10</v>
      </c>
      <c r="J1954" s="229" t="s">
        <v>49</v>
      </c>
      <c r="K1954" s="229"/>
      <c r="L1954" s="517"/>
      <c r="M1954" s="229"/>
      <c r="N1954" s="229"/>
      <c r="O1954" s="230"/>
      <c r="P1954" s="230"/>
      <c r="Q1954" s="132"/>
      <c r="R1954" s="97"/>
      <c r="AK1954"/>
      <c r="AL1954"/>
    </row>
    <row r="1955" spans="1:38" outlineLevel="1">
      <c r="A1955" s="36"/>
      <c r="B1955" s="533"/>
      <c r="C1955" s="500"/>
      <c r="D1955" s="387"/>
      <c r="E1955" s="188"/>
      <c r="F1955" s="388"/>
      <c r="G1955" s="455"/>
      <c r="H1955" s="387"/>
      <c r="I1955" s="387"/>
      <c r="J1955" s="212"/>
      <c r="K1955" s="212"/>
      <c r="L1955" s="392"/>
      <c r="M1955" s="279"/>
      <c r="N1955" s="279"/>
      <c r="O1955" s="333"/>
      <c r="P1955" s="333"/>
      <c r="Q1955" s="132"/>
      <c r="R1955" s="94"/>
      <c r="AL1955" s="74"/>
    </row>
    <row r="1956" spans="1:38" s="74" customFormat="1" outlineLevel="1">
      <c r="A1956" s="156"/>
      <c r="B1956" s="225" t="s">
        <v>52</v>
      </c>
      <c r="C1956" s="514" t="s">
        <v>863</v>
      </c>
      <c r="D1956" s="226">
        <v>12093471001</v>
      </c>
      <c r="E1956" s="225">
        <v>12093471002</v>
      </c>
      <c r="F1956" s="516" t="s">
        <v>1596</v>
      </c>
      <c r="G1956" s="502"/>
      <c r="H1956" s="515" t="s">
        <v>65</v>
      </c>
      <c r="I1956" s="515">
        <v>32</v>
      </c>
      <c r="J1956" s="229" t="s">
        <v>49</v>
      </c>
      <c r="K1956" s="229"/>
      <c r="L1956" s="517"/>
      <c r="M1956" s="229"/>
      <c r="N1956" s="229"/>
      <c r="O1956" s="230"/>
      <c r="P1956" s="230"/>
      <c r="Q1956" s="132"/>
      <c r="R1956" s="97"/>
      <c r="AK1956"/>
      <c r="AL1956"/>
    </row>
    <row r="1957" spans="1:38" outlineLevel="1">
      <c r="A1957" s="36"/>
      <c r="B1957" s="456"/>
      <c r="C1957" s="500"/>
      <c r="D1957" s="190"/>
      <c r="E1957" s="188"/>
      <c r="F1957" s="388"/>
      <c r="G1957" s="455"/>
      <c r="H1957" s="387"/>
      <c r="I1957" s="387"/>
      <c r="J1957" s="212"/>
      <c r="K1957" s="212"/>
      <c r="L1957" s="392"/>
      <c r="M1957" s="279"/>
      <c r="N1957" s="279"/>
      <c r="O1957" s="333"/>
      <c r="P1957" s="333"/>
      <c r="Q1957" s="132"/>
      <c r="R1957" s="94"/>
      <c r="AL1957" s="74"/>
    </row>
    <row r="1958" spans="1:38" s="74" customFormat="1" outlineLevel="1">
      <c r="A1958" s="156"/>
      <c r="B1958" s="225" t="s">
        <v>52</v>
      </c>
      <c r="C1958" s="514" t="s">
        <v>863</v>
      </c>
      <c r="D1958" s="515"/>
      <c r="E1958" s="225">
        <v>12093481001</v>
      </c>
      <c r="F1958" s="516" t="s">
        <v>1597</v>
      </c>
      <c r="G1958" s="502"/>
      <c r="H1958" s="515" t="s">
        <v>65</v>
      </c>
      <c r="I1958" s="515">
        <v>4</v>
      </c>
      <c r="J1958" s="229" t="s">
        <v>49</v>
      </c>
      <c r="K1958" s="229"/>
      <c r="L1958" s="517"/>
      <c r="M1958" s="229"/>
      <c r="N1958" s="229"/>
      <c r="O1958" s="230"/>
      <c r="P1958" s="230"/>
      <c r="Q1958" s="132"/>
      <c r="R1958" s="97"/>
      <c r="AK1958"/>
      <c r="AL1958"/>
    </row>
    <row r="1959" spans="1:38" outlineLevel="1">
      <c r="A1959" s="36"/>
      <c r="B1959" s="456"/>
      <c r="C1959" s="500"/>
      <c r="D1959" s="387"/>
      <c r="E1959" s="188"/>
      <c r="F1959" s="388"/>
      <c r="G1959" s="455"/>
      <c r="H1959" s="387"/>
      <c r="I1959" s="387"/>
      <c r="J1959" s="212"/>
      <c r="K1959" s="212"/>
      <c r="L1959" s="392"/>
      <c r="M1959" s="279"/>
      <c r="N1959" s="279"/>
      <c r="O1959" s="333"/>
      <c r="P1959" s="333"/>
      <c r="Q1959" s="132"/>
      <c r="R1959" s="94"/>
      <c r="AL1959" s="74"/>
    </row>
    <row r="1960" spans="1:38" s="74" customFormat="1" outlineLevel="1">
      <c r="A1960" s="156"/>
      <c r="B1960" s="225" t="s">
        <v>52</v>
      </c>
      <c r="C1960" s="514" t="s">
        <v>863</v>
      </c>
      <c r="D1960" s="515"/>
      <c r="E1960" s="225">
        <v>12093491001</v>
      </c>
      <c r="F1960" s="516" t="s">
        <v>1598</v>
      </c>
      <c r="G1960" s="502"/>
      <c r="H1960" s="515" t="s">
        <v>65</v>
      </c>
      <c r="I1960" s="515">
        <v>4</v>
      </c>
      <c r="J1960" s="229" t="s">
        <v>49</v>
      </c>
      <c r="K1960" s="229"/>
      <c r="L1960" s="517"/>
      <c r="M1960" s="229"/>
      <c r="N1960" s="229"/>
      <c r="O1960" s="230"/>
      <c r="P1960" s="230"/>
      <c r="Q1960" s="132"/>
      <c r="R1960" s="94"/>
      <c r="AK1960"/>
    </row>
    <row r="1961" spans="1:38" outlineLevel="1">
      <c r="A1961" s="36"/>
      <c r="B1961" s="456"/>
      <c r="C1961" s="500"/>
      <c r="D1961" s="387"/>
      <c r="E1961" s="188"/>
      <c r="F1961" s="388"/>
      <c r="G1961" s="455"/>
      <c r="H1961" s="387"/>
      <c r="I1961" s="387"/>
      <c r="J1961" s="212"/>
      <c r="K1961" s="212"/>
      <c r="L1961" s="392"/>
      <c r="M1961" s="279"/>
      <c r="N1961" s="279"/>
      <c r="O1961" s="333"/>
      <c r="P1961" s="333"/>
      <c r="Q1961" s="132"/>
      <c r="R1961" s="94"/>
      <c r="AL1961" s="74"/>
    </row>
    <row r="1962" spans="1:38" s="74" customFormat="1" outlineLevel="1">
      <c r="A1962" s="156"/>
      <c r="B1962" s="225" t="s">
        <v>52</v>
      </c>
      <c r="C1962" s="514" t="s">
        <v>863</v>
      </c>
      <c r="D1962" s="226">
        <v>11680501001</v>
      </c>
      <c r="E1962" s="225">
        <v>13129671001</v>
      </c>
      <c r="F1962" s="516" t="s">
        <v>1599</v>
      </c>
      <c r="G1962" s="502"/>
      <c r="H1962" s="515" t="s">
        <v>65</v>
      </c>
      <c r="I1962" s="515">
        <v>10</v>
      </c>
      <c r="J1962" s="229" t="s">
        <v>49</v>
      </c>
      <c r="K1962" s="229"/>
      <c r="L1962" s="517"/>
      <c r="M1962" s="229"/>
      <c r="N1962" s="229"/>
      <c r="O1962" s="230"/>
      <c r="P1962" s="230"/>
      <c r="Q1962" s="132"/>
      <c r="R1962" s="97"/>
      <c r="AK1962"/>
      <c r="AL1962"/>
    </row>
    <row r="1963" spans="1:38" s="74" customFormat="1" outlineLevel="1">
      <c r="A1963" s="156"/>
      <c r="B1963" s="225" t="s">
        <v>52</v>
      </c>
      <c r="C1963" s="514" t="s">
        <v>863</v>
      </c>
      <c r="D1963" s="515"/>
      <c r="E1963" s="225">
        <v>11680631001</v>
      </c>
      <c r="F1963" s="516" t="s">
        <v>1600</v>
      </c>
      <c r="G1963" s="502"/>
      <c r="H1963" s="515" t="s">
        <v>65</v>
      </c>
      <c r="I1963" s="515">
        <v>3</v>
      </c>
      <c r="J1963" s="229" t="s">
        <v>49</v>
      </c>
      <c r="K1963" s="229"/>
      <c r="L1963" s="517"/>
      <c r="M1963" s="229"/>
      <c r="N1963" s="229"/>
      <c r="O1963" s="230"/>
      <c r="P1963" s="230"/>
      <c r="Q1963" s="132"/>
      <c r="R1963" s="94"/>
      <c r="AK1963"/>
    </row>
    <row r="1964" spans="1:38" s="74" customFormat="1" outlineLevel="1">
      <c r="A1964" s="156"/>
      <c r="B1964" s="225" t="s">
        <v>52</v>
      </c>
      <c r="C1964" s="514" t="s">
        <v>863</v>
      </c>
      <c r="D1964" s="226">
        <v>11680611001</v>
      </c>
      <c r="E1964" s="225">
        <v>13129681001</v>
      </c>
      <c r="F1964" s="516" t="s">
        <v>1601</v>
      </c>
      <c r="G1964" s="502"/>
      <c r="H1964" s="515" t="s">
        <v>65</v>
      </c>
      <c r="I1964" s="515">
        <v>3</v>
      </c>
      <c r="J1964" s="229" t="s">
        <v>49</v>
      </c>
      <c r="K1964" s="229"/>
      <c r="L1964" s="517"/>
      <c r="M1964" s="229"/>
      <c r="N1964" s="229"/>
      <c r="O1964" s="230"/>
      <c r="P1964" s="230"/>
      <c r="Q1964" s="132"/>
      <c r="R1964" s="97"/>
      <c r="AK1964"/>
      <c r="AL1964"/>
    </row>
    <row r="1965" spans="1:38" outlineLevel="1">
      <c r="A1965" s="36"/>
      <c r="B1965" s="521"/>
      <c r="C1965" s="500"/>
      <c r="D1965" s="190"/>
      <c r="E1965" s="188"/>
      <c r="F1965" s="388"/>
      <c r="G1965" s="455"/>
      <c r="H1965" s="387"/>
      <c r="I1965" s="387"/>
      <c r="J1965" s="212"/>
      <c r="K1965" s="212"/>
      <c r="L1965" s="392"/>
      <c r="M1965" s="279"/>
      <c r="N1965" s="279"/>
      <c r="O1965" s="333"/>
      <c r="P1965" s="333"/>
      <c r="Q1965" s="132"/>
      <c r="R1965" s="97"/>
      <c r="AL1965" s="74"/>
    </row>
    <row r="1966" spans="1:38" s="74" customFormat="1" outlineLevel="1">
      <c r="A1966" s="156"/>
      <c r="B1966" s="225" t="s">
        <v>52</v>
      </c>
      <c r="C1966" s="514" t="s">
        <v>863</v>
      </c>
      <c r="D1966" s="515"/>
      <c r="E1966" s="225">
        <v>11680621001</v>
      </c>
      <c r="F1966" s="516" t="s">
        <v>1602</v>
      </c>
      <c r="G1966" s="502"/>
      <c r="H1966" s="515" t="s">
        <v>65</v>
      </c>
      <c r="I1966" s="515">
        <v>3</v>
      </c>
      <c r="J1966" s="229" t="s">
        <v>49</v>
      </c>
      <c r="K1966" s="229"/>
      <c r="L1966" s="517"/>
      <c r="M1966" s="229"/>
      <c r="N1966" s="229"/>
      <c r="O1966" s="230"/>
      <c r="P1966" s="230"/>
      <c r="Q1966" s="132"/>
      <c r="R1966" s="94"/>
      <c r="AK1966"/>
    </row>
    <row r="1967" spans="1:38" outlineLevel="1">
      <c r="A1967" s="36"/>
      <c r="B1967" s="520"/>
      <c r="C1967" s="500"/>
      <c r="D1967" s="387"/>
      <c r="E1967" s="188"/>
      <c r="F1967" s="388"/>
      <c r="G1967" s="455"/>
      <c r="H1967" s="387"/>
      <c r="I1967" s="387"/>
      <c r="J1967" s="212"/>
      <c r="K1967" s="212"/>
      <c r="L1967" s="392"/>
      <c r="M1967" s="279"/>
      <c r="N1967" s="279"/>
      <c r="O1967" s="333"/>
      <c r="P1967" s="333"/>
      <c r="Q1967" s="132"/>
      <c r="R1967" s="96"/>
    </row>
    <row r="1968" spans="1:38" s="74" customFormat="1" outlineLevel="1">
      <c r="A1968" s="156"/>
      <c r="B1968" s="225" t="s">
        <v>52</v>
      </c>
      <c r="C1968" s="514" t="s">
        <v>863</v>
      </c>
      <c r="D1968" s="515"/>
      <c r="E1968" s="225">
        <v>12446061001</v>
      </c>
      <c r="F1968" s="516" t="s">
        <v>1603</v>
      </c>
      <c r="G1968" s="502"/>
      <c r="H1968" s="515" t="s">
        <v>65</v>
      </c>
      <c r="I1968" s="515">
        <v>3</v>
      </c>
      <c r="J1968" s="229" t="s">
        <v>895</v>
      </c>
      <c r="K1968" s="229"/>
      <c r="L1968" s="517"/>
      <c r="M1968" s="229"/>
      <c r="N1968" s="229"/>
      <c r="O1968" s="230"/>
      <c r="P1968" s="230"/>
      <c r="Q1968" s="132"/>
      <c r="R1968" s="94"/>
      <c r="AK1968"/>
    </row>
    <row r="1969" spans="1:38" s="74" customFormat="1" outlineLevel="1">
      <c r="A1969" s="156"/>
      <c r="B1969" s="225" t="s">
        <v>52</v>
      </c>
      <c r="C1969" s="514" t="s">
        <v>863</v>
      </c>
      <c r="D1969" s="515"/>
      <c r="E1969" s="225">
        <v>12446161001</v>
      </c>
      <c r="F1969" s="516" t="s">
        <v>1604</v>
      </c>
      <c r="G1969" s="502"/>
      <c r="H1969" s="515" t="s">
        <v>65</v>
      </c>
      <c r="I1969" s="515">
        <v>3</v>
      </c>
      <c r="J1969" s="229" t="s">
        <v>49</v>
      </c>
      <c r="K1969" s="229"/>
      <c r="L1969" s="517"/>
      <c r="M1969" s="229"/>
      <c r="N1969" s="229"/>
      <c r="O1969" s="230"/>
      <c r="P1969" s="230"/>
      <c r="Q1969" s="132"/>
      <c r="R1969" s="94"/>
      <c r="AK1969"/>
    </row>
    <row r="1970" spans="1:38" outlineLevel="1">
      <c r="A1970" s="36"/>
      <c r="B1970" s="456"/>
      <c r="C1970" s="500"/>
      <c r="D1970" s="387"/>
      <c r="E1970" s="188"/>
      <c r="F1970" s="388"/>
      <c r="G1970" s="455"/>
      <c r="H1970" s="387"/>
      <c r="I1970" s="387"/>
      <c r="J1970" s="212"/>
      <c r="K1970" s="212"/>
      <c r="L1970" s="392"/>
      <c r="M1970" s="279"/>
      <c r="N1970" s="279"/>
      <c r="O1970" s="333"/>
      <c r="P1970" s="333"/>
      <c r="Q1970" s="132"/>
      <c r="R1970" s="94"/>
      <c r="AL1970" s="74"/>
    </row>
    <row r="1971" spans="1:38" s="74" customFormat="1" outlineLevel="1">
      <c r="A1971" s="156"/>
      <c r="B1971" s="225" t="s">
        <v>52</v>
      </c>
      <c r="C1971" s="514" t="s">
        <v>863</v>
      </c>
      <c r="D1971" s="515"/>
      <c r="E1971" s="225">
        <v>11681481001</v>
      </c>
      <c r="F1971" s="516" t="s">
        <v>1605</v>
      </c>
      <c r="G1971" s="502"/>
      <c r="H1971" s="515" t="s">
        <v>65</v>
      </c>
      <c r="I1971" s="515">
        <v>3</v>
      </c>
      <c r="J1971" s="229" t="s">
        <v>49</v>
      </c>
      <c r="K1971" s="229"/>
      <c r="L1971" s="517"/>
      <c r="M1971" s="229"/>
      <c r="N1971" s="229"/>
      <c r="O1971" s="230"/>
      <c r="P1971" s="230"/>
      <c r="Q1971" s="132"/>
      <c r="R1971" s="94"/>
      <c r="AK1971"/>
    </row>
    <row r="1972" spans="1:38" s="74" customFormat="1" outlineLevel="1">
      <c r="A1972" s="156"/>
      <c r="B1972" s="225" t="s">
        <v>52</v>
      </c>
      <c r="C1972" s="514" t="s">
        <v>863</v>
      </c>
      <c r="D1972" s="515"/>
      <c r="E1972" s="225">
        <v>11681521001</v>
      </c>
      <c r="F1972" s="516" t="s">
        <v>1606</v>
      </c>
      <c r="G1972" s="502"/>
      <c r="H1972" s="515" t="s">
        <v>65</v>
      </c>
      <c r="I1972" s="515">
        <v>1</v>
      </c>
      <c r="J1972" s="229" t="s">
        <v>49</v>
      </c>
      <c r="K1972" s="229"/>
      <c r="L1972" s="517"/>
      <c r="M1972" s="229"/>
      <c r="N1972" s="229"/>
      <c r="O1972" s="230"/>
      <c r="P1972" s="230"/>
      <c r="Q1972" s="132"/>
      <c r="R1972" s="94"/>
      <c r="AK1972"/>
    </row>
    <row r="1973" spans="1:38" s="74" customFormat="1" outlineLevel="1">
      <c r="A1973" s="156"/>
      <c r="B1973" s="225" t="s">
        <v>52</v>
      </c>
      <c r="C1973" s="514" t="s">
        <v>863</v>
      </c>
      <c r="D1973" s="515"/>
      <c r="E1973" s="225">
        <v>11681541001</v>
      </c>
      <c r="F1973" s="516" t="s">
        <v>1607</v>
      </c>
      <c r="G1973" s="502"/>
      <c r="H1973" s="515" t="s">
        <v>65</v>
      </c>
      <c r="I1973" s="515">
        <v>1</v>
      </c>
      <c r="J1973" s="229" t="s">
        <v>49</v>
      </c>
      <c r="K1973" s="229"/>
      <c r="L1973" s="517"/>
      <c r="M1973" s="229"/>
      <c r="N1973" s="229"/>
      <c r="O1973" s="230"/>
      <c r="P1973" s="230"/>
      <c r="Q1973" s="132"/>
      <c r="R1973" s="94"/>
      <c r="AK1973"/>
    </row>
    <row r="1974" spans="1:38" s="74" customFormat="1" outlineLevel="1">
      <c r="A1974" s="156"/>
      <c r="B1974" s="225" t="s">
        <v>52</v>
      </c>
      <c r="C1974" s="514" t="s">
        <v>863</v>
      </c>
      <c r="D1974" s="226">
        <v>11681451001</v>
      </c>
      <c r="E1974" s="225">
        <v>13129861001</v>
      </c>
      <c r="F1974" s="516" t="s">
        <v>1608</v>
      </c>
      <c r="G1974" s="502"/>
      <c r="H1974" s="515" t="s">
        <v>65</v>
      </c>
      <c r="I1974" s="515">
        <v>10</v>
      </c>
      <c r="J1974" s="229" t="s">
        <v>49</v>
      </c>
      <c r="K1974" s="229"/>
      <c r="L1974" s="517"/>
      <c r="M1974" s="229"/>
      <c r="N1974" s="229"/>
      <c r="O1974" s="230"/>
      <c r="P1974" s="230"/>
      <c r="Q1974" s="132"/>
      <c r="R1974" s="94"/>
      <c r="AK1974"/>
    </row>
    <row r="1975" spans="1:38" s="74" customFormat="1" outlineLevel="1">
      <c r="A1975" s="156"/>
      <c r="B1975" s="225" t="s">
        <v>52</v>
      </c>
      <c r="C1975" s="514" t="s">
        <v>863</v>
      </c>
      <c r="D1975" s="226">
        <v>11681471001</v>
      </c>
      <c r="E1975" s="225">
        <v>13129871001</v>
      </c>
      <c r="F1975" s="516" t="s">
        <v>1609</v>
      </c>
      <c r="G1975" s="502"/>
      <c r="H1975" s="515" t="s">
        <v>65</v>
      </c>
      <c r="I1975" s="515">
        <v>10</v>
      </c>
      <c r="J1975" s="229" t="s">
        <v>49</v>
      </c>
      <c r="K1975" s="229"/>
      <c r="L1975" s="517"/>
      <c r="M1975" s="229"/>
      <c r="N1975" s="229"/>
      <c r="O1975" s="230"/>
      <c r="P1975" s="230"/>
      <c r="Q1975" s="132"/>
      <c r="R1975" s="94"/>
      <c r="AK1975"/>
    </row>
    <row r="1976" spans="1:38" s="74" customFormat="1" outlineLevel="1">
      <c r="A1976" s="156"/>
      <c r="B1976" s="225" t="s">
        <v>52</v>
      </c>
      <c r="C1976" s="514" t="s">
        <v>863</v>
      </c>
      <c r="D1976" s="226">
        <v>11681491001</v>
      </c>
      <c r="E1976" s="225">
        <v>13129881001</v>
      </c>
      <c r="F1976" s="516" t="s">
        <v>1610</v>
      </c>
      <c r="G1976" s="502"/>
      <c r="H1976" s="515" t="s">
        <v>65</v>
      </c>
      <c r="I1976" s="515">
        <v>3</v>
      </c>
      <c r="J1976" s="229" t="s">
        <v>49</v>
      </c>
      <c r="K1976" s="229"/>
      <c r="L1976" s="517"/>
      <c r="M1976" s="229"/>
      <c r="N1976" s="229"/>
      <c r="O1976" s="230"/>
      <c r="P1976" s="230"/>
      <c r="Q1976" s="132"/>
      <c r="R1976" s="94"/>
      <c r="AK1976"/>
    </row>
    <row r="1977" spans="1:38" s="74" customFormat="1" outlineLevel="1">
      <c r="A1977" s="156"/>
      <c r="B1977" s="225" t="s">
        <v>52</v>
      </c>
      <c r="C1977" s="514" t="s">
        <v>863</v>
      </c>
      <c r="D1977" s="226">
        <v>11681511001</v>
      </c>
      <c r="E1977" s="225">
        <v>13129891001</v>
      </c>
      <c r="F1977" s="516" t="s">
        <v>1611</v>
      </c>
      <c r="G1977" s="502"/>
      <c r="H1977" s="515" t="s">
        <v>65</v>
      </c>
      <c r="I1977" s="515">
        <v>1</v>
      </c>
      <c r="J1977" s="229" t="s">
        <v>49</v>
      </c>
      <c r="K1977" s="229"/>
      <c r="L1977" s="517"/>
      <c r="M1977" s="229"/>
      <c r="N1977" s="229"/>
      <c r="O1977" s="230"/>
      <c r="P1977" s="230"/>
      <c r="Q1977" s="132"/>
      <c r="R1977" s="97"/>
      <c r="AK1977"/>
      <c r="AL1977"/>
    </row>
    <row r="1978" spans="1:38" s="74" customFormat="1" outlineLevel="1">
      <c r="A1978" s="156"/>
      <c r="B1978" s="225" t="s">
        <v>52</v>
      </c>
      <c r="C1978" s="514" t="s">
        <v>863</v>
      </c>
      <c r="D1978" s="515"/>
      <c r="E1978" s="225">
        <v>11681531001</v>
      </c>
      <c r="F1978" s="516" t="s">
        <v>1612</v>
      </c>
      <c r="G1978" s="502"/>
      <c r="H1978" s="515" t="s">
        <v>65</v>
      </c>
      <c r="I1978" s="515">
        <v>1</v>
      </c>
      <c r="J1978" s="229" t="s">
        <v>49</v>
      </c>
      <c r="K1978" s="229"/>
      <c r="L1978" s="517"/>
      <c r="M1978" s="229"/>
      <c r="N1978" s="229"/>
      <c r="O1978" s="230"/>
      <c r="P1978" s="230"/>
      <c r="Q1978" s="132"/>
      <c r="R1978" s="94"/>
      <c r="AK1978"/>
    </row>
    <row r="1979" spans="1:38" s="74" customFormat="1" outlineLevel="1">
      <c r="A1979" s="156"/>
      <c r="B1979" s="225" t="s">
        <v>52</v>
      </c>
      <c r="C1979" s="514" t="s">
        <v>863</v>
      </c>
      <c r="D1979" s="515"/>
      <c r="E1979" s="225">
        <v>11681551001</v>
      </c>
      <c r="F1979" s="516" t="s">
        <v>1613</v>
      </c>
      <c r="G1979" s="502"/>
      <c r="H1979" s="515" t="s">
        <v>65</v>
      </c>
      <c r="I1979" s="515">
        <v>1</v>
      </c>
      <c r="J1979" s="229" t="s">
        <v>49</v>
      </c>
      <c r="K1979" s="229"/>
      <c r="L1979" s="517"/>
      <c r="M1979" s="229"/>
      <c r="N1979" s="229"/>
      <c r="O1979" s="230"/>
      <c r="P1979" s="230"/>
      <c r="Q1979" s="132"/>
      <c r="R1979" s="94"/>
      <c r="AK1979"/>
    </row>
    <row r="1980" spans="1:38" outlineLevel="1">
      <c r="A1980" s="36"/>
      <c r="B1980" s="456"/>
      <c r="C1980" s="500"/>
      <c r="D1980" s="387"/>
      <c r="E1980" s="188"/>
      <c r="F1980" s="388"/>
      <c r="G1980" s="455"/>
      <c r="H1980" s="387"/>
      <c r="I1980" s="387"/>
      <c r="J1980" s="212"/>
      <c r="K1980" s="212"/>
      <c r="L1980" s="392"/>
      <c r="M1980" s="279"/>
      <c r="N1980" s="279"/>
      <c r="O1980" s="333"/>
      <c r="P1980" s="333"/>
      <c r="Q1980" s="132"/>
      <c r="R1980" s="94"/>
      <c r="AL1980" s="74"/>
    </row>
    <row r="1981" spans="1:38" s="74" customFormat="1" outlineLevel="1">
      <c r="A1981" s="156"/>
      <c r="B1981" s="225" t="s">
        <v>52</v>
      </c>
      <c r="C1981" s="514" t="s">
        <v>863</v>
      </c>
      <c r="D1981" s="515"/>
      <c r="E1981" s="225">
        <v>11681621001</v>
      </c>
      <c r="F1981" s="516" t="s">
        <v>1614</v>
      </c>
      <c r="G1981" s="502"/>
      <c r="H1981" s="515" t="s">
        <v>65</v>
      </c>
      <c r="I1981" s="515">
        <v>10</v>
      </c>
      <c r="J1981" s="229" t="s">
        <v>49</v>
      </c>
      <c r="K1981" s="229"/>
      <c r="L1981" s="517"/>
      <c r="M1981" s="229"/>
      <c r="N1981" s="229"/>
      <c r="O1981" s="230"/>
      <c r="P1981" s="230"/>
      <c r="Q1981" s="132"/>
      <c r="R1981" s="94"/>
      <c r="AK1981"/>
    </row>
    <row r="1982" spans="1:38" s="74" customFormat="1" outlineLevel="1">
      <c r="A1982" s="156"/>
      <c r="B1982" s="225" t="s">
        <v>52</v>
      </c>
      <c r="C1982" s="514" t="s">
        <v>863</v>
      </c>
      <c r="D1982" s="515"/>
      <c r="E1982" s="225">
        <v>11681631001</v>
      </c>
      <c r="F1982" s="516" t="s">
        <v>1615</v>
      </c>
      <c r="G1982" s="502"/>
      <c r="H1982" s="515" t="s">
        <v>65</v>
      </c>
      <c r="I1982" s="515">
        <v>10</v>
      </c>
      <c r="J1982" s="229" t="s">
        <v>49</v>
      </c>
      <c r="K1982" s="229"/>
      <c r="L1982" s="517"/>
      <c r="M1982" s="229"/>
      <c r="N1982" s="229"/>
      <c r="O1982" s="230"/>
      <c r="P1982" s="230"/>
      <c r="Q1982" s="132"/>
      <c r="R1982" s="97"/>
      <c r="AK1982"/>
      <c r="AL1982"/>
    </row>
    <row r="1983" spans="1:38" s="74" customFormat="1" outlineLevel="1">
      <c r="A1983" s="156"/>
      <c r="B1983" s="225" t="s">
        <v>52</v>
      </c>
      <c r="C1983" s="514" t="s">
        <v>863</v>
      </c>
      <c r="D1983" s="226">
        <v>11681641001</v>
      </c>
      <c r="E1983" s="225">
        <v>13130701001</v>
      </c>
      <c r="F1983" s="516" t="s">
        <v>1616</v>
      </c>
      <c r="G1983" s="502"/>
      <c r="H1983" s="515" t="s">
        <v>65</v>
      </c>
      <c r="I1983" s="515">
        <v>10</v>
      </c>
      <c r="J1983" s="229" t="s">
        <v>49</v>
      </c>
      <c r="K1983" s="229"/>
      <c r="L1983" s="517"/>
      <c r="M1983" s="229"/>
      <c r="N1983" s="229"/>
      <c r="O1983" s="230"/>
      <c r="P1983" s="230"/>
      <c r="Q1983" s="132"/>
      <c r="R1983" s="94"/>
      <c r="AK1983"/>
    </row>
    <row r="1984" spans="1:38" s="74" customFormat="1" outlineLevel="1">
      <c r="A1984" s="156"/>
      <c r="B1984" s="225" t="s">
        <v>52</v>
      </c>
      <c r="C1984" s="514" t="s">
        <v>863</v>
      </c>
      <c r="D1984" s="226">
        <v>11681651001</v>
      </c>
      <c r="E1984" s="225">
        <v>13130711001</v>
      </c>
      <c r="F1984" s="516" t="s">
        <v>1617</v>
      </c>
      <c r="G1984" s="502"/>
      <c r="H1984" s="515" t="s">
        <v>65</v>
      </c>
      <c r="I1984" s="515">
        <v>3</v>
      </c>
      <c r="J1984" s="229" t="s">
        <v>49</v>
      </c>
      <c r="K1984" s="229"/>
      <c r="L1984" s="517"/>
      <c r="M1984" s="229"/>
      <c r="N1984" s="229"/>
      <c r="O1984" s="230"/>
      <c r="P1984" s="230"/>
      <c r="Q1984" s="132"/>
      <c r="R1984" s="94"/>
      <c r="AK1984"/>
    </row>
    <row r="1985" spans="1:38" outlineLevel="1">
      <c r="A1985" s="36"/>
      <c r="B1985" s="521"/>
      <c r="C1985" s="500"/>
      <c r="D1985" s="190"/>
      <c r="E1985" s="188"/>
      <c r="F1985" s="388"/>
      <c r="G1985" s="455"/>
      <c r="H1985" s="387"/>
      <c r="I1985" s="387"/>
      <c r="J1985" s="212"/>
      <c r="K1985" s="212"/>
      <c r="L1985" s="392"/>
      <c r="M1985" s="279"/>
      <c r="N1985" s="279"/>
      <c r="O1985" s="333"/>
      <c r="P1985" s="333"/>
      <c r="Q1985" s="132"/>
      <c r="R1985" s="94"/>
      <c r="AL1985" s="74"/>
    </row>
    <row r="1986" spans="1:38" s="74" customFormat="1" outlineLevel="1">
      <c r="A1986" s="156"/>
      <c r="B1986" s="225" t="s">
        <v>52</v>
      </c>
      <c r="C1986" s="514" t="s">
        <v>863</v>
      </c>
      <c r="D1986" s="515"/>
      <c r="E1986" s="225">
        <v>11681581001</v>
      </c>
      <c r="F1986" s="516" t="s">
        <v>1555</v>
      </c>
      <c r="G1986" s="502"/>
      <c r="H1986" s="515" t="s">
        <v>65</v>
      </c>
      <c r="I1986" s="515">
        <v>10</v>
      </c>
      <c r="J1986" s="229" t="s">
        <v>49</v>
      </c>
      <c r="K1986" s="229"/>
      <c r="L1986" s="517"/>
      <c r="M1986" s="229"/>
      <c r="N1986" s="229"/>
      <c r="O1986" s="230"/>
      <c r="P1986" s="230"/>
      <c r="Q1986" s="132"/>
      <c r="R1986" s="97"/>
      <c r="AK1986"/>
      <c r="AL1986"/>
    </row>
    <row r="1987" spans="1:38" s="74" customFormat="1" outlineLevel="1">
      <c r="A1987" s="156"/>
      <c r="B1987" s="225" t="s">
        <v>52</v>
      </c>
      <c r="C1987" s="514" t="s">
        <v>863</v>
      </c>
      <c r="D1987" s="515"/>
      <c r="E1987" s="225">
        <v>11681591001</v>
      </c>
      <c r="F1987" s="516" t="s">
        <v>1556</v>
      </c>
      <c r="G1987" s="502"/>
      <c r="H1987" s="515" t="s">
        <v>65</v>
      </c>
      <c r="I1987" s="515">
        <v>10</v>
      </c>
      <c r="J1987" s="229" t="s">
        <v>49</v>
      </c>
      <c r="K1987" s="229"/>
      <c r="L1987" s="517"/>
      <c r="M1987" s="229"/>
      <c r="N1987" s="229"/>
      <c r="O1987" s="230"/>
      <c r="P1987" s="230"/>
      <c r="Q1987" s="132"/>
      <c r="R1987" s="97"/>
      <c r="AK1987"/>
    </row>
    <row r="1988" spans="1:38" s="74" customFormat="1" outlineLevel="1">
      <c r="A1988" s="156"/>
      <c r="B1988" s="225" t="s">
        <v>52</v>
      </c>
      <c r="C1988" s="514" t="s">
        <v>863</v>
      </c>
      <c r="D1988" s="515"/>
      <c r="E1988" s="225">
        <v>11681601001</v>
      </c>
      <c r="F1988" s="516" t="s">
        <v>1618</v>
      </c>
      <c r="G1988" s="502"/>
      <c r="H1988" s="226" t="s">
        <v>65</v>
      </c>
      <c r="I1988" s="226">
        <v>10</v>
      </c>
      <c r="J1988" s="229" t="s">
        <v>49</v>
      </c>
      <c r="K1988" s="229"/>
      <c r="L1988" s="517"/>
      <c r="M1988" s="229"/>
      <c r="N1988" s="229"/>
      <c r="O1988" s="230"/>
      <c r="P1988" s="230"/>
      <c r="Q1988" s="132"/>
      <c r="R1988" s="97"/>
      <c r="AK1988"/>
    </row>
    <row r="1989" spans="1:38" outlineLevel="1">
      <c r="A1989" s="36"/>
      <c r="B1989" s="533"/>
      <c r="C1989" s="500"/>
      <c r="D1989" s="387"/>
      <c r="E1989" s="188"/>
      <c r="F1989" s="388"/>
      <c r="G1989" s="455"/>
      <c r="H1989" s="190"/>
      <c r="I1989" s="190"/>
      <c r="J1989" s="212"/>
      <c r="K1989" s="212"/>
      <c r="L1989" s="392"/>
      <c r="M1989" s="279"/>
      <c r="N1989" s="279"/>
      <c r="O1989" s="333"/>
      <c r="P1989" s="333"/>
      <c r="Q1989" s="132"/>
      <c r="R1989" s="97"/>
      <c r="AL1989" s="74"/>
    </row>
    <row r="1990" spans="1:38" s="74" customFormat="1" outlineLevel="1">
      <c r="A1990" s="156"/>
      <c r="B1990" s="225" t="s">
        <v>52</v>
      </c>
      <c r="C1990" s="514" t="s">
        <v>863</v>
      </c>
      <c r="D1990" s="515"/>
      <c r="E1990" s="225">
        <v>11681311001</v>
      </c>
      <c r="F1990" s="516" t="s">
        <v>1619</v>
      </c>
      <c r="G1990" s="502"/>
      <c r="H1990" s="515" t="s">
        <v>65</v>
      </c>
      <c r="I1990" s="515">
        <v>10</v>
      </c>
      <c r="J1990" s="229" t="s">
        <v>895</v>
      </c>
      <c r="K1990" s="229"/>
      <c r="L1990" s="517"/>
      <c r="M1990" s="229"/>
      <c r="N1990" s="229"/>
      <c r="O1990" s="230"/>
      <c r="P1990" s="230"/>
      <c r="Q1990" s="132"/>
      <c r="R1990" s="97"/>
      <c r="AK1990"/>
      <c r="AL1990"/>
    </row>
    <row r="1991" spans="1:38" s="74" customFormat="1" outlineLevel="1">
      <c r="A1991" s="156"/>
      <c r="B1991" s="225" t="s">
        <v>52</v>
      </c>
      <c r="C1991" s="514" t="s">
        <v>863</v>
      </c>
      <c r="D1991" s="226">
        <v>11681341001</v>
      </c>
      <c r="E1991" s="225">
        <v>13130741001</v>
      </c>
      <c r="F1991" s="516" t="s">
        <v>1620</v>
      </c>
      <c r="G1991" s="502"/>
      <c r="H1991" s="515" t="s">
        <v>65</v>
      </c>
      <c r="I1991" s="515">
        <v>10</v>
      </c>
      <c r="J1991" s="229" t="s">
        <v>895</v>
      </c>
      <c r="K1991" s="229"/>
      <c r="L1991" s="517"/>
      <c r="M1991" s="229"/>
      <c r="N1991" s="229"/>
      <c r="O1991" s="230"/>
      <c r="P1991" s="230"/>
      <c r="Q1991" s="132"/>
      <c r="R1991" s="94"/>
      <c r="AK1991"/>
    </row>
    <row r="1992" spans="1:38" s="74" customFormat="1" outlineLevel="1">
      <c r="A1992" s="156"/>
      <c r="B1992" s="225" t="s">
        <v>52</v>
      </c>
      <c r="C1992" s="514" t="s">
        <v>863</v>
      </c>
      <c r="D1992" s="226">
        <v>11681351001</v>
      </c>
      <c r="E1992" s="225">
        <v>13130751001</v>
      </c>
      <c r="F1992" s="516" t="s">
        <v>1621</v>
      </c>
      <c r="G1992" s="502"/>
      <c r="H1992" s="515" t="s">
        <v>65</v>
      </c>
      <c r="I1992" s="515">
        <v>10</v>
      </c>
      <c r="J1992" s="229" t="s">
        <v>895</v>
      </c>
      <c r="K1992" s="229"/>
      <c r="L1992" s="517"/>
      <c r="M1992" s="229"/>
      <c r="N1992" s="229"/>
      <c r="O1992" s="230"/>
      <c r="P1992" s="230"/>
      <c r="Q1992" s="132"/>
      <c r="R1992" s="94"/>
      <c r="AK1992"/>
    </row>
    <row r="1993" spans="1:38" outlineLevel="1">
      <c r="A1993" s="36"/>
      <c r="B1993" s="520"/>
      <c r="C1993" s="514"/>
      <c r="D1993" s="226"/>
      <c r="E1993" s="225"/>
      <c r="F1993" s="516"/>
      <c r="G1993" s="502"/>
      <c r="H1993" s="515"/>
      <c r="I1993" s="515"/>
      <c r="J1993" s="220"/>
      <c r="K1993" s="220"/>
      <c r="L1993" s="517"/>
      <c r="M1993" s="229"/>
      <c r="N1993" s="229"/>
      <c r="O1993" s="230"/>
      <c r="P1993" s="230"/>
      <c r="Q1993" s="132"/>
      <c r="R1993" s="94"/>
      <c r="AL1993" s="74"/>
    </row>
    <row r="1994" spans="1:38" s="74" customFormat="1" outlineLevel="1">
      <c r="A1994" s="156"/>
      <c r="B1994" s="225" t="s">
        <v>52</v>
      </c>
      <c r="C1994" s="514" t="s">
        <v>863</v>
      </c>
      <c r="D1994" s="535"/>
      <c r="E1994" s="319">
        <v>11388911002</v>
      </c>
      <c r="F1994" s="320" t="s">
        <v>1622</v>
      </c>
      <c r="G1994" s="502"/>
      <c r="H1994" s="515" t="s">
        <v>65</v>
      </c>
      <c r="I1994" s="515">
        <v>10</v>
      </c>
      <c r="J1994" s="229" t="s">
        <v>49</v>
      </c>
      <c r="K1994" s="229"/>
      <c r="L1994" s="517"/>
      <c r="M1994" s="229"/>
      <c r="N1994" s="229"/>
      <c r="O1994" s="230"/>
      <c r="P1994" s="230"/>
      <c r="Q1994" s="132"/>
      <c r="R1994" s="97"/>
      <c r="AK1994"/>
    </row>
    <row r="1995" spans="1:38" s="74" customFormat="1" outlineLevel="1">
      <c r="A1995" s="156"/>
      <c r="B1995" s="225" t="s">
        <v>52</v>
      </c>
      <c r="C1995" s="514" t="s">
        <v>863</v>
      </c>
      <c r="D1995" s="535"/>
      <c r="E1995" s="319">
        <v>11383511002</v>
      </c>
      <c r="F1995" s="320" t="s">
        <v>1623</v>
      </c>
      <c r="G1995" s="502"/>
      <c r="H1995" s="515" t="s">
        <v>65</v>
      </c>
      <c r="I1995" s="515">
        <v>10</v>
      </c>
      <c r="J1995" s="229" t="s">
        <v>49</v>
      </c>
      <c r="K1995" s="229"/>
      <c r="L1995" s="517"/>
      <c r="M1995" s="229"/>
      <c r="N1995" s="229"/>
      <c r="O1995" s="230"/>
      <c r="P1995" s="230"/>
      <c r="Q1995" s="132"/>
      <c r="R1995" s="94"/>
      <c r="AK1995"/>
    </row>
    <row r="1996" spans="1:38" s="74" customFormat="1" outlineLevel="1">
      <c r="A1996" s="156"/>
      <c r="B1996" s="225" t="s">
        <v>52</v>
      </c>
      <c r="C1996" s="514" t="s">
        <v>863</v>
      </c>
      <c r="D1996" s="535"/>
      <c r="E1996" s="319">
        <v>11386411002</v>
      </c>
      <c r="F1996" s="320" t="s">
        <v>1624</v>
      </c>
      <c r="G1996" s="502"/>
      <c r="H1996" s="515" t="s">
        <v>65</v>
      </c>
      <c r="I1996" s="515">
        <v>5</v>
      </c>
      <c r="J1996" s="229" t="s">
        <v>49</v>
      </c>
      <c r="K1996" s="229"/>
      <c r="L1996" s="517"/>
      <c r="M1996" s="229"/>
      <c r="N1996" s="229"/>
      <c r="O1996" s="230"/>
      <c r="P1996" s="230"/>
      <c r="Q1996" s="132"/>
      <c r="R1996" s="94"/>
      <c r="AK1996"/>
    </row>
    <row r="1997" spans="1:38" outlineLevel="1">
      <c r="A1997" s="36"/>
      <c r="B1997" s="456"/>
      <c r="C1997" s="500"/>
      <c r="D1997" s="387"/>
      <c r="E1997" s="188"/>
      <c r="F1997" s="388"/>
      <c r="G1997" s="455"/>
      <c r="H1997" s="387"/>
      <c r="I1997" s="387"/>
      <c r="J1997" s="212"/>
      <c r="K1997" s="212"/>
      <c r="L1997" s="392"/>
      <c r="M1997" s="279"/>
      <c r="N1997" s="279"/>
      <c r="O1997" s="333"/>
      <c r="P1997" s="333"/>
      <c r="Q1997" s="132"/>
      <c r="R1997" s="94"/>
      <c r="AL1997" s="74"/>
    </row>
    <row r="1998" spans="1:38" s="74" customFormat="1" outlineLevel="1">
      <c r="A1998" s="156"/>
      <c r="B1998" s="225" t="s">
        <v>52</v>
      </c>
      <c r="C1998" s="514" t="s">
        <v>863</v>
      </c>
      <c r="D1998" s="535"/>
      <c r="E1998" s="319">
        <v>11391311002</v>
      </c>
      <c r="F1998" s="320" t="s">
        <v>1625</v>
      </c>
      <c r="G1998" s="502"/>
      <c r="H1998" s="515" t="s">
        <v>65</v>
      </c>
      <c r="I1998" s="515">
        <v>10</v>
      </c>
      <c r="J1998" s="229" t="s">
        <v>49</v>
      </c>
      <c r="K1998" s="229"/>
      <c r="L1998" s="517"/>
      <c r="M1998" s="229"/>
      <c r="N1998" s="229"/>
      <c r="O1998" s="230"/>
      <c r="P1998" s="230"/>
      <c r="Q1998" s="132"/>
      <c r="R1998" s="97"/>
      <c r="AK1998"/>
    </row>
    <row r="1999" spans="1:38" s="74" customFormat="1" outlineLevel="1">
      <c r="A1999" s="156"/>
      <c r="B1999" s="225" t="s">
        <v>52</v>
      </c>
      <c r="C1999" s="514" t="s">
        <v>863</v>
      </c>
      <c r="D1999" s="535"/>
      <c r="E1999" s="319">
        <v>11389111002</v>
      </c>
      <c r="F1999" s="320" t="s">
        <v>1626</v>
      </c>
      <c r="G1999" s="502"/>
      <c r="H1999" s="515" t="s">
        <v>65</v>
      </c>
      <c r="I1999" s="515">
        <v>10</v>
      </c>
      <c r="J1999" s="229" t="s">
        <v>49</v>
      </c>
      <c r="K1999" s="229"/>
      <c r="L1999" s="517"/>
      <c r="M1999" s="229"/>
      <c r="N1999" s="229"/>
      <c r="O1999" s="230"/>
      <c r="P1999" s="230"/>
      <c r="Q1999" s="132"/>
      <c r="R1999" s="94"/>
      <c r="AK1999"/>
    </row>
    <row r="2000" spans="1:38" s="74" customFormat="1" outlineLevel="1">
      <c r="A2000" s="156"/>
      <c r="B2000" s="225" t="s">
        <v>52</v>
      </c>
      <c r="C2000" s="514" t="s">
        <v>863</v>
      </c>
      <c r="D2000" s="535"/>
      <c r="E2000" s="319">
        <v>11389211002</v>
      </c>
      <c r="F2000" s="320" t="s">
        <v>1627</v>
      </c>
      <c r="G2000" s="502"/>
      <c r="H2000" s="515" t="s">
        <v>65</v>
      </c>
      <c r="I2000" s="515">
        <v>5</v>
      </c>
      <c r="J2000" s="229" t="s">
        <v>49</v>
      </c>
      <c r="K2000" s="229"/>
      <c r="L2000" s="517"/>
      <c r="M2000" s="229"/>
      <c r="N2000" s="229"/>
      <c r="O2000" s="230"/>
      <c r="P2000" s="230"/>
      <c r="Q2000" s="132"/>
      <c r="R2000" s="94"/>
      <c r="AK2000"/>
    </row>
    <row r="2001" spans="1:37" outlineLevel="1">
      <c r="A2001" s="36"/>
      <c r="B2001" s="456"/>
      <c r="C2001" s="500"/>
      <c r="D2001" s="387"/>
      <c r="E2001" s="188"/>
      <c r="F2001" s="388"/>
      <c r="G2001" s="455"/>
      <c r="H2001" s="387"/>
      <c r="I2001" s="387"/>
      <c r="J2001" s="212"/>
      <c r="K2001" s="212"/>
      <c r="L2001" s="392"/>
      <c r="M2001" s="279"/>
      <c r="N2001" s="279"/>
      <c r="O2001" s="333"/>
      <c r="P2001" s="333"/>
      <c r="Q2001" s="132"/>
      <c r="R2001" s="98"/>
    </row>
    <row r="2002" spans="1:37" s="73" customFormat="1" outlineLevel="1">
      <c r="A2002" s="152"/>
      <c r="B2002" s="188" t="s">
        <v>397</v>
      </c>
      <c r="C2002" s="500" t="s">
        <v>863</v>
      </c>
      <c r="D2002" s="190">
        <v>13660341001</v>
      </c>
      <c r="E2002" s="188">
        <v>14563021001</v>
      </c>
      <c r="F2002" s="388" t="s">
        <v>1628</v>
      </c>
      <c r="G2002" s="455"/>
      <c r="H2002" s="387" t="s">
        <v>65</v>
      </c>
      <c r="I2002" s="387">
        <v>1</v>
      </c>
      <c r="J2002" s="212" t="s">
        <v>49</v>
      </c>
      <c r="K2002" s="212"/>
      <c r="L2002" s="196"/>
      <c r="M2002" s="212"/>
      <c r="N2002" s="212"/>
      <c r="O2002" s="213"/>
      <c r="P2002" s="213"/>
      <c r="Q2002" s="132"/>
      <c r="R2002" s="93"/>
      <c r="AK2002"/>
    </row>
    <row r="2003" spans="1:37" s="73" customFormat="1" outlineLevel="1">
      <c r="A2003" s="152"/>
      <c r="B2003" s="188" t="s">
        <v>397</v>
      </c>
      <c r="C2003" s="500" t="s">
        <v>863</v>
      </c>
      <c r="D2003" s="190">
        <v>13660361001</v>
      </c>
      <c r="E2003" s="188">
        <v>14563031001</v>
      </c>
      <c r="F2003" s="388" t="s">
        <v>1629</v>
      </c>
      <c r="G2003" s="455"/>
      <c r="H2003" s="387" t="s">
        <v>65</v>
      </c>
      <c r="I2003" s="387">
        <v>1</v>
      </c>
      <c r="J2003" s="212" t="s">
        <v>49</v>
      </c>
      <c r="K2003" s="212"/>
      <c r="L2003" s="196"/>
      <c r="M2003" s="212"/>
      <c r="N2003" s="212"/>
      <c r="O2003" s="213"/>
      <c r="P2003" s="213"/>
      <c r="Q2003" s="132"/>
      <c r="R2003" s="93"/>
      <c r="AK2003"/>
    </row>
    <row r="2004" spans="1:37" outlineLevel="1">
      <c r="A2004" s="36"/>
      <c r="B2004" s="486"/>
      <c r="C2004" s="500"/>
      <c r="D2004" s="387"/>
      <c r="E2004" s="188"/>
      <c r="F2004" s="388"/>
      <c r="G2004" s="455"/>
      <c r="H2004" s="387"/>
      <c r="I2004" s="387"/>
      <c r="J2004" s="212"/>
      <c r="K2004" s="212"/>
      <c r="L2004" s="392"/>
      <c r="M2004" s="279"/>
      <c r="N2004" s="279"/>
      <c r="O2004" s="333"/>
      <c r="P2004" s="333"/>
      <c r="Q2004" s="132"/>
      <c r="R2004" s="94"/>
    </row>
    <row r="2005" spans="1:37" s="73" customFormat="1" outlineLevel="1">
      <c r="A2005" s="152"/>
      <c r="B2005" s="188" t="s">
        <v>397</v>
      </c>
      <c r="C2005" s="500" t="s">
        <v>863</v>
      </c>
      <c r="D2005" s="190">
        <v>13662601001</v>
      </c>
      <c r="E2005" s="188">
        <v>14563951001</v>
      </c>
      <c r="F2005" s="536" t="s">
        <v>1630</v>
      </c>
      <c r="G2005" s="455"/>
      <c r="H2005" s="387" t="s">
        <v>65</v>
      </c>
      <c r="I2005" s="387">
        <v>5</v>
      </c>
      <c r="J2005" s="212" t="s">
        <v>49</v>
      </c>
      <c r="K2005" s="212"/>
      <c r="L2005" s="196"/>
      <c r="M2005" s="212"/>
      <c r="N2005" s="212"/>
      <c r="O2005" s="213"/>
      <c r="P2005" s="213"/>
      <c r="Q2005" s="132"/>
      <c r="R2005" s="93"/>
      <c r="AK2005"/>
    </row>
    <row r="2006" spans="1:37" s="73" customFormat="1" outlineLevel="1">
      <c r="A2006" s="152"/>
      <c r="B2006" s="188" t="s">
        <v>397</v>
      </c>
      <c r="C2006" s="500" t="s">
        <v>863</v>
      </c>
      <c r="D2006" s="190">
        <v>13660391001</v>
      </c>
      <c r="E2006" s="188">
        <v>14563041001</v>
      </c>
      <c r="F2006" s="536" t="s">
        <v>1631</v>
      </c>
      <c r="G2006" s="455"/>
      <c r="H2006" s="387" t="s">
        <v>65</v>
      </c>
      <c r="I2006" s="387">
        <v>5</v>
      </c>
      <c r="J2006" s="212" t="s">
        <v>49</v>
      </c>
      <c r="K2006" s="212"/>
      <c r="L2006" s="196"/>
      <c r="M2006" s="212"/>
      <c r="N2006" s="212"/>
      <c r="O2006" s="213"/>
      <c r="P2006" s="213"/>
      <c r="Q2006" s="132"/>
      <c r="R2006" s="98"/>
      <c r="AK2006"/>
    </row>
    <row r="2007" spans="1:37" s="73" customFormat="1" outlineLevel="1">
      <c r="A2007" s="152"/>
      <c r="B2007" s="188" t="s">
        <v>397</v>
      </c>
      <c r="C2007" s="500" t="s">
        <v>863</v>
      </c>
      <c r="D2007" s="190">
        <v>13660411001</v>
      </c>
      <c r="E2007" s="188">
        <v>14563051001</v>
      </c>
      <c r="F2007" s="536" t="s">
        <v>1632</v>
      </c>
      <c r="G2007" s="455"/>
      <c r="H2007" s="387" t="s">
        <v>65</v>
      </c>
      <c r="I2007" s="387">
        <v>1</v>
      </c>
      <c r="J2007" s="212" t="s">
        <v>49</v>
      </c>
      <c r="K2007" s="212"/>
      <c r="L2007" s="196"/>
      <c r="M2007" s="212"/>
      <c r="N2007" s="212"/>
      <c r="O2007" s="213"/>
      <c r="P2007" s="213"/>
      <c r="Q2007" s="132"/>
      <c r="R2007" s="93"/>
      <c r="AK2007"/>
    </row>
    <row r="2008" spans="1:37" s="73" customFormat="1" outlineLevel="1">
      <c r="A2008" s="152"/>
      <c r="B2008" s="188" t="s">
        <v>397</v>
      </c>
      <c r="C2008" s="500" t="s">
        <v>863</v>
      </c>
      <c r="D2008" s="190">
        <v>13660431001</v>
      </c>
      <c r="E2008" s="188">
        <v>14563061001</v>
      </c>
      <c r="F2008" s="536" t="s">
        <v>1633</v>
      </c>
      <c r="G2008" s="455"/>
      <c r="H2008" s="387" t="s">
        <v>65</v>
      </c>
      <c r="I2008" s="387">
        <v>1</v>
      </c>
      <c r="J2008" s="212" t="s">
        <v>49</v>
      </c>
      <c r="K2008" s="212"/>
      <c r="L2008" s="196"/>
      <c r="M2008" s="212"/>
      <c r="N2008" s="212"/>
      <c r="O2008" s="213"/>
      <c r="P2008" s="213"/>
      <c r="Q2008" s="132"/>
      <c r="R2008" s="93"/>
      <c r="AK2008"/>
    </row>
    <row r="2009" spans="1:37" outlineLevel="1">
      <c r="A2009" s="36"/>
      <c r="B2009" s="486"/>
      <c r="C2009" s="500"/>
      <c r="D2009" s="188"/>
      <c r="E2009" s="188"/>
      <c r="F2009" s="536"/>
      <c r="G2009" s="455"/>
      <c r="H2009" s="387"/>
      <c r="I2009" s="387"/>
      <c r="J2009" s="212"/>
      <c r="K2009" s="212"/>
      <c r="L2009" s="392"/>
      <c r="M2009" s="279"/>
      <c r="N2009" s="279"/>
      <c r="O2009" s="333"/>
      <c r="P2009" s="333"/>
      <c r="Q2009" s="132"/>
      <c r="R2009" s="94"/>
    </row>
    <row r="2010" spans="1:37" s="73" customFormat="1" outlineLevel="1">
      <c r="A2010" s="152"/>
      <c r="B2010" s="188" t="s">
        <v>397</v>
      </c>
      <c r="C2010" s="500" t="s">
        <v>863</v>
      </c>
      <c r="D2010" s="190">
        <v>13660521001</v>
      </c>
      <c r="E2010" s="188">
        <v>14563141001</v>
      </c>
      <c r="F2010" s="210" t="s">
        <v>1634</v>
      </c>
      <c r="G2010" s="455"/>
      <c r="H2010" s="387" t="s">
        <v>65</v>
      </c>
      <c r="I2010" s="387">
        <v>10</v>
      </c>
      <c r="J2010" s="212" t="s">
        <v>49</v>
      </c>
      <c r="K2010" s="212"/>
      <c r="L2010" s="196"/>
      <c r="M2010" s="212"/>
      <c r="N2010" s="212"/>
      <c r="O2010" s="213"/>
      <c r="P2010" s="213"/>
      <c r="Q2010" s="132"/>
      <c r="R2010" s="93"/>
      <c r="AK2010"/>
    </row>
    <row r="2011" spans="1:37" s="73" customFormat="1" outlineLevel="1">
      <c r="A2011" s="152"/>
      <c r="B2011" s="188" t="s">
        <v>397</v>
      </c>
      <c r="C2011" s="500" t="s">
        <v>863</v>
      </c>
      <c r="D2011" s="190">
        <v>13660531001</v>
      </c>
      <c r="E2011" s="188">
        <v>14563151001</v>
      </c>
      <c r="F2011" s="210" t="s">
        <v>1635</v>
      </c>
      <c r="G2011" s="455"/>
      <c r="H2011" s="387" t="s">
        <v>65</v>
      </c>
      <c r="I2011" s="387">
        <v>10</v>
      </c>
      <c r="J2011" s="212" t="s">
        <v>49</v>
      </c>
      <c r="K2011" s="212"/>
      <c r="L2011" s="196"/>
      <c r="M2011" s="212"/>
      <c r="N2011" s="212"/>
      <c r="O2011" s="213"/>
      <c r="P2011" s="213"/>
      <c r="Q2011" s="132"/>
      <c r="R2011" s="93"/>
      <c r="AK2011"/>
    </row>
    <row r="2012" spans="1:37" s="73" customFormat="1" outlineLevel="1">
      <c r="A2012" s="152"/>
      <c r="B2012" s="188" t="s">
        <v>397</v>
      </c>
      <c r="C2012" s="500" t="s">
        <v>863</v>
      </c>
      <c r="D2012" s="190">
        <v>13660551001</v>
      </c>
      <c r="E2012" s="188">
        <v>14563161001</v>
      </c>
      <c r="F2012" s="210" t="s">
        <v>1636</v>
      </c>
      <c r="G2012" s="211"/>
      <c r="H2012" s="387" t="s">
        <v>65</v>
      </c>
      <c r="I2012" s="387">
        <v>5</v>
      </c>
      <c r="J2012" s="212" t="s">
        <v>49</v>
      </c>
      <c r="K2012" s="212"/>
      <c r="L2012" s="196"/>
      <c r="M2012" s="212"/>
      <c r="N2012" s="212"/>
      <c r="O2012" s="213"/>
      <c r="P2012" s="213"/>
      <c r="Q2012" s="132"/>
      <c r="R2012" s="93"/>
      <c r="AK2012"/>
    </row>
    <row r="2013" spans="1:37" s="73" customFormat="1" outlineLevel="1">
      <c r="A2013" s="152"/>
      <c r="B2013" s="188" t="s">
        <v>397</v>
      </c>
      <c r="C2013" s="500" t="s">
        <v>863</v>
      </c>
      <c r="D2013" s="190">
        <v>13660561001</v>
      </c>
      <c r="E2013" s="188">
        <v>14563171001</v>
      </c>
      <c r="F2013" s="210" t="s">
        <v>259</v>
      </c>
      <c r="G2013" s="455"/>
      <c r="H2013" s="387" t="s">
        <v>65</v>
      </c>
      <c r="I2013" s="387">
        <v>10</v>
      </c>
      <c r="J2013" s="212" t="s">
        <v>49</v>
      </c>
      <c r="K2013" s="212"/>
      <c r="L2013" s="196"/>
      <c r="M2013" s="212"/>
      <c r="N2013" s="212"/>
      <c r="O2013" s="213"/>
      <c r="P2013" s="213"/>
      <c r="Q2013" s="132"/>
      <c r="R2013" s="93"/>
      <c r="AK2013"/>
    </row>
    <row r="2014" spans="1:37" s="73" customFormat="1" outlineLevel="1">
      <c r="A2014" s="152"/>
      <c r="B2014" s="188" t="s">
        <v>397</v>
      </c>
      <c r="C2014" s="500" t="s">
        <v>863</v>
      </c>
      <c r="D2014" s="190">
        <v>13660571001</v>
      </c>
      <c r="E2014" s="188">
        <v>14563181001</v>
      </c>
      <c r="F2014" s="210" t="s">
        <v>1637</v>
      </c>
      <c r="G2014" s="455"/>
      <c r="H2014" s="387" t="s">
        <v>65</v>
      </c>
      <c r="I2014" s="387">
        <v>10</v>
      </c>
      <c r="J2014" s="212" t="s">
        <v>49</v>
      </c>
      <c r="K2014" s="212"/>
      <c r="L2014" s="196"/>
      <c r="M2014" s="212"/>
      <c r="N2014" s="212"/>
      <c r="O2014" s="213"/>
      <c r="P2014" s="213"/>
      <c r="Q2014" s="132"/>
      <c r="R2014" s="93"/>
      <c r="AK2014"/>
    </row>
    <row r="2015" spans="1:37" s="73" customFormat="1" outlineLevel="1">
      <c r="A2015" s="152"/>
      <c r="B2015" s="188" t="s">
        <v>397</v>
      </c>
      <c r="C2015" s="500" t="s">
        <v>863</v>
      </c>
      <c r="D2015" s="190">
        <v>13660581001</v>
      </c>
      <c r="E2015" s="188">
        <v>14563191001</v>
      </c>
      <c r="F2015" s="210" t="s">
        <v>1638</v>
      </c>
      <c r="G2015" s="455"/>
      <c r="H2015" s="387" t="s">
        <v>65</v>
      </c>
      <c r="I2015" s="387">
        <v>10</v>
      </c>
      <c r="J2015" s="212" t="s">
        <v>49</v>
      </c>
      <c r="K2015" s="212"/>
      <c r="L2015" s="196"/>
      <c r="M2015" s="212"/>
      <c r="N2015" s="212"/>
      <c r="O2015" s="213"/>
      <c r="P2015" s="213"/>
      <c r="Q2015" s="132"/>
      <c r="R2015" s="93"/>
      <c r="AK2015"/>
    </row>
    <row r="2016" spans="1:37" s="73" customFormat="1" outlineLevel="1">
      <c r="A2016" s="152"/>
      <c r="B2016" s="188" t="s">
        <v>397</v>
      </c>
      <c r="C2016" s="500" t="s">
        <v>863</v>
      </c>
      <c r="D2016" s="190">
        <v>13660591001</v>
      </c>
      <c r="E2016" s="188">
        <v>14563201001</v>
      </c>
      <c r="F2016" s="210" t="s">
        <v>1639</v>
      </c>
      <c r="G2016" s="455"/>
      <c r="H2016" s="387" t="s">
        <v>65</v>
      </c>
      <c r="I2016" s="387">
        <v>10</v>
      </c>
      <c r="J2016" s="212" t="s">
        <v>49</v>
      </c>
      <c r="K2016" s="212"/>
      <c r="L2016" s="196"/>
      <c r="M2016" s="212"/>
      <c r="N2016" s="212"/>
      <c r="O2016" s="213"/>
      <c r="P2016" s="213"/>
      <c r="Q2016" s="132"/>
      <c r="R2016" s="93"/>
      <c r="AK2016"/>
    </row>
    <row r="2017" spans="1:37" s="73" customFormat="1" outlineLevel="1">
      <c r="A2017" s="152"/>
      <c r="B2017" s="188" t="s">
        <v>397</v>
      </c>
      <c r="C2017" s="500" t="s">
        <v>863</v>
      </c>
      <c r="D2017" s="190">
        <v>13660601001</v>
      </c>
      <c r="E2017" s="188">
        <v>14563211001</v>
      </c>
      <c r="F2017" s="210" t="s">
        <v>1640</v>
      </c>
      <c r="G2017" s="455"/>
      <c r="H2017" s="387" t="s">
        <v>65</v>
      </c>
      <c r="I2017" s="387">
        <v>10</v>
      </c>
      <c r="J2017" s="212" t="s">
        <v>49</v>
      </c>
      <c r="K2017" s="212"/>
      <c r="L2017" s="196"/>
      <c r="M2017" s="212"/>
      <c r="N2017" s="212"/>
      <c r="O2017" s="213"/>
      <c r="P2017" s="213"/>
      <c r="Q2017" s="132"/>
      <c r="R2017" s="93"/>
      <c r="AK2017"/>
    </row>
    <row r="2018" spans="1:37" s="73" customFormat="1" outlineLevel="1">
      <c r="A2018" s="152"/>
      <c r="B2018" s="188" t="s">
        <v>397</v>
      </c>
      <c r="C2018" s="500" t="s">
        <v>863</v>
      </c>
      <c r="D2018" s="190">
        <v>13660611001</v>
      </c>
      <c r="E2018" s="188">
        <v>14563221001</v>
      </c>
      <c r="F2018" s="210" t="s">
        <v>1641</v>
      </c>
      <c r="G2018" s="455"/>
      <c r="H2018" s="387" t="s">
        <v>65</v>
      </c>
      <c r="I2018" s="387">
        <v>5</v>
      </c>
      <c r="J2018" s="212" t="s">
        <v>49</v>
      </c>
      <c r="K2018" s="212"/>
      <c r="L2018" s="196"/>
      <c r="M2018" s="212"/>
      <c r="N2018" s="212"/>
      <c r="O2018" s="213"/>
      <c r="P2018" s="213"/>
      <c r="Q2018" s="132"/>
      <c r="R2018" s="93"/>
      <c r="AK2018"/>
    </row>
    <row r="2019" spans="1:37" s="73" customFormat="1" outlineLevel="1">
      <c r="A2019" s="152"/>
      <c r="B2019" s="188" t="s">
        <v>397</v>
      </c>
      <c r="C2019" s="500" t="s">
        <v>863</v>
      </c>
      <c r="D2019" s="190">
        <v>13660621001</v>
      </c>
      <c r="E2019" s="188">
        <v>14563231001</v>
      </c>
      <c r="F2019" s="210" t="s">
        <v>1642</v>
      </c>
      <c r="G2019" s="455"/>
      <c r="H2019" s="387" t="s">
        <v>65</v>
      </c>
      <c r="I2019" s="387">
        <v>5</v>
      </c>
      <c r="J2019" s="212" t="s">
        <v>49</v>
      </c>
      <c r="K2019" s="212"/>
      <c r="L2019" s="196"/>
      <c r="M2019" s="212"/>
      <c r="N2019" s="212"/>
      <c r="O2019" s="213"/>
      <c r="P2019" s="213"/>
      <c r="Q2019" s="132"/>
      <c r="R2019" s="93"/>
      <c r="AK2019"/>
    </row>
    <row r="2020" spans="1:37" s="73" customFormat="1" outlineLevel="1">
      <c r="A2020" s="152"/>
      <c r="B2020" s="188" t="s">
        <v>397</v>
      </c>
      <c r="C2020" s="500" t="s">
        <v>863</v>
      </c>
      <c r="D2020" s="190">
        <v>13660631001</v>
      </c>
      <c r="E2020" s="188">
        <v>14563241001</v>
      </c>
      <c r="F2020" s="210" t="s">
        <v>1643</v>
      </c>
      <c r="G2020" s="455"/>
      <c r="H2020" s="387" t="s">
        <v>65</v>
      </c>
      <c r="I2020" s="387">
        <v>5</v>
      </c>
      <c r="J2020" s="212" t="s">
        <v>49</v>
      </c>
      <c r="K2020" s="212"/>
      <c r="L2020" s="196"/>
      <c r="M2020" s="212"/>
      <c r="N2020" s="212"/>
      <c r="O2020" s="213"/>
      <c r="P2020" s="213"/>
      <c r="Q2020" s="132"/>
      <c r="R2020" s="98"/>
      <c r="AK2020"/>
    </row>
    <row r="2021" spans="1:37" s="73" customFormat="1" outlineLevel="1">
      <c r="A2021" s="152"/>
      <c r="B2021" s="188" t="s">
        <v>397</v>
      </c>
      <c r="C2021" s="500" t="s">
        <v>863</v>
      </c>
      <c r="D2021" s="190">
        <v>13660651001</v>
      </c>
      <c r="E2021" s="188">
        <v>14563251001</v>
      </c>
      <c r="F2021" s="210" t="s">
        <v>1644</v>
      </c>
      <c r="G2021" s="455"/>
      <c r="H2021" s="387" t="s">
        <v>65</v>
      </c>
      <c r="I2021" s="387">
        <v>1</v>
      </c>
      <c r="J2021" s="212" t="s">
        <v>49</v>
      </c>
      <c r="K2021" s="212"/>
      <c r="L2021" s="196"/>
      <c r="M2021" s="212"/>
      <c r="N2021" s="212"/>
      <c r="O2021" s="213"/>
      <c r="P2021" s="213"/>
      <c r="Q2021" s="132"/>
      <c r="R2021" s="93"/>
      <c r="AK2021"/>
    </row>
    <row r="2022" spans="1:37" s="73" customFormat="1" outlineLevel="1">
      <c r="A2022" s="152"/>
      <c r="B2022" s="188" t="s">
        <v>397</v>
      </c>
      <c r="C2022" s="500" t="s">
        <v>863</v>
      </c>
      <c r="D2022" s="190">
        <v>13660661001</v>
      </c>
      <c r="E2022" s="188">
        <v>14563261001</v>
      </c>
      <c r="F2022" s="210" t="s">
        <v>1645</v>
      </c>
      <c r="G2022" s="455"/>
      <c r="H2022" s="387" t="s">
        <v>65</v>
      </c>
      <c r="I2022" s="387">
        <v>1</v>
      </c>
      <c r="J2022" s="212" t="s">
        <v>49</v>
      </c>
      <c r="K2022" s="212"/>
      <c r="L2022" s="196"/>
      <c r="M2022" s="212"/>
      <c r="N2022" s="212"/>
      <c r="O2022" s="213"/>
      <c r="P2022" s="213"/>
      <c r="Q2022" s="132"/>
      <c r="R2022" s="93"/>
      <c r="AK2022"/>
    </row>
    <row r="2023" spans="1:37" outlineLevel="1">
      <c r="A2023" s="36"/>
      <c r="B2023" s="486"/>
      <c r="C2023" s="500"/>
      <c r="D2023" s="387"/>
      <c r="E2023" s="188"/>
      <c r="F2023" s="210"/>
      <c r="G2023" s="455"/>
      <c r="H2023" s="387"/>
      <c r="I2023" s="387"/>
      <c r="J2023" s="212"/>
      <c r="K2023" s="212"/>
      <c r="L2023" s="392"/>
      <c r="M2023" s="279"/>
      <c r="N2023" s="279"/>
      <c r="O2023" s="333"/>
      <c r="P2023" s="333"/>
      <c r="Q2023" s="132"/>
      <c r="R2023" s="94"/>
    </row>
    <row r="2024" spans="1:37" s="73" customFormat="1" outlineLevel="1">
      <c r="A2024" s="152"/>
      <c r="B2024" s="188" t="s">
        <v>397</v>
      </c>
      <c r="C2024" s="500" t="s">
        <v>863</v>
      </c>
      <c r="D2024" s="190">
        <v>13660681001</v>
      </c>
      <c r="E2024" s="188">
        <v>14563281001</v>
      </c>
      <c r="F2024" s="210" t="s">
        <v>1646</v>
      </c>
      <c r="G2024" s="455"/>
      <c r="H2024" s="387" t="s">
        <v>65</v>
      </c>
      <c r="I2024" s="387">
        <v>10</v>
      </c>
      <c r="J2024" s="212" t="s">
        <v>49</v>
      </c>
      <c r="K2024" s="212"/>
      <c r="L2024" s="196"/>
      <c r="M2024" s="212"/>
      <c r="N2024" s="212"/>
      <c r="O2024" s="213"/>
      <c r="P2024" s="213"/>
      <c r="Q2024" s="132"/>
      <c r="R2024" s="93"/>
      <c r="AK2024"/>
    </row>
    <row r="2025" spans="1:37" s="73" customFormat="1" outlineLevel="1">
      <c r="A2025" s="152"/>
      <c r="B2025" s="188" t="s">
        <v>397</v>
      </c>
      <c r="C2025" s="500" t="s">
        <v>863</v>
      </c>
      <c r="D2025" s="190">
        <v>13660691001</v>
      </c>
      <c r="E2025" s="188">
        <v>14563291001</v>
      </c>
      <c r="F2025" s="210" t="s">
        <v>278</v>
      </c>
      <c r="G2025" s="455"/>
      <c r="H2025" s="387" t="s">
        <v>65</v>
      </c>
      <c r="I2025" s="387">
        <v>10</v>
      </c>
      <c r="J2025" s="212" t="s">
        <v>49</v>
      </c>
      <c r="K2025" s="212"/>
      <c r="L2025" s="196"/>
      <c r="M2025" s="212"/>
      <c r="N2025" s="212"/>
      <c r="O2025" s="213"/>
      <c r="P2025" s="213"/>
      <c r="Q2025" s="132"/>
      <c r="R2025" s="93"/>
      <c r="AK2025"/>
    </row>
    <row r="2026" spans="1:37" s="73" customFormat="1" outlineLevel="1">
      <c r="A2026" s="152"/>
      <c r="B2026" s="188" t="s">
        <v>397</v>
      </c>
      <c r="C2026" s="500" t="s">
        <v>863</v>
      </c>
      <c r="D2026" s="190">
        <v>13660701001</v>
      </c>
      <c r="E2026" s="188">
        <v>14563301001</v>
      </c>
      <c r="F2026" s="210" t="s">
        <v>1647</v>
      </c>
      <c r="G2026" s="455"/>
      <c r="H2026" s="190" t="s">
        <v>65</v>
      </c>
      <c r="I2026" s="190">
        <v>10</v>
      </c>
      <c r="J2026" s="212" t="s">
        <v>49</v>
      </c>
      <c r="K2026" s="212"/>
      <c r="L2026" s="196"/>
      <c r="M2026" s="212"/>
      <c r="N2026" s="212"/>
      <c r="O2026" s="213"/>
      <c r="P2026" s="213"/>
      <c r="Q2026" s="132"/>
      <c r="R2026" s="93"/>
      <c r="AK2026"/>
    </row>
    <row r="2027" spans="1:37" s="73" customFormat="1" outlineLevel="1">
      <c r="A2027" s="152"/>
      <c r="B2027" s="188" t="s">
        <v>397</v>
      </c>
      <c r="C2027" s="500" t="s">
        <v>863</v>
      </c>
      <c r="D2027" s="190">
        <v>13660711001</v>
      </c>
      <c r="E2027" s="188">
        <v>14563311001</v>
      </c>
      <c r="F2027" s="210" t="s">
        <v>279</v>
      </c>
      <c r="G2027" s="455"/>
      <c r="H2027" s="387" t="s">
        <v>65</v>
      </c>
      <c r="I2027" s="387">
        <v>10</v>
      </c>
      <c r="J2027" s="212" t="s">
        <v>49</v>
      </c>
      <c r="K2027" s="212"/>
      <c r="L2027" s="196"/>
      <c r="M2027" s="212"/>
      <c r="N2027" s="212"/>
      <c r="O2027" s="213"/>
      <c r="P2027" s="213"/>
      <c r="Q2027" s="132"/>
      <c r="R2027" s="93"/>
      <c r="AK2027"/>
    </row>
    <row r="2028" spans="1:37" s="73" customFormat="1" outlineLevel="1">
      <c r="A2028" s="152"/>
      <c r="B2028" s="188" t="s">
        <v>397</v>
      </c>
      <c r="C2028" s="500" t="s">
        <v>863</v>
      </c>
      <c r="D2028" s="190">
        <v>13662891001</v>
      </c>
      <c r="E2028" s="188">
        <v>14564081001</v>
      </c>
      <c r="F2028" s="210" t="s">
        <v>1648</v>
      </c>
      <c r="G2028" s="211"/>
      <c r="H2028" s="190" t="s">
        <v>65</v>
      </c>
      <c r="I2028" s="190">
        <v>5</v>
      </c>
      <c r="J2028" s="212" t="s">
        <v>49</v>
      </c>
      <c r="K2028" s="212"/>
      <c r="L2028" s="196"/>
      <c r="M2028" s="212"/>
      <c r="N2028" s="212"/>
      <c r="O2028" s="213"/>
      <c r="P2028" s="213"/>
      <c r="Q2028" s="132"/>
      <c r="R2028" s="93"/>
      <c r="AK2028"/>
    </row>
    <row r="2029" spans="1:37" s="73" customFormat="1" outlineLevel="1">
      <c r="A2029" s="152"/>
      <c r="B2029" s="188" t="s">
        <v>397</v>
      </c>
      <c r="C2029" s="500" t="s">
        <v>863</v>
      </c>
      <c r="D2029" s="190">
        <v>13660721001</v>
      </c>
      <c r="E2029" s="188">
        <v>14563321001</v>
      </c>
      <c r="F2029" s="210" t="s">
        <v>1649</v>
      </c>
      <c r="G2029" s="455"/>
      <c r="H2029" s="387" t="s">
        <v>65</v>
      </c>
      <c r="I2029" s="387">
        <v>10</v>
      </c>
      <c r="J2029" s="212" t="s">
        <v>49</v>
      </c>
      <c r="K2029" s="212"/>
      <c r="L2029" s="196"/>
      <c r="M2029" s="212"/>
      <c r="N2029" s="212"/>
      <c r="O2029" s="213"/>
      <c r="P2029" s="213"/>
      <c r="Q2029" s="132"/>
      <c r="R2029" s="98"/>
      <c r="AK2029"/>
    </row>
    <row r="2030" spans="1:37" s="73" customFormat="1" outlineLevel="1">
      <c r="A2030" s="152"/>
      <c r="B2030" s="188" t="s">
        <v>397</v>
      </c>
      <c r="C2030" s="500" t="s">
        <v>863</v>
      </c>
      <c r="D2030" s="190">
        <v>13660731001</v>
      </c>
      <c r="E2030" s="188">
        <v>14563331001</v>
      </c>
      <c r="F2030" s="210" t="s">
        <v>1650</v>
      </c>
      <c r="G2030" s="455"/>
      <c r="H2030" s="387" t="s">
        <v>65</v>
      </c>
      <c r="I2030" s="387">
        <v>10</v>
      </c>
      <c r="J2030" s="212" t="s">
        <v>49</v>
      </c>
      <c r="K2030" s="212"/>
      <c r="L2030" s="196"/>
      <c r="M2030" s="212"/>
      <c r="N2030" s="212"/>
      <c r="O2030" s="213"/>
      <c r="P2030" s="213"/>
      <c r="Q2030" s="132"/>
      <c r="R2030" s="93"/>
      <c r="AK2030"/>
    </row>
    <row r="2031" spans="1:37" s="73" customFormat="1" outlineLevel="1">
      <c r="A2031" s="152"/>
      <c r="B2031" s="188" t="s">
        <v>397</v>
      </c>
      <c r="C2031" s="500" t="s">
        <v>863</v>
      </c>
      <c r="D2031" s="190">
        <v>13660741001</v>
      </c>
      <c r="E2031" s="188">
        <v>14563341001</v>
      </c>
      <c r="F2031" s="210" t="s">
        <v>1651</v>
      </c>
      <c r="G2031" s="455"/>
      <c r="H2031" s="190" t="s">
        <v>65</v>
      </c>
      <c r="I2031" s="190">
        <v>5</v>
      </c>
      <c r="J2031" s="212" t="s">
        <v>49</v>
      </c>
      <c r="K2031" s="212"/>
      <c r="L2031" s="196"/>
      <c r="M2031" s="212"/>
      <c r="N2031" s="212"/>
      <c r="O2031" s="213"/>
      <c r="P2031" s="213"/>
      <c r="Q2031" s="132"/>
      <c r="R2031" s="93"/>
      <c r="AK2031"/>
    </row>
    <row r="2032" spans="1:37" outlineLevel="1">
      <c r="A2032" s="36"/>
      <c r="B2032" s="486"/>
      <c r="C2032" s="500"/>
      <c r="D2032" s="387"/>
      <c r="E2032" s="188"/>
      <c r="F2032" s="210"/>
      <c r="G2032" s="455"/>
      <c r="H2032" s="190"/>
      <c r="I2032" s="190"/>
      <c r="J2032" s="212"/>
      <c r="K2032" s="212"/>
      <c r="L2032" s="392"/>
      <c r="M2032" s="279"/>
      <c r="N2032" s="279"/>
      <c r="O2032" s="333"/>
      <c r="P2032" s="333"/>
      <c r="Q2032" s="132"/>
      <c r="R2032" s="98"/>
    </row>
    <row r="2033" spans="1:37" s="73" customFormat="1" outlineLevel="1">
      <c r="A2033" s="152"/>
      <c r="B2033" s="225" t="s">
        <v>52</v>
      </c>
      <c r="C2033" s="514" t="s">
        <v>863</v>
      </c>
      <c r="D2033" s="226">
        <v>13660471001</v>
      </c>
      <c r="E2033" s="225">
        <v>14563091001</v>
      </c>
      <c r="F2033" s="227" t="s">
        <v>331</v>
      </c>
      <c r="G2033" s="228"/>
      <c r="H2033" s="226" t="s">
        <v>65</v>
      </c>
      <c r="I2033" s="226">
        <v>1</v>
      </c>
      <c r="J2033" s="229" t="s">
        <v>49</v>
      </c>
      <c r="K2033" s="229"/>
      <c r="L2033" s="517"/>
      <c r="M2033" s="229"/>
      <c r="N2033" s="229"/>
      <c r="O2033" s="230"/>
      <c r="P2033" s="230"/>
      <c r="Q2033" s="132"/>
      <c r="R2033" s="93"/>
      <c r="AK2033"/>
    </row>
    <row r="2034" spans="1:37" s="73" customFormat="1" outlineLevel="1">
      <c r="A2034" s="152"/>
      <c r="B2034" s="225" t="s">
        <v>52</v>
      </c>
      <c r="C2034" s="514" t="s">
        <v>863</v>
      </c>
      <c r="D2034" s="226">
        <v>13660481001</v>
      </c>
      <c r="E2034" s="225">
        <v>14563101001</v>
      </c>
      <c r="F2034" s="227" t="s">
        <v>332</v>
      </c>
      <c r="G2034" s="228"/>
      <c r="H2034" s="226" t="s">
        <v>65</v>
      </c>
      <c r="I2034" s="226">
        <v>1</v>
      </c>
      <c r="J2034" s="229" t="s">
        <v>49</v>
      </c>
      <c r="K2034" s="229"/>
      <c r="L2034" s="517"/>
      <c r="M2034" s="229"/>
      <c r="N2034" s="229"/>
      <c r="O2034" s="230"/>
      <c r="P2034" s="230"/>
      <c r="Q2034" s="132"/>
      <c r="R2034" s="93"/>
      <c r="AK2034"/>
    </row>
    <row r="2035" spans="1:37" outlineLevel="1">
      <c r="A2035" s="36"/>
      <c r="B2035" s="486"/>
      <c r="C2035" s="500"/>
      <c r="D2035" s="387"/>
      <c r="E2035" s="188"/>
      <c r="F2035" s="210"/>
      <c r="G2035" s="211"/>
      <c r="H2035" s="190"/>
      <c r="I2035" s="190"/>
      <c r="J2035" s="212"/>
      <c r="K2035" s="212"/>
      <c r="L2035" s="392"/>
      <c r="M2035" s="279"/>
      <c r="N2035" s="279"/>
      <c r="O2035" s="333"/>
      <c r="P2035" s="333"/>
      <c r="Q2035" s="132"/>
      <c r="R2035" s="98"/>
    </row>
    <row r="2036" spans="1:37" s="73" customFormat="1" outlineLevel="1">
      <c r="A2036" s="152"/>
      <c r="B2036" s="188" t="s">
        <v>397</v>
      </c>
      <c r="C2036" s="500" t="s">
        <v>863</v>
      </c>
      <c r="D2036" s="190">
        <v>13660011001</v>
      </c>
      <c r="E2036" s="188">
        <v>14562801001</v>
      </c>
      <c r="F2036" s="210" t="s">
        <v>1652</v>
      </c>
      <c r="G2036" s="211"/>
      <c r="H2036" s="190" t="s">
        <v>65</v>
      </c>
      <c r="I2036" s="190">
        <v>1</v>
      </c>
      <c r="J2036" s="212" t="s">
        <v>49</v>
      </c>
      <c r="K2036" s="212"/>
      <c r="L2036" s="196"/>
      <c r="M2036" s="212"/>
      <c r="N2036" s="212"/>
      <c r="O2036" s="213"/>
      <c r="P2036" s="213"/>
      <c r="Q2036" s="132"/>
      <c r="R2036" s="93"/>
      <c r="AK2036"/>
    </row>
    <row r="2037" spans="1:37" s="73" customFormat="1" outlineLevel="1">
      <c r="A2037" s="152"/>
      <c r="B2037" s="188" t="s">
        <v>397</v>
      </c>
      <c r="C2037" s="500" t="s">
        <v>863</v>
      </c>
      <c r="D2037" s="190">
        <v>13660021001</v>
      </c>
      <c r="E2037" s="188">
        <v>14562811001</v>
      </c>
      <c r="F2037" s="210" t="s">
        <v>1653</v>
      </c>
      <c r="G2037" s="211"/>
      <c r="H2037" s="190" t="s">
        <v>65</v>
      </c>
      <c r="I2037" s="190">
        <v>1</v>
      </c>
      <c r="J2037" s="212" t="s">
        <v>49</v>
      </c>
      <c r="K2037" s="212"/>
      <c r="L2037" s="196"/>
      <c r="M2037" s="212"/>
      <c r="N2037" s="212"/>
      <c r="O2037" s="213"/>
      <c r="P2037" s="213"/>
      <c r="Q2037" s="132"/>
      <c r="R2037" s="93"/>
      <c r="AK2037"/>
    </row>
    <row r="2038" spans="1:37" outlineLevel="1">
      <c r="A2038" s="36"/>
      <c r="B2038" s="486"/>
      <c r="C2038" s="500"/>
      <c r="D2038" s="387"/>
      <c r="E2038" s="188"/>
      <c r="F2038" s="210"/>
      <c r="G2038" s="211"/>
      <c r="H2038" s="190"/>
      <c r="I2038" s="190"/>
      <c r="J2038" s="212"/>
      <c r="K2038" s="212"/>
      <c r="L2038" s="392"/>
      <c r="M2038" s="279"/>
      <c r="N2038" s="279"/>
      <c r="O2038" s="333"/>
      <c r="P2038" s="333"/>
      <c r="Q2038" s="132"/>
      <c r="R2038" s="94"/>
    </row>
    <row r="2039" spans="1:37" s="73" customFormat="1" outlineLevel="1">
      <c r="A2039" s="152"/>
      <c r="B2039" s="188" t="s">
        <v>397</v>
      </c>
      <c r="C2039" s="500" t="s">
        <v>863</v>
      </c>
      <c r="D2039" s="190">
        <v>13660031001</v>
      </c>
      <c r="E2039" s="188">
        <v>14562821001</v>
      </c>
      <c r="F2039" s="210" t="s">
        <v>1654</v>
      </c>
      <c r="G2039" s="455"/>
      <c r="H2039" s="190" t="s">
        <v>65</v>
      </c>
      <c r="I2039" s="190">
        <v>1</v>
      </c>
      <c r="J2039" s="212" t="s">
        <v>49</v>
      </c>
      <c r="K2039" s="212"/>
      <c r="L2039" s="196"/>
      <c r="M2039" s="212"/>
      <c r="N2039" s="212"/>
      <c r="O2039" s="213"/>
      <c r="P2039" s="213"/>
      <c r="Q2039" s="132"/>
      <c r="R2039" s="93"/>
      <c r="AK2039"/>
    </row>
    <row r="2040" spans="1:37" s="73" customFormat="1" outlineLevel="1">
      <c r="A2040" s="152"/>
      <c r="B2040" s="188" t="s">
        <v>397</v>
      </c>
      <c r="C2040" s="500" t="s">
        <v>863</v>
      </c>
      <c r="D2040" s="190">
        <v>13660041001</v>
      </c>
      <c r="E2040" s="188">
        <v>14562831001</v>
      </c>
      <c r="F2040" s="210" t="s">
        <v>1655</v>
      </c>
      <c r="G2040" s="455"/>
      <c r="H2040" s="190" t="s">
        <v>65</v>
      </c>
      <c r="I2040" s="190">
        <v>1</v>
      </c>
      <c r="J2040" s="212" t="s">
        <v>49</v>
      </c>
      <c r="K2040" s="212"/>
      <c r="L2040" s="196"/>
      <c r="M2040" s="212"/>
      <c r="N2040" s="212"/>
      <c r="O2040" s="213"/>
      <c r="P2040" s="213"/>
      <c r="Q2040" s="132"/>
      <c r="R2040" s="93"/>
      <c r="AK2040"/>
    </row>
    <row r="2041" spans="1:37" s="73" customFormat="1" outlineLevel="1">
      <c r="A2041" s="152"/>
      <c r="B2041" s="188" t="s">
        <v>397</v>
      </c>
      <c r="C2041" s="500" t="s">
        <v>863</v>
      </c>
      <c r="D2041" s="190">
        <v>13660051001</v>
      </c>
      <c r="E2041" s="188">
        <v>14562841001</v>
      </c>
      <c r="F2041" s="210" t="s">
        <v>122</v>
      </c>
      <c r="G2041" s="455"/>
      <c r="H2041" s="190" t="s">
        <v>65</v>
      </c>
      <c r="I2041" s="190">
        <v>1</v>
      </c>
      <c r="J2041" s="212" t="s">
        <v>49</v>
      </c>
      <c r="K2041" s="212"/>
      <c r="L2041" s="196"/>
      <c r="M2041" s="212"/>
      <c r="N2041" s="212"/>
      <c r="O2041" s="213"/>
      <c r="P2041" s="213"/>
      <c r="Q2041" s="132"/>
      <c r="R2041" s="93"/>
      <c r="AK2041"/>
    </row>
    <row r="2042" spans="1:37" s="73" customFormat="1" outlineLevel="1">
      <c r="A2042" s="152"/>
      <c r="B2042" s="188" t="s">
        <v>397</v>
      </c>
      <c r="C2042" s="500" t="s">
        <v>863</v>
      </c>
      <c r="D2042" s="190">
        <v>13660061001</v>
      </c>
      <c r="E2042" s="188">
        <v>14562851001</v>
      </c>
      <c r="F2042" s="210" t="s">
        <v>1656</v>
      </c>
      <c r="G2042" s="455"/>
      <c r="H2042" s="190" t="s">
        <v>65</v>
      </c>
      <c r="I2042" s="190">
        <v>1</v>
      </c>
      <c r="J2042" s="212" t="s">
        <v>49</v>
      </c>
      <c r="K2042" s="212"/>
      <c r="L2042" s="196"/>
      <c r="M2042" s="212"/>
      <c r="N2042" s="212"/>
      <c r="O2042" s="213"/>
      <c r="P2042" s="213"/>
      <c r="Q2042" s="132"/>
      <c r="R2042" s="93"/>
      <c r="AK2042"/>
    </row>
    <row r="2043" spans="1:37" s="73" customFormat="1" outlineLevel="1">
      <c r="A2043" s="152"/>
      <c r="B2043" s="188" t="s">
        <v>397</v>
      </c>
      <c r="C2043" s="500" t="s">
        <v>863</v>
      </c>
      <c r="D2043" s="190">
        <v>13660081001</v>
      </c>
      <c r="E2043" s="188">
        <v>14562861001</v>
      </c>
      <c r="F2043" s="210" t="s">
        <v>123</v>
      </c>
      <c r="G2043" s="455"/>
      <c r="H2043" s="190" t="s">
        <v>65</v>
      </c>
      <c r="I2043" s="190">
        <v>1</v>
      </c>
      <c r="J2043" s="212" t="s">
        <v>49</v>
      </c>
      <c r="K2043" s="212"/>
      <c r="L2043" s="196"/>
      <c r="M2043" s="212"/>
      <c r="N2043" s="212"/>
      <c r="O2043" s="213"/>
      <c r="P2043" s="213"/>
      <c r="Q2043" s="132"/>
      <c r="R2043" s="93"/>
      <c r="AK2043"/>
    </row>
    <row r="2044" spans="1:37" s="73" customFormat="1" outlineLevel="1">
      <c r="A2044" s="152"/>
      <c r="B2044" s="188" t="s">
        <v>397</v>
      </c>
      <c r="C2044" s="500" t="s">
        <v>863</v>
      </c>
      <c r="D2044" s="190">
        <v>13660091001</v>
      </c>
      <c r="E2044" s="188">
        <v>14562871001</v>
      </c>
      <c r="F2044" s="210" t="s">
        <v>1657</v>
      </c>
      <c r="G2044" s="455"/>
      <c r="H2044" s="190" t="s">
        <v>65</v>
      </c>
      <c r="I2044" s="190">
        <v>1</v>
      </c>
      <c r="J2044" s="212" t="s">
        <v>49</v>
      </c>
      <c r="K2044" s="212"/>
      <c r="L2044" s="196"/>
      <c r="M2044" s="212"/>
      <c r="N2044" s="212"/>
      <c r="O2044" s="213"/>
      <c r="P2044" s="213"/>
      <c r="Q2044" s="132"/>
      <c r="R2044" s="98"/>
      <c r="AK2044"/>
    </row>
    <row r="2045" spans="1:37" s="73" customFormat="1" outlineLevel="1">
      <c r="A2045" s="152"/>
      <c r="B2045" s="188" t="s">
        <v>397</v>
      </c>
      <c r="C2045" s="500" t="s">
        <v>863</v>
      </c>
      <c r="D2045" s="190">
        <v>13660101001</v>
      </c>
      <c r="E2045" s="188">
        <v>14562881001</v>
      </c>
      <c r="F2045" s="210" t="s">
        <v>124</v>
      </c>
      <c r="G2045" s="455"/>
      <c r="H2045" s="190" t="s">
        <v>65</v>
      </c>
      <c r="I2045" s="190">
        <v>1</v>
      </c>
      <c r="J2045" s="212" t="s">
        <v>49</v>
      </c>
      <c r="K2045" s="212"/>
      <c r="L2045" s="196"/>
      <c r="M2045" s="212"/>
      <c r="N2045" s="212"/>
      <c r="O2045" s="213"/>
      <c r="P2045" s="213"/>
      <c r="Q2045" s="132"/>
      <c r="R2045" s="93"/>
      <c r="AK2045"/>
    </row>
    <row r="2046" spans="1:37" s="73" customFormat="1" outlineLevel="1">
      <c r="A2046" s="152"/>
      <c r="B2046" s="188" t="s">
        <v>397</v>
      </c>
      <c r="C2046" s="500" t="s">
        <v>863</v>
      </c>
      <c r="D2046" s="190">
        <v>13660111001</v>
      </c>
      <c r="E2046" s="188">
        <v>14562891001</v>
      </c>
      <c r="F2046" s="210" t="s">
        <v>125</v>
      </c>
      <c r="G2046" s="455"/>
      <c r="H2046" s="190" t="s">
        <v>65</v>
      </c>
      <c r="I2046" s="190">
        <v>1</v>
      </c>
      <c r="J2046" s="212" t="s">
        <v>49</v>
      </c>
      <c r="K2046" s="212"/>
      <c r="L2046" s="196"/>
      <c r="M2046" s="212"/>
      <c r="N2046" s="212"/>
      <c r="O2046" s="213"/>
      <c r="P2046" s="213"/>
      <c r="Q2046" s="132"/>
      <c r="R2046" s="98"/>
      <c r="AK2046"/>
    </row>
    <row r="2047" spans="1:37" outlineLevel="1">
      <c r="A2047" s="36"/>
      <c r="B2047" s="486"/>
      <c r="C2047" s="500"/>
      <c r="D2047" s="387"/>
      <c r="E2047" s="188"/>
      <c r="F2047" s="210"/>
      <c r="G2047" s="455"/>
      <c r="H2047" s="190"/>
      <c r="I2047" s="190"/>
      <c r="J2047" s="212"/>
      <c r="K2047" s="212"/>
      <c r="L2047" s="392"/>
      <c r="M2047" s="279"/>
      <c r="N2047" s="279"/>
      <c r="O2047" s="333"/>
      <c r="P2047" s="333"/>
      <c r="Q2047" s="132"/>
      <c r="R2047" s="94"/>
    </row>
    <row r="2048" spans="1:37" s="73" customFormat="1" outlineLevel="1">
      <c r="A2048" s="152"/>
      <c r="B2048" s="188" t="s">
        <v>397</v>
      </c>
      <c r="C2048" s="500" t="s">
        <v>863</v>
      </c>
      <c r="D2048" s="190">
        <v>13660121001</v>
      </c>
      <c r="E2048" s="188">
        <v>14562901001</v>
      </c>
      <c r="F2048" s="210" t="s">
        <v>167</v>
      </c>
      <c r="G2048" s="455"/>
      <c r="H2048" s="190" t="s">
        <v>65</v>
      </c>
      <c r="I2048" s="190">
        <v>1</v>
      </c>
      <c r="J2048" s="212" t="s">
        <v>49</v>
      </c>
      <c r="K2048" s="212"/>
      <c r="L2048" s="196"/>
      <c r="M2048" s="212"/>
      <c r="N2048" s="212"/>
      <c r="O2048" s="213"/>
      <c r="P2048" s="213"/>
      <c r="Q2048" s="132"/>
      <c r="R2048" s="93"/>
      <c r="AK2048"/>
    </row>
    <row r="2049" spans="1:38" outlineLevel="1">
      <c r="A2049" s="36"/>
      <c r="B2049" s="486"/>
      <c r="C2049" s="500"/>
      <c r="D2049" s="387"/>
      <c r="E2049" s="188"/>
      <c r="F2049" s="210"/>
      <c r="G2049" s="455"/>
      <c r="H2049" s="190"/>
      <c r="I2049" s="190"/>
      <c r="J2049" s="212"/>
      <c r="K2049" s="212"/>
      <c r="L2049" s="392"/>
      <c r="M2049" s="279"/>
      <c r="N2049" s="279"/>
      <c r="O2049" s="333"/>
      <c r="P2049" s="333"/>
      <c r="Q2049" s="132"/>
      <c r="R2049" s="94"/>
      <c r="AL2049" s="74"/>
    </row>
    <row r="2050" spans="1:38" s="73" customFormat="1" outlineLevel="1">
      <c r="A2050" s="152"/>
      <c r="B2050" s="188" t="s">
        <v>397</v>
      </c>
      <c r="C2050" s="500" t="s">
        <v>863</v>
      </c>
      <c r="D2050" s="190">
        <v>13662971001</v>
      </c>
      <c r="E2050" s="188">
        <v>14564141001</v>
      </c>
      <c r="F2050" s="210" t="s">
        <v>1658</v>
      </c>
      <c r="G2050" s="211"/>
      <c r="H2050" s="190" t="s">
        <v>65</v>
      </c>
      <c r="I2050" s="190">
        <v>10</v>
      </c>
      <c r="J2050" s="212" t="s">
        <v>49</v>
      </c>
      <c r="K2050" s="212"/>
      <c r="L2050" s="196"/>
      <c r="M2050" s="212"/>
      <c r="N2050" s="212"/>
      <c r="O2050" s="213"/>
      <c r="P2050" s="213"/>
      <c r="Q2050" s="132"/>
      <c r="R2050" s="93"/>
      <c r="AK2050"/>
    </row>
    <row r="2051" spans="1:38" s="73" customFormat="1" outlineLevel="1">
      <c r="A2051" s="152"/>
      <c r="B2051" s="188" t="s">
        <v>397</v>
      </c>
      <c r="C2051" s="500" t="s">
        <v>863</v>
      </c>
      <c r="D2051" s="190">
        <v>13660201001</v>
      </c>
      <c r="E2051" s="188">
        <v>14562961001</v>
      </c>
      <c r="F2051" s="210" t="s">
        <v>1659</v>
      </c>
      <c r="G2051" s="455"/>
      <c r="H2051" s="387" t="s">
        <v>65</v>
      </c>
      <c r="I2051" s="387">
        <v>10</v>
      </c>
      <c r="J2051" s="212" t="s">
        <v>49</v>
      </c>
      <c r="K2051" s="212"/>
      <c r="L2051" s="196"/>
      <c r="M2051" s="212"/>
      <c r="N2051" s="212"/>
      <c r="O2051" s="213"/>
      <c r="P2051" s="213"/>
      <c r="Q2051" s="132"/>
      <c r="R2051" s="93"/>
      <c r="AK2051"/>
    </row>
    <row r="2052" spans="1:38" s="74" customFormat="1" outlineLevel="1">
      <c r="A2052" s="156"/>
      <c r="B2052" s="225" t="s">
        <v>52</v>
      </c>
      <c r="C2052" s="514" t="s">
        <v>863</v>
      </c>
      <c r="D2052" s="226">
        <v>13660241001</v>
      </c>
      <c r="E2052" s="225">
        <v>14562981001</v>
      </c>
      <c r="F2052" s="227" t="s">
        <v>1660</v>
      </c>
      <c r="G2052" s="228"/>
      <c r="H2052" s="226" t="s">
        <v>65</v>
      </c>
      <c r="I2052" s="226">
        <v>3</v>
      </c>
      <c r="J2052" s="229" t="s">
        <v>49</v>
      </c>
      <c r="K2052" s="229"/>
      <c r="L2052" s="517"/>
      <c r="M2052" s="229"/>
      <c r="N2052" s="229"/>
      <c r="O2052" s="230"/>
      <c r="P2052" s="230"/>
      <c r="Q2052" s="132"/>
      <c r="R2052" s="94"/>
      <c r="AK2052"/>
    </row>
    <row r="2053" spans="1:38" s="73" customFormat="1" outlineLevel="1">
      <c r="A2053" s="152"/>
      <c r="B2053" s="188" t="s">
        <v>397</v>
      </c>
      <c r="C2053" s="500" t="s">
        <v>863</v>
      </c>
      <c r="D2053" s="190">
        <v>13660211001</v>
      </c>
      <c r="E2053" s="188">
        <v>14562971001</v>
      </c>
      <c r="F2053" s="210" t="s">
        <v>195</v>
      </c>
      <c r="G2053" s="455"/>
      <c r="H2053" s="387" t="s">
        <v>65</v>
      </c>
      <c r="I2053" s="387">
        <v>3</v>
      </c>
      <c r="J2053" s="212" t="s">
        <v>49</v>
      </c>
      <c r="K2053" s="212"/>
      <c r="L2053" s="196"/>
      <c r="M2053" s="212"/>
      <c r="N2053" s="212"/>
      <c r="O2053" s="213"/>
      <c r="P2053" s="213"/>
      <c r="Q2053" s="132"/>
      <c r="R2053" s="93"/>
      <c r="AK2053"/>
    </row>
    <row r="2054" spans="1:38" s="74" customFormat="1" outlineLevel="1">
      <c r="A2054" s="156"/>
      <c r="B2054" s="225" t="s">
        <v>52</v>
      </c>
      <c r="C2054" s="514" t="s">
        <v>863</v>
      </c>
      <c r="D2054" s="226">
        <v>13660261001</v>
      </c>
      <c r="E2054" s="225">
        <v>14562991001</v>
      </c>
      <c r="F2054" s="227" t="s">
        <v>1661</v>
      </c>
      <c r="G2054" s="502"/>
      <c r="H2054" s="515" t="s">
        <v>65</v>
      </c>
      <c r="I2054" s="515">
        <v>3</v>
      </c>
      <c r="J2054" s="229" t="s">
        <v>49</v>
      </c>
      <c r="K2054" s="229"/>
      <c r="L2054" s="517"/>
      <c r="M2054" s="229"/>
      <c r="N2054" s="229"/>
      <c r="O2054" s="230"/>
      <c r="P2054" s="230"/>
      <c r="Q2054" s="132"/>
      <c r="R2054" s="123"/>
      <c r="AK2054"/>
    </row>
    <row r="2055" spans="1:38" s="73" customFormat="1" outlineLevel="1">
      <c r="A2055" s="152"/>
      <c r="B2055" s="188" t="s">
        <v>397</v>
      </c>
      <c r="C2055" s="500" t="s">
        <v>863</v>
      </c>
      <c r="D2055" s="190">
        <v>13660281001</v>
      </c>
      <c r="E2055" s="188">
        <v>14563001001</v>
      </c>
      <c r="F2055" s="210" t="s">
        <v>1662</v>
      </c>
      <c r="G2055" s="455"/>
      <c r="H2055" s="190" t="s">
        <v>65</v>
      </c>
      <c r="I2055" s="190">
        <v>1</v>
      </c>
      <c r="J2055" s="212" t="s">
        <v>49</v>
      </c>
      <c r="K2055" s="212"/>
      <c r="L2055" s="196"/>
      <c r="M2055" s="212"/>
      <c r="N2055" s="212"/>
      <c r="O2055" s="213"/>
      <c r="P2055" s="213"/>
      <c r="Q2055" s="132"/>
      <c r="R2055" s="93"/>
      <c r="AK2055"/>
    </row>
    <row r="2056" spans="1:38" s="73" customFormat="1" outlineLevel="1">
      <c r="A2056" s="152"/>
      <c r="B2056" s="225" t="s">
        <v>52</v>
      </c>
      <c r="C2056" s="514" t="s">
        <v>863</v>
      </c>
      <c r="D2056" s="226">
        <v>13660311001</v>
      </c>
      <c r="E2056" s="225">
        <v>14563011001</v>
      </c>
      <c r="F2056" s="227" t="s">
        <v>1663</v>
      </c>
      <c r="G2056" s="502"/>
      <c r="H2056" s="226" t="s">
        <v>65</v>
      </c>
      <c r="I2056" s="226">
        <v>1</v>
      </c>
      <c r="J2056" s="229" t="s">
        <v>49</v>
      </c>
      <c r="K2056" s="229"/>
      <c r="L2056" s="517"/>
      <c r="M2056" s="229"/>
      <c r="N2056" s="229"/>
      <c r="O2056" s="230"/>
      <c r="P2056" s="230"/>
      <c r="Q2056" s="132"/>
      <c r="R2056" s="93"/>
      <c r="AK2056"/>
    </row>
    <row r="2057" spans="1:38" outlineLevel="1">
      <c r="A2057" s="36"/>
      <c r="B2057" s="486"/>
      <c r="C2057" s="500"/>
      <c r="D2057" s="387"/>
      <c r="E2057" s="188"/>
      <c r="F2057" s="210"/>
      <c r="G2057" s="455"/>
      <c r="H2057" s="190"/>
      <c r="I2057" s="190"/>
      <c r="J2057" s="212"/>
      <c r="K2057" s="212"/>
      <c r="L2057" s="392"/>
      <c r="M2057" s="279"/>
      <c r="N2057" s="279"/>
      <c r="O2057" s="333"/>
      <c r="P2057" s="333"/>
      <c r="Q2057" s="132"/>
      <c r="R2057" s="94"/>
    </row>
    <row r="2058" spans="1:38" s="73" customFormat="1" outlineLevel="1">
      <c r="A2058" s="152"/>
      <c r="B2058" s="188" t="s">
        <v>397</v>
      </c>
      <c r="C2058" s="500" t="s">
        <v>863</v>
      </c>
      <c r="D2058" s="537">
        <v>13660891001</v>
      </c>
      <c r="E2058" s="538">
        <v>14563481001</v>
      </c>
      <c r="F2058" s="258" t="s">
        <v>1664</v>
      </c>
      <c r="G2058" s="428"/>
      <c r="H2058" s="248" t="s">
        <v>65</v>
      </c>
      <c r="I2058" s="248">
        <v>10</v>
      </c>
      <c r="J2058" s="212" t="s">
        <v>49</v>
      </c>
      <c r="K2058" s="212"/>
      <c r="L2058" s="196"/>
      <c r="M2058" s="212"/>
      <c r="N2058" s="212"/>
      <c r="O2058" s="213"/>
      <c r="P2058" s="213"/>
      <c r="Q2058" s="132"/>
      <c r="R2058" s="93"/>
      <c r="AK2058"/>
    </row>
    <row r="2059" spans="1:38" s="73" customFormat="1" outlineLevel="1">
      <c r="A2059" s="152"/>
      <c r="B2059" s="188" t="s">
        <v>397</v>
      </c>
      <c r="C2059" s="500" t="s">
        <v>863</v>
      </c>
      <c r="D2059" s="537">
        <v>13660901001</v>
      </c>
      <c r="E2059" s="538">
        <v>14563491001</v>
      </c>
      <c r="F2059" s="210" t="s">
        <v>1665</v>
      </c>
      <c r="G2059" s="211"/>
      <c r="H2059" s="190" t="s">
        <v>65</v>
      </c>
      <c r="I2059" s="190">
        <v>10</v>
      </c>
      <c r="J2059" s="212" t="s">
        <v>49</v>
      </c>
      <c r="K2059" s="212"/>
      <c r="L2059" s="196"/>
      <c r="M2059" s="212"/>
      <c r="N2059" s="212"/>
      <c r="O2059" s="213"/>
      <c r="P2059" s="213"/>
      <c r="Q2059" s="132"/>
      <c r="R2059" s="93"/>
      <c r="AK2059"/>
    </row>
    <row r="2060" spans="1:38" s="73" customFormat="1" outlineLevel="1">
      <c r="A2060" s="152"/>
      <c r="B2060" s="188" t="s">
        <v>397</v>
      </c>
      <c r="C2060" s="500" t="s">
        <v>863</v>
      </c>
      <c r="D2060" s="537">
        <v>13660911001</v>
      </c>
      <c r="E2060" s="538">
        <v>14563501001</v>
      </c>
      <c r="F2060" s="258" t="s">
        <v>1666</v>
      </c>
      <c r="G2060" s="428"/>
      <c r="H2060" s="248" t="s">
        <v>65</v>
      </c>
      <c r="I2060" s="248">
        <v>10</v>
      </c>
      <c r="J2060" s="212" t="s">
        <v>49</v>
      </c>
      <c r="K2060" s="212"/>
      <c r="L2060" s="196"/>
      <c r="M2060" s="212"/>
      <c r="N2060" s="212"/>
      <c r="O2060" s="213"/>
      <c r="P2060" s="213"/>
      <c r="Q2060" s="132"/>
      <c r="R2060" s="96"/>
      <c r="AK2060"/>
    </row>
    <row r="2061" spans="1:38" s="74" customFormat="1" outlineLevel="1">
      <c r="A2061" s="156"/>
      <c r="B2061" s="225" t="s">
        <v>52</v>
      </c>
      <c r="C2061" s="514" t="s">
        <v>863</v>
      </c>
      <c r="D2061" s="539">
        <v>13660921001</v>
      </c>
      <c r="E2061" s="534">
        <v>14563511001</v>
      </c>
      <c r="F2061" s="378" t="s">
        <v>1667</v>
      </c>
      <c r="G2061" s="522"/>
      <c r="H2061" s="358" t="s">
        <v>65</v>
      </c>
      <c r="I2061" s="358">
        <v>3</v>
      </c>
      <c r="J2061" s="229" t="s">
        <v>49</v>
      </c>
      <c r="K2061" s="229"/>
      <c r="L2061" s="517"/>
      <c r="M2061" s="229"/>
      <c r="N2061" s="229"/>
      <c r="O2061" s="230"/>
      <c r="P2061" s="230"/>
      <c r="Q2061" s="132"/>
      <c r="R2061" s="94"/>
      <c r="AK2061"/>
    </row>
    <row r="2062" spans="1:38" s="73" customFormat="1" outlineLevel="1">
      <c r="A2062" s="152"/>
      <c r="B2062" s="188" t="s">
        <v>397</v>
      </c>
      <c r="C2062" s="500" t="s">
        <v>863</v>
      </c>
      <c r="D2062" s="190">
        <v>13660931001</v>
      </c>
      <c r="E2062" s="188">
        <v>14563521001</v>
      </c>
      <c r="F2062" s="258" t="s">
        <v>1668</v>
      </c>
      <c r="G2062" s="428"/>
      <c r="H2062" s="248" t="s">
        <v>65</v>
      </c>
      <c r="I2062" s="248">
        <v>3</v>
      </c>
      <c r="J2062" s="212" t="s">
        <v>49</v>
      </c>
      <c r="K2062" s="212"/>
      <c r="L2062" s="196"/>
      <c r="M2062" s="212"/>
      <c r="N2062" s="212"/>
      <c r="O2062" s="213"/>
      <c r="P2062" s="213"/>
      <c r="Q2062" s="132"/>
      <c r="R2062" s="93"/>
      <c r="AK2062"/>
    </row>
    <row r="2063" spans="1:38" outlineLevel="1">
      <c r="A2063" s="36"/>
      <c r="B2063" s="520"/>
      <c r="C2063" s="500"/>
      <c r="D2063" s="190"/>
      <c r="E2063" s="188"/>
      <c r="F2063" s="258"/>
      <c r="G2063" s="428"/>
      <c r="H2063" s="248"/>
      <c r="I2063" s="248"/>
      <c r="J2063" s="212"/>
      <c r="K2063" s="212"/>
      <c r="L2063" s="392"/>
      <c r="M2063" s="279"/>
      <c r="N2063" s="279"/>
      <c r="O2063" s="333"/>
      <c r="P2063" s="333"/>
      <c r="Q2063" s="132"/>
      <c r="R2063" s="96"/>
    </row>
    <row r="2064" spans="1:38" s="73" customFormat="1" outlineLevel="1">
      <c r="A2064" s="152"/>
      <c r="B2064" s="188" t="s">
        <v>397</v>
      </c>
      <c r="C2064" s="500" t="s">
        <v>863</v>
      </c>
      <c r="D2064" s="540">
        <v>13661081001</v>
      </c>
      <c r="E2064" s="541">
        <v>14563651001</v>
      </c>
      <c r="F2064" s="388" t="s">
        <v>1669</v>
      </c>
      <c r="G2064" s="455"/>
      <c r="H2064" s="387" t="s">
        <v>65</v>
      </c>
      <c r="I2064" s="387">
        <v>10</v>
      </c>
      <c r="J2064" s="212" t="s">
        <v>49</v>
      </c>
      <c r="K2064" s="212"/>
      <c r="L2064" s="196"/>
      <c r="M2064" s="212"/>
      <c r="N2064" s="212"/>
      <c r="O2064" s="213"/>
      <c r="P2064" s="213"/>
      <c r="Q2064" s="132"/>
      <c r="R2064" s="98"/>
      <c r="AK2064"/>
    </row>
    <row r="2065" spans="1:38" s="74" customFormat="1" outlineLevel="1">
      <c r="A2065" s="156"/>
      <c r="B2065" s="225" t="s">
        <v>52</v>
      </c>
      <c r="C2065" s="514" t="s">
        <v>863</v>
      </c>
      <c r="D2065" s="226">
        <v>13661091001</v>
      </c>
      <c r="E2065" s="225">
        <v>14563661001</v>
      </c>
      <c r="F2065" s="227" t="s">
        <v>1670</v>
      </c>
      <c r="G2065" s="228"/>
      <c r="H2065" s="226" t="s">
        <v>65</v>
      </c>
      <c r="I2065" s="226">
        <v>10</v>
      </c>
      <c r="J2065" s="229" t="s">
        <v>49</v>
      </c>
      <c r="K2065" s="229"/>
      <c r="L2065" s="517"/>
      <c r="M2065" s="229"/>
      <c r="N2065" s="229"/>
      <c r="O2065" s="230"/>
      <c r="P2065" s="230"/>
      <c r="Q2065" s="132"/>
      <c r="R2065" s="94"/>
      <c r="AK2065"/>
    </row>
    <row r="2066" spans="1:38" outlineLevel="1">
      <c r="A2066" s="36"/>
      <c r="B2066" s="456"/>
      <c r="C2066" s="500"/>
      <c r="D2066" s="190"/>
      <c r="E2066" s="188"/>
      <c r="F2066" s="210"/>
      <c r="G2066" s="211"/>
      <c r="H2066" s="190"/>
      <c r="I2066" s="190"/>
      <c r="J2066" s="212"/>
      <c r="K2066" s="212"/>
      <c r="L2066" s="392"/>
      <c r="M2066" s="279"/>
      <c r="N2066" s="279"/>
      <c r="O2066" s="333"/>
      <c r="P2066" s="333"/>
      <c r="Q2066" s="132"/>
      <c r="R2066" s="94"/>
      <c r="AL2066" s="74"/>
    </row>
    <row r="2067" spans="1:38" s="73" customFormat="1" outlineLevel="1">
      <c r="A2067" s="152"/>
      <c r="B2067" s="188"/>
      <c r="C2067" s="487" t="s">
        <v>863</v>
      </c>
      <c r="D2067" s="488"/>
      <c r="E2067" s="511"/>
      <c r="F2067" s="490" t="s">
        <v>1671</v>
      </c>
      <c r="G2067" s="491"/>
      <c r="H2067" s="492"/>
      <c r="I2067" s="492"/>
      <c r="J2067" s="418"/>
      <c r="K2067" s="418"/>
      <c r="L2067" s="493"/>
      <c r="M2067" s="494"/>
      <c r="N2067" s="494"/>
      <c r="O2067" s="525"/>
      <c r="P2067" s="493"/>
      <c r="Q2067" s="132"/>
      <c r="R2067" s="94"/>
      <c r="AK2067"/>
      <c r="AL2067" s="74"/>
    </row>
    <row r="2068" spans="1:38" s="74" customFormat="1" outlineLevel="1">
      <c r="A2068" s="156"/>
      <c r="B2068" s="225" t="s">
        <v>52</v>
      </c>
      <c r="C2068" s="514" t="s">
        <v>863</v>
      </c>
      <c r="D2068" s="515"/>
      <c r="E2068" s="225">
        <v>12436331001</v>
      </c>
      <c r="F2068" s="516" t="s">
        <v>1672</v>
      </c>
      <c r="G2068" s="502"/>
      <c r="H2068" s="515" t="s">
        <v>65</v>
      </c>
      <c r="I2068" s="515">
        <v>10</v>
      </c>
      <c r="J2068" s="229" t="s">
        <v>49</v>
      </c>
      <c r="K2068" s="229"/>
      <c r="L2068" s="517"/>
      <c r="M2068" s="229"/>
      <c r="N2068" s="229"/>
      <c r="O2068" s="230"/>
      <c r="P2068" s="230"/>
      <c r="Q2068" s="132"/>
      <c r="R2068" s="97"/>
      <c r="AK2068"/>
      <c r="AL2068"/>
    </row>
    <row r="2069" spans="1:38" s="74" customFormat="1" outlineLevel="1">
      <c r="A2069" s="156"/>
      <c r="B2069" s="225" t="s">
        <v>52</v>
      </c>
      <c r="C2069" s="514" t="s">
        <v>863</v>
      </c>
      <c r="D2069" s="515"/>
      <c r="E2069" s="225">
        <v>12436431001</v>
      </c>
      <c r="F2069" s="516" t="s">
        <v>1673</v>
      </c>
      <c r="G2069" s="502"/>
      <c r="H2069" s="515" t="s">
        <v>65</v>
      </c>
      <c r="I2069" s="515">
        <v>10</v>
      </c>
      <c r="J2069" s="229" t="s">
        <v>49</v>
      </c>
      <c r="K2069" s="229"/>
      <c r="L2069" s="517"/>
      <c r="M2069" s="229"/>
      <c r="N2069" s="229"/>
      <c r="O2069" s="230"/>
      <c r="P2069" s="230"/>
      <c r="Q2069" s="132"/>
      <c r="R2069" s="94"/>
      <c r="AK2069"/>
    </row>
    <row r="2070" spans="1:38" s="74" customFormat="1" outlineLevel="1">
      <c r="A2070" s="156"/>
      <c r="B2070" s="225" t="s">
        <v>52</v>
      </c>
      <c r="C2070" s="514" t="s">
        <v>863</v>
      </c>
      <c r="D2070" s="515"/>
      <c r="E2070" s="225">
        <v>12436531001</v>
      </c>
      <c r="F2070" s="516" t="s">
        <v>1674</v>
      </c>
      <c r="G2070" s="502"/>
      <c r="H2070" s="515" t="s">
        <v>65</v>
      </c>
      <c r="I2070" s="515">
        <v>10</v>
      </c>
      <c r="J2070" s="229" t="s">
        <v>49</v>
      </c>
      <c r="K2070" s="229"/>
      <c r="L2070" s="517"/>
      <c r="M2070" s="229"/>
      <c r="N2070" s="229"/>
      <c r="O2070" s="230"/>
      <c r="P2070" s="230"/>
      <c r="Q2070" s="132"/>
      <c r="R2070" s="94"/>
      <c r="AK2070"/>
    </row>
    <row r="2071" spans="1:38" outlineLevel="1">
      <c r="A2071" s="36"/>
      <c r="B2071" s="456"/>
      <c r="C2071" s="500"/>
      <c r="D2071" s="387"/>
      <c r="E2071" s="188"/>
      <c r="F2071" s="388"/>
      <c r="G2071" s="455"/>
      <c r="H2071" s="387"/>
      <c r="I2071" s="387"/>
      <c r="J2071" s="212"/>
      <c r="K2071" s="212"/>
      <c r="L2071" s="392"/>
      <c r="M2071" s="279"/>
      <c r="N2071" s="279"/>
      <c r="O2071" s="333"/>
      <c r="P2071" s="333"/>
      <c r="Q2071" s="132"/>
      <c r="R2071" s="94"/>
      <c r="AL2071" s="74"/>
    </row>
    <row r="2072" spans="1:38" s="74" customFormat="1" outlineLevel="1">
      <c r="A2072" s="156"/>
      <c r="B2072" s="225" t="s">
        <v>52</v>
      </c>
      <c r="C2072" s="514" t="s">
        <v>863</v>
      </c>
      <c r="D2072" s="515"/>
      <c r="E2072" s="225">
        <v>12436631001</v>
      </c>
      <c r="F2072" s="516" t="s">
        <v>1675</v>
      </c>
      <c r="G2072" s="502"/>
      <c r="H2072" s="515" t="s">
        <v>65</v>
      </c>
      <c r="I2072" s="515">
        <v>10</v>
      </c>
      <c r="J2072" s="229" t="s">
        <v>49</v>
      </c>
      <c r="K2072" s="229"/>
      <c r="L2072" s="517"/>
      <c r="M2072" s="229"/>
      <c r="N2072" s="229"/>
      <c r="O2072" s="230"/>
      <c r="P2072" s="230"/>
      <c r="Q2072" s="132"/>
      <c r="R2072" s="94"/>
      <c r="AK2072"/>
    </row>
    <row r="2073" spans="1:38" s="74" customFormat="1" outlineLevel="1">
      <c r="A2073" s="156"/>
      <c r="B2073" s="225" t="s">
        <v>52</v>
      </c>
      <c r="C2073" s="514" t="s">
        <v>863</v>
      </c>
      <c r="D2073" s="515"/>
      <c r="E2073" s="225">
        <v>12436731001</v>
      </c>
      <c r="F2073" s="516" t="s">
        <v>1676</v>
      </c>
      <c r="G2073" s="502"/>
      <c r="H2073" s="515" t="s">
        <v>65</v>
      </c>
      <c r="I2073" s="515">
        <v>10</v>
      </c>
      <c r="J2073" s="229" t="s">
        <v>49</v>
      </c>
      <c r="K2073" s="229"/>
      <c r="L2073" s="517"/>
      <c r="M2073" s="229"/>
      <c r="N2073" s="229"/>
      <c r="O2073" s="230"/>
      <c r="P2073" s="230"/>
      <c r="Q2073" s="132"/>
      <c r="R2073" s="94"/>
      <c r="AK2073"/>
    </row>
    <row r="2074" spans="1:38" s="74" customFormat="1" outlineLevel="1">
      <c r="A2074" s="156"/>
      <c r="B2074" s="225" t="s">
        <v>52</v>
      </c>
      <c r="C2074" s="514" t="s">
        <v>863</v>
      </c>
      <c r="D2074" s="515"/>
      <c r="E2074" s="225">
        <v>12436831001</v>
      </c>
      <c r="F2074" s="516" t="s">
        <v>1677</v>
      </c>
      <c r="G2074" s="502"/>
      <c r="H2074" s="515" t="s">
        <v>65</v>
      </c>
      <c r="I2074" s="515">
        <v>10</v>
      </c>
      <c r="J2074" s="229" t="s">
        <v>49</v>
      </c>
      <c r="K2074" s="229"/>
      <c r="L2074" s="517"/>
      <c r="M2074" s="229"/>
      <c r="N2074" s="229"/>
      <c r="O2074" s="230"/>
      <c r="P2074" s="230"/>
      <c r="Q2074" s="132"/>
      <c r="R2074" s="94"/>
      <c r="AK2074"/>
    </row>
    <row r="2075" spans="1:38" s="74" customFormat="1" outlineLevel="1">
      <c r="A2075" s="156"/>
      <c r="B2075" s="225" t="s">
        <v>52</v>
      </c>
      <c r="C2075" s="514" t="s">
        <v>863</v>
      </c>
      <c r="D2075" s="515"/>
      <c r="E2075" s="225">
        <v>12436931001</v>
      </c>
      <c r="F2075" s="516" t="s">
        <v>1678</v>
      </c>
      <c r="G2075" s="502"/>
      <c r="H2075" s="515" t="s">
        <v>65</v>
      </c>
      <c r="I2075" s="515">
        <v>10</v>
      </c>
      <c r="J2075" s="229" t="s">
        <v>49</v>
      </c>
      <c r="K2075" s="229"/>
      <c r="L2075" s="517"/>
      <c r="M2075" s="229"/>
      <c r="N2075" s="229"/>
      <c r="O2075" s="230"/>
      <c r="P2075" s="230"/>
      <c r="Q2075" s="132"/>
      <c r="R2075" s="94"/>
      <c r="AK2075"/>
    </row>
    <row r="2076" spans="1:38" s="74" customFormat="1" outlineLevel="1">
      <c r="A2076" s="156"/>
      <c r="B2076" s="225" t="s">
        <v>52</v>
      </c>
      <c r="C2076" s="514" t="s">
        <v>863</v>
      </c>
      <c r="D2076" s="515"/>
      <c r="E2076" s="225">
        <v>12437031001</v>
      </c>
      <c r="F2076" s="516" t="s">
        <v>1679</v>
      </c>
      <c r="G2076" s="502"/>
      <c r="H2076" s="515" t="s">
        <v>65</v>
      </c>
      <c r="I2076" s="515">
        <v>10</v>
      </c>
      <c r="J2076" s="229" t="s">
        <v>49</v>
      </c>
      <c r="K2076" s="229"/>
      <c r="L2076" s="517"/>
      <c r="M2076" s="229"/>
      <c r="N2076" s="229"/>
      <c r="O2076" s="230"/>
      <c r="P2076" s="230"/>
      <c r="Q2076" s="132"/>
      <c r="R2076" s="94"/>
      <c r="AK2076"/>
    </row>
    <row r="2077" spans="1:38" s="74" customFormat="1" outlineLevel="1">
      <c r="A2077" s="156"/>
      <c r="B2077" s="225" t="s">
        <v>52</v>
      </c>
      <c r="C2077" s="514" t="s">
        <v>863</v>
      </c>
      <c r="D2077" s="515"/>
      <c r="E2077" s="225">
        <v>12437131001</v>
      </c>
      <c r="F2077" s="516" t="s">
        <v>1680</v>
      </c>
      <c r="G2077" s="502"/>
      <c r="H2077" s="515" t="s">
        <v>65</v>
      </c>
      <c r="I2077" s="515">
        <v>10</v>
      </c>
      <c r="J2077" s="229" t="s">
        <v>49</v>
      </c>
      <c r="K2077" s="229"/>
      <c r="L2077" s="517"/>
      <c r="M2077" s="229"/>
      <c r="N2077" s="229"/>
      <c r="O2077" s="230"/>
      <c r="P2077" s="230"/>
      <c r="Q2077" s="132"/>
      <c r="R2077" s="97"/>
      <c r="AK2077"/>
      <c r="AL2077"/>
    </row>
    <row r="2078" spans="1:38" s="74" customFormat="1" outlineLevel="1">
      <c r="A2078" s="156"/>
      <c r="B2078" s="225" t="s">
        <v>52</v>
      </c>
      <c r="C2078" s="514" t="s">
        <v>863</v>
      </c>
      <c r="D2078" s="515"/>
      <c r="E2078" s="225">
        <v>12493501001</v>
      </c>
      <c r="F2078" s="516" t="s">
        <v>1681</v>
      </c>
      <c r="G2078" s="502"/>
      <c r="H2078" s="515" t="s">
        <v>65</v>
      </c>
      <c r="I2078" s="515">
        <v>10</v>
      </c>
      <c r="J2078" s="229" t="s">
        <v>49</v>
      </c>
      <c r="K2078" s="229"/>
      <c r="L2078" s="517"/>
      <c r="M2078" s="229"/>
      <c r="N2078" s="229"/>
      <c r="O2078" s="230"/>
      <c r="P2078" s="230"/>
      <c r="Q2078" s="132"/>
      <c r="R2078" s="94"/>
      <c r="AK2078"/>
    </row>
    <row r="2079" spans="1:38" s="74" customFormat="1" outlineLevel="1">
      <c r="A2079" s="156"/>
      <c r="B2079" s="225" t="s">
        <v>52</v>
      </c>
      <c r="C2079" s="514" t="s">
        <v>863</v>
      </c>
      <c r="D2079" s="515"/>
      <c r="E2079" s="225">
        <v>12437231001</v>
      </c>
      <c r="F2079" s="516" t="s">
        <v>1682</v>
      </c>
      <c r="G2079" s="502"/>
      <c r="H2079" s="515" t="s">
        <v>65</v>
      </c>
      <c r="I2079" s="515">
        <v>10</v>
      </c>
      <c r="J2079" s="229" t="s">
        <v>49</v>
      </c>
      <c r="K2079" s="229"/>
      <c r="L2079" s="517"/>
      <c r="M2079" s="229"/>
      <c r="N2079" s="229"/>
      <c r="O2079" s="230"/>
      <c r="P2079" s="230"/>
      <c r="Q2079" s="132"/>
      <c r="R2079" s="97"/>
      <c r="AK2079"/>
      <c r="AL2079"/>
    </row>
    <row r="2080" spans="1:38" outlineLevel="1">
      <c r="A2080" s="36"/>
      <c r="B2080" s="456"/>
      <c r="C2080" s="500"/>
      <c r="D2080" s="387"/>
      <c r="E2080" s="188"/>
      <c r="F2080" s="388"/>
      <c r="G2080" s="455"/>
      <c r="H2080" s="387"/>
      <c r="I2080" s="387"/>
      <c r="J2080" s="212"/>
      <c r="K2080" s="212"/>
      <c r="L2080" s="392"/>
      <c r="M2080" s="279"/>
      <c r="N2080" s="279"/>
      <c r="O2080" s="333"/>
      <c r="P2080" s="333"/>
      <c r="Q2080" s="132"/>
      <c r="R2080" s="98"/>
      <c r="AL2080" s="73"/>
    </row>
    <row r="2081" spans="1:38" s="74" customFormat="1" outlineLevel="1">
      <c r="A2081" s="156"/>
      <c r="B2081" s="225" t="s">
        <v>52</v>
      </c>
      <c r="C2081" s="514" t="s">
        <v>863</v>
      </c>
      <c r="D2081" s="515"/>
      <c r="E2081" s="225">
        <v>12437931001</v>
      </c>
      <c r="F2081" s="516" t="s">
        <v>1683</v>
      </c>
      <c r="G2081" s="502"/>
      <c r="H2081" s="515" t="s">
        <v>65</v>
      </c>
      <c r="I2081" s="515">
        <v>10</v>
      </c>
      <c r="J2081" s="229" t="s">
        <v>49</v>
      </c>
      <c r="K2081" s="229"/>
      <c r="L2081" s="517"/>
      <c r="M2081" s="229"/>
      <c r="N2081" s="229"/>
      <c r="O2081" s="230"/>
      <c r="P2081" s="230"/>
      <c r="Q2081" s="132"/>
      <c r="R2081" s="94"/>
      <c r="AK2081"/>
    </row>
    <row r="2082" spans="1:38" outlineLevel="1">
      <c r="A2082" s="36"/>
      <c r="B2082" s="456"/>
      <c r="C2082" s="500"/>
      <c r="D2082" s="387"/>
      <c r="E2082" s="188"/>
      <c r="F2082" s="388"/>
      <c r="G2082" s="455"/>
      <c r="H2082" s="387"/>
      <c r="I2082" s="387"/>
      <c r="J2082" s="212"/>
      <c r="K2082" s="212"/>
      <c r="L2082" s="392"/>
      <c r="M2082" s="279"/>
      <c r="N2082" s="279"/>
      <c r="O2082" s="333"/>
      <c r="P2082" s="333"/>
      <c r="Q2082" s="132"/>
      <c r="R2082" s="94"/>
      <c r="AL2082" s="74"/>
    </row>
    <row r="2083" spans="1:38" s="73" customFormat="1" ht="26.45" outlineLevel="1">
      <c r="A2083" s="152"/>
      <c r="B2083" s="188"/>
      <c r="C2083" s="487" t="s">
        <v>863</v>
      </c>
      <c r="D2083" s="488"/>
      <c r="E2083" s="511"/>
      <c r="F2083" s="490" t="s">
        <v>1684</v>
      </c>
      <c r="G2083" s="491"/>
      <c r="H2083" s="492"/>
      <c r="I2083" s="492"/>
      <c r="J2083" s="418"/>
      <c r="K2083" s="418"/>
      <c r="L2083" s="493"/>
      <c r="M2083" s="494"/>
      <c r="N2083" s="494"/>
      <c r="O2083" s="525"/>
      <c r="P2083" s="493"/>
      <c r="Q2083" s="132"/>
      <c r="R2083" s="94"/>
      <c r="AK2083"/>
      <c r="AL2083" s="74"/>
    </row>
    <row r="2084" spans="1:38" s="74" customFormat="1" outlineLevel="1">
      <c r="A2084" s="156"/>
      <c r="B2084" s="225" t="s">
        <v>52</v>
      </c>
      <c r="C2084" s="514" t="s">
        <v>863</v>
      </c>
      <c r="D2084" s="515"/>
      <c r="E2084" s="225">
        <v>12496671001</v>
      </c>
      <c r="F2084" s="516" t="s">
        <v>1685</v>
      </c>
      <c r="G2084" s="502"/>
      <c r="H2084" s="515" t="s">
        <v>65</v>
      </c>
      <c r="I2084" s="515">
        <v>10</v>
      </c>
      <c r="J2084" s="229" t="s">
        <v>49</v>
      </c>
      <c r="K2084" s="229"/>
      <c r="L2084" s="517"/>
      <c r="M2084" s="229"/>
      <c r="N2084" s="229"/>
      <c r="O2084" s="230"/>
      <c r="P2084" s="230"/>
      <c r="Q2084" s="132"/>
      <c r="R2084" s="94"/>
      <c r="AK2084"/>
    </row>
    <row r="2085" spans="1:38" s="74" customFormat="1" outlineLevel="1">
      <c r="A2085" s="156"/>
      <c r="B2085" s="225" t="s">
        <v>52</v>
      </c>
      <c r="C2085" s="514" t="s">
        <v>863</v>
      </c>
      <c r="D2085" s="515"/>
      <c r="E2085" s="225">
        <v>12496771001</v>
      </c>
      <c r="F2085" s="516" t="s">
        <v>1686</v>
      </c>
      <c r="G2085" s="502"/>
      <c r="H2085" s="515" t="s">
        <v>65</v>
      </c>
      <c r="I2085" s="515">
        <v>10</v>
      </c>
      <c r="J2085" s="229" t="s">
        <v>49</v>
      </c>
      <c r="K2085" s="229"/>
      <c r="L2085" s="517"/>
      <c r="M2085" s="229"/>
      <c r="N2085" s="229"/>
      <c r="O2085" s="230"/>
      <c r="P2085" s="230"/>
      <c r="Q2085" s="132"/>
      <c r="R2085" s="97"/>
      <c r="AK2085"/>
      <c r="AL2085"/>
    </row>
    <row r="2086" spans="1:38" s="74" customFormat="1" outlineLevel="1">
      <c r="A2086" s="156"/>
      <c r="B2086" s="225" t="s">
        <v>52</v>
      </c>
      <c r="C2086" s="514" t="s">
        <v>863</v>
      </c>
      <c r="D2086" s="515"/>
      <c r="E2086" s="225">
        <v>12496871001</v>
      </c>
      <c r="F2086" s="516" t="s">
        <v>1687</v>
      </c>
      <c r="G2086" s="502"/>
      <c r="H2086" s="515" t="s">
        <v>65</v>
      </c>
      <c r="I2086" s="515">
        <v>10</v>
      </c>
      <c r="J2086" s="229" t="s">
        <v>49</v>
      </c>
      <c r="K2086" s="229"/>
      <c r="L2086" s="517"/>
      <c r="M2086" s="229"/>
      <c r="N2086" s="229"/>
      <c r="O2086" s="230"/>
      <c r="P2086" s="230"/>
      <c r="Q2086" s="132"/>
      <c r="R2086" s="94"/>
      <c r="AK2086"/>
    </row>
    <row r="2087" spans="1:38" s="74" customFormat="1" outlineLevel="1">
      <c r="A2087" s="156"/>
      <c r="B2087" s="225" t="s">
        <v>52</v>
      </c>
      <c r="C2087" s="514" t="s">
        <v>863</v>
      </c>
      <c r="D2087" s="515"/>
      <c r="E2087" s="225">
        <v>12496971001</v>
      </c>
      <c r="F2087" s="516" t="s">
        <v>1688</v>
      </c>
      <c r="G2087" s="502"/>
      <c r="H2087" s="515" t="s">
        <v>65</v>
      </c>
      <c r="I2087" s="515">
        <v>10</v>
      </c>
      <c r="J2087" s="229" t="s">
        <v>49</v>
      </c>
      <c r="K2087" s="229"/>
      <c r="L2087" s="517"/>
      <c r="M2087" s="229"/>
      <c r="N2087" s="229"/>
      <c r="O2087" s="230"/>
      <c r="P2087" s="230"/>
      <c r="Q2087" s="132"/>
      <c r="R2087" s="97"/>
      <c r="AK2087"/>
      <c r="AL2087"/>
    </row>
    <row r="2088" spans="1:38" outlineLevel="1">
      <c r="A2088" s="36"/>
      <c r="B2088" s="456"/>
      <c r="C2088" s="500"/>
      <c r="D2088" s="387"/>
      <c r="E2088" s="188"/>
      <c r="F2088" s="388"/>
      <c r="G2088" s="455"/>
      <c r="H2088" s="387"/>
      <c r="I2088" s="387"/>
      <c r="J2088" s="212"/>
      <c r="K2088" s="212"/>
      <c r="L2088" s="392"/>
      <c r="M2088" s="279"/>
      <c r="N2088" s="279"/>
      <c r="O2088" s="333"/>
      <c r="P2088" s="333"/>
      <c r="Q2088" s="132"/>
      <c r="R2088" s="94"/>
      <c r="AL2088" s="74"/>
    </row>
    <row r="2089" spans="1:38" s="74" customFormat="1" outlineLevel="1">
      <c r="A2089" s="156"/>
      <c r="B2089" s="225" t="s">
        <v>52</v>
      </c>
      <c r="C2089" s="514" t="s">
        <v>863</v>
      </c>
      <c r="D2089" s="515"/>
      <c r="E2089" s="225">
        <v>12497071001</v>
      </c>
      <c r="F2089" s="516" t="s">
        <v>1689</v>
      </c>
      <c r="G2089" s="502"/>
      <c r="H2089" s="515" t="s">
        <v>65</v>
      </c>
      <c r="I2089" s="515">
        <v>1</v>
      </c>
      <c r="J2089" s="229" t="s">
        <v>49</v>
      </c>
      <c r="K2089" s="229"/>
      <c r="L2089" s="517"/>
      <c r="M2089" s="229"/>
      <c r="N2089" s="229"/>
      <c r="O2089" s="230"/>
      <c r="P2089" s="230"/>
      <c r="Q2089" s="132"/>
      <c r="R2089" s="97"/>
      <c r="AK2089"/>
      <c r="AL2089"/>
    </row>
    <row r="2090" spans="1:38" outlineLevel="1">
      <c r="A2090" s="36"/>
      <c r="B2090" s="456"/>
      <c r="C2090" s="500"/>
      <c r="D2090" s="387"/>
      <c r="E2090" s="188"/>
      <c r="F2090" s="388"/>
      <c r="G2090" s="455"/>
      <c r="H2090" s="387"/>
      <c r="I2090" s="387"/>
      <c r="J2090" s="212"/>
      <c r="K2090" s="212"/>
      <c r="L2090" s="392"/>
      <c r="M2090" s="279"/>
      <c r="N2090" s="279"/>
      <c r="O2090" s="333"/>
      <c r="P2090" s="333"/>
      <c r="Q2090" s="132"/>
      <c r="R2090" s="94"/>
      <c r="AL2090" s="74"/>
    </row>
    <row r="2091" spans="1:38" s="74" customFormat="1" ht="26.45" outlineLevel="1">
      <c r="A2091" s="156"/>
      <c r="B2091" s="225" t="s">
        <v>52</v>
      </c>
      <c r="C2091" s="514" t="s">
        <v>863</v>
      </c>
      <c r="D2091" s="515"/>
      <c r="E2091" s="225">
        <v>12493801001</v>
      </c>
      <c r="F2091" s="516" t="s">
        <v>1690</v>
      </c>
      <c r="G2091" s="502"/>
      <c r="H2091" s="515" t="s">
        <v>65</v>
      </c>
      <c r="I2091" s="515">
        <v>1</v>
      </c>
      <c r="J2091" s="229" t="s">
        <v>49</v>
      </c>
      <c r="K2091" s="229"/>
      <c r="L2091" s="517"/>
      <c r="M2091" s="229"/>
      <c r="N2091" s="229"/>
      <c r="O2091" s="230"/>
      <c r="P2091" s="230"/>
      <c r="Q2091" s="132"/>
      <c r="R2091" s="97"/>
      <c r="AK2091"/>
      <c r="AL2091"/>
    </row>
    <row r="2092" spans="1:38" outlineLevel="1">
      <c r="A2092" s="36"/>
      <c r="B2092" s="456"/>
      <c r="C2092" s="500"/>
      <c r="D2092" s="387"/>
      <c r="E2092" s="188"/>
      <c r="F2092" s="388"/>
      <c r="G2092" s="455"/>
      <c r="H2092" s="387"/>
      <c r="I2092" s="387"/>
      <c r="J2092" s="212"/>
      <c r="K2092" s="212"/>
      <c r="L2092" s="392"/>
      <c r="M2092" s="279"/>
      <c r="N2092" s="279"/>
      <c r="O2092" s="333"/>
      <c r="P2092" s="333"/>
      <c r="Q2092" s="132"/>
      <c r="R2092" s="94"/>
      <c r="AL2092" s="74"/>
    </row>
    <row r="2093" spans="1:38" s="74" customFormat="1" outlineLevel="1">
      <c r="A2093" s="156"/>
      <c r="B2093" s="225" t="s">
        <v>52</v>
      </c>
      <c r="C2093" s="514" t="s">
        <v>863</v>
      </c>
      <c r="D2093" s="515"/>
      <c r="E2093" s="225">
        <v>12493901001</v>
      </c>
      <c r="F2093" s="516" t="s">
        <v>1691</v>
      </c>
      <c r="G2093" s="502"/>
      <c r="H2093" s="515" t="s">
        <v>65</v>
      </c>
      <c r="I2093" s="515">
        <v>1</v>
      </c>
      <c r="J2093" s="229" t="s">
        <v>49</v>
      </c>
      <c r="K2093" s="229"/>
      <c r="L2093" s="517"/>
      <c r="M2093" s="229"/>
      <c r="N2093" s="229"/>
      <c r="O2093" s="230"/>
      <c r="P2093" s="230"/>
      <c r="Q2093" s="132"/>
      <c r="R2093" s="97"/>
      <c r="AK2093"/>
      <c r="AL2093"/>
    </row>
    <row r="2094" spans="1:38" outlineLevel="1">
      <c r="A2094" s="36"/>
      <c r="B2094" s="456"/>
      <c r="C2094" s="500"/>
      <c r="D2094" s="387"/>
      <c r="E2094" s="188"/>
      <c r="F2094" s="388"/>
      <c r="G2094" s="455"/>
      <c r="H2094" s="387"/>
      <c r="I2094" s="387"/>
      <c r="J2094" s="212"/>
      <c r="K2094" s="212"/>
      <c r="L2094" s="392"/>
      <c r="M2094" s="279"/>
      <c r="N2094" s="279"/>
      <c r="O2094" s="333"/>
      <c r="P2094" s="333"/>
      <c r="Q2094" s="132"/>
      <c r="R2094" s="97"/>
      <c r="AL2094" s="74"/>
    </row>
    <row r="2095" spans="1:38" s="74" customFormat="1" outlineLevel="1">
      <c r="A2095" s="156"/>
      <c r="B2095" s="225" t="s">
        <v>52</v>
      </c>
      <c r="C2095" s="514" t="s">
        <v>863</v>
      </c>
      <c r="D2095" s="515"/>
      <c r="E2095" s="225">
        <v>12494001001</v>
      </c>
      <c r="F2095" s="516" t="s">
        <v>1692</v>
      </c>
      <c r="G2095" s="502"/>
      <c r="H2095" s="515" t="s">
        <v>65</v>
      </c>
      <c r="I2095" s="515">
        <v>1</v>
      </c>
      <c r="J2095" s="229" t="s">
        <v>49</v>
      </c>
      <c r="K2095" s="229"/>
      <c r="L2095" s="517"/>
      <c r="M2095" s="229"/>
      <c r="N2095" s="229"/>
      <c r="O2095" s="230"/>
      <c r="P2095" s="230"/>
      <c r="Q2095" s="132"/>
      <c r="R2095" s="97"/>
      <c r="AK2095"/>
      <c r="AL2095"/>
    </row>
    <row r="2096" spans="1:38" outlineLevel="1">
      <c r="A2096" s="36"/>
      <c r="B2096" s="456"/>
      <c r="C2096" s="500"/>
      <c r="D2096" s="387"/>
      <c r="E2096" s="188"/>
      <c r="F2096" s="388"/>
      <c r="G2096" s="455"/>
      <c r="H2096" s="387"/>
      <c r="I2096" s="387"/>
      <c r="J2096" s="212"/>
      <c r="K2096" s="212"/>
      <c r="L2096" s="392"/>
      <c r="M2096" s="279"/>
      <c r="N2096" s="279"/>
      <c r="O2096" s="333"/>
      <c r="P2096" s="333"/>
      <c r="Q2096" s="132"/>
      <c r="R2096" s="94"/>
      <c r="AL2096" s="74"/>
    </row>
    <row r="2097" spans="1:38" s="74" customFormat="1" outlineLevel="1">
      <c r="A2097" s="156"/>
      <c r="B2097" s="225" t="s">
        <v>52</v>
      </c>
      <c r="C2097" s="514" t="s">
        <v>863</v>
      </c>
      <c r="D2097" s="515"/>
      <c r="E2097" s="225">
        <v>12494101001</v>
      </c>
      <c r="F2097" s="516" t="s">
        <v>1693</v>
      </c>
      <c r="G2097" s="502"/>
      <c r="H2097" s="515" t="s">
        <v>65</v>
      </c>
      <c r="I2097" s="515">
        <v>1</v>
      </c>
      <c r="J2097" s="229" t="s">
        <v>895</v>
      </c>
      <c r="K2097" s="229"/>
      <c r="L2097" s="517"/>
      <c r="M2097" s="229"/>
      <c r="N2097" s="229"/>
      <c r="O2097" s="230"/>
      <c r="P2097" s="230"/>
      <c r="Q2097" s="132"/>
      <c r="R2097" s="94"/>
      <c r="AK2097"/>
    </row>
    <row r="2098" spans="1:38" outlineLevel="1">
      <c r="A2098" s="36"/>
      <c r="B2098" s="520"/>
      <c r="C2098" s="514"/>
      <c r="D2098" s="515"/>
      <c r="E2098" s="225"/>
      <c r="F2098" s="516"/>
      <c r="G2098" s="502"/>
      <c r="H2098" s="515"/>
      <c r="I2098" s="515"/>
      <c r="J2098" s="220"/>
      <c r="K2098" s="220"/>
      <c r="L2098" s="517"/>
      <c r="M2098" s="229"/>
      <c r="N2098" s="229"/>
      <c r="O2098" s="230"/>
      <c r="P2098" s="230"/>
      <c r="Q2098" s="132"/>
      <c r="R2098" s="94"/>
      <c r="AL2098" s="74"/>
    </row>
    <row r="2099" spans="1:38" s="74" customFormat="1" outlineLevel="1">
      <c r="A2099" s="156"/>
      <c r="B2099" s="225" t="s">
        <v>52</v>
      </c>
      <c r="C2099" s="514" t="s">
        <v>863</v>
      </c>
      <c r="D2099" s="515"/>
      <c r="E2099" s="225">
        <v>12497171001</v>
      </c>
      <c r="F2099" s="516" t="s">
        <v>1694</v>
      </c>
      <c r="G2099" s="502"/>
      <c r="H2099" s="515" t="s">
        <v>65</v>
      </c>
      <c r="I2099" s="515">
        <v>10</v>
      </c>
      <c r="J2099" s="229" t="s">
        <v>49</v>
      </c>
      <c r="K2099" s="229"/>
      <c r="L2099" s="517"/>
      <c r="M2099" s="229"/>
      <c r="N2099" s="229"/>
      <c r="O2099" s="230"/>
      <c r="P2099" s="230"/>
      <c r="Q2099" s="132"/>
      <c r="R2099" s="94"/>
      <c r="AK2099"/>
    </row>
    <row r="2100" spans="1:38" s="74" customFormat="1" outlineLevel="1">
      <c r="A2100" s="156"/>
      <c r="B2100" s="225" t="s">
        <v>52</v>
      </c>
      <c r="C2100" s="514" t="s">
        <v>863</v>
      </c>
      <c r="D2100" s="515"/>
      <c r="E2100" s="225">
        <v>12497271001</v>
      </c>
      <c r="F2100" s="516" t="s">
        <v>1695</v>
      </c>
      <c r="G2100" s="502"/>
      <c r="H2100" s="515" t="s">
        <v>65</v>
      </c>
      <c r="I2100" s="515">
        <v>10</v>
      </c>
      <c r="J2100" s="229" t="s">
        <v>49</v>
      </c>
      <c r="K2100" s="229"/>
      <c r="L2100" s="517"/>
      <c r="M2100" s="229"/>
      <c r="N2100" s="229"/>
      <c r="O2100" s="230"/>
      <c r="P2100" s="230"/>
      <c r="Q2100" s="132"/>
      <c r="R2100" s="94"/>
      <c r="AK2100"/>
    </row>
    <row r="2101" spans="1:38" s="74" customFormat="1" outlineLevel="1">
      <c r="A2101" s="156"/>
      <c r="B2101" s="225" t="s">
        <v>52</v>
      </c>
      <c r="C2101" s="514" t="s">
        <v>863</v>
      </c>
      <c r="D2101" s="515"/>
      <c r="E2101" s="225">
        <v>12497371001</v>
      </c>
      <c r="F2101" s="516" t="s">
        <v>1696</v>
      </c>
      <c r="G2101" s="502"/>
      <c r="H2101" s="515" t="s">
        <v>65</v>
      </c>
      <c r="I2101" s="515">
        <v>10</v>
      </c>
      <c r="J2101" s="229" t="s">
        <v>49</v>
      </c>
      <c r="K2101" s="229"/>
      <c r="L2101" s="517"/>
      <c r="M2101" s="229"/>
      <c r="N2101" s="229"/>
      <c r="O2101" s="230"/>
      <c r="P2101" s="230"/>
      <c r="Q2101" s="132"/>
      <c r="R2101" s="97"/>
      <c r="AK2101"/>
      <c r="AL2101"/>
    </row>
    <row r="2102" spans="1:38" s="74" customFormat="1" outlineLevel="1">
      <c r="A2102" s="156"/>
      <c r="B2102" s="225" t="s">
        <v>52</v>
      </c>
      <c r="C2102" s="514" t="s">
        <v>863</v>
      </c>
      <c r="D2102" s="515"/>
      <c r="E2102" s="225">
        <v>12497471001</v>
      </c>
      <c r="F2102" s="516" t="s">
        <v>1697</v>
      </c>
      <c r="G2102" s="502"/>
      <c r="H2102" s="515" t="s">
        <v>65</v>
      </c>
      <c r="I2102" s="515">
        <v>10</v>
      </c>
      <c r="J2102" s="229" t="s">
        <v>49</v>
      </c>
      <c r="K2102" s="229"/>
      <c r="L2102" s="517"/>
      <c r="M2102" s="229"/>
      <c r="N2102" s="229"/>
      <c r="O2102" s="230"/>
      <c r="P2102" s="230"/>
      <c r="Q2102" s="132"/>
      <c r="R2102" s="94"/>
      <c r="AK2102"/>
    </row>
    <row r="2103" spans="1:38" s="74" customFormat="1" outlineLevel="1">
      <c r="A2103" s="156"/>
      <c r="B2103" s="225" t="s">
        <v>52</v>
      </c>
      <c r="C2103" s="514" t="s">
        <v>863</v>
      </c>
      <c r="D2103" s="515"/>
      <c r="E2103" s="225">
        <v>12497571001</v>
      </c>
      <c r="F2103" s="516" t="s">
        <v>1698</v>
      </c>
      <c r="G2103" s="502"/>
      <c r="H2103" s="515" t="s">
        <v>65</v>
      </c>
      <c r="I2103" s="515">
        <v>10</v>
      </c>
      <c r="J2103" s="229" t="s">
        <v>49</v>
      </c>
      <c r="K2103" s="229"/>
      <c r="L2103" s="517"/>
      <c r="M2103" s="229"/>
      <c r="N2103" s="229"/>
      <c r="O2103" s="230"/>
      <c r="P2103" s="230"/>
      <c r="Q2103" s="132"/>
      <c r="R2103" s="94"/>
      <c r="AK2103"/>
    </row>
    <row r="2104" spans="1:38" outlineLevel="1">
      <c r="A2104" s="36"/>
      <c r="B2104" s="456"/>
      <c r="C2104" s="500"/>
      <c r="D2104" s="387"/>
      <c r="E2104" s="188"/>
      <c r="F2104" s="388"/>
      <c r="G2104" s="455"/>
      <c r="H2104" s="387"/>
      <c r="I2104" s="387"/>
      <c r="J2104" s="212"/>
      <c r="K2104" s="212"/>
      <c r="L2104" s="392"/>
      <c r="M2104" s="279"/>
      <c r="N2104" s="279"/>
      <c r="O2104" s="333"/>
      <c r="P2104" s="333"/>
      <c r="Q2104" s="132"/>
      <c r="R2104" s="96"/>
    </row>
    <row r="2105" spans="1:38" s="74" customFormat="1" outlineLevel="1">
      <c r="A2105" s="156"/>
      <c r="B2105" s="225" t="s">
        <v>52</v>
      </c>
      <c r="C2105" s="514" t="s">
        <v>863</v>
      </c>
      <c r="D2105" s="515"/>
      <c r="E2105" s="225">
        <v>12492701001</v>
      </c>
      <c r="F2105" s="516" t="s">
        <v>1699</v>
      </c>
      <c r="G2105" s="502"/>
      <c r="H2105" s="515" t="s">
        <v>65</v>
      </c>
      <c r="I2105" s="515">
        <v>100</v>
      </c>
      <c r="J2105" s="229" t="s">
        <v>49</v>
      </c>
      <c r="K2105" s="229"/>
      <c r="L2105" s="517"/>
      <c r="M2105" s="229"/>
      <c r="N2105" s="229"/>
      <c r="O2105" s="230"/>
      <c r="P2105" s="230"/>
      <c r="Q2105" s="132"/>
      <c r="R2105" s="94"/>
      <c r="AK2105"/>
    </row>
    <row r="2106" spans="1:38" s="74" customFormat="1" outlineLevel="1">
      <c r="A2106" s="156"/>
      <c r="B2106" s="225" t="s">
        <v>52</v>
      </c>
      <c r="C2106" s="514" t="s">
        <v>863</v>
      </c>
      <c r="D2106" s="515"/>
      <c r="E2106" s="225">
        <v>12492801001</v>
      </c>
      <c r="F2106" s="516" t="s">
        <v>1700</v>
      </c>
      <c r="G2106" s="502"/>
      <c r="H2106" s="515" t="s">
        <v>65</v>
      </c>
      <c r="I2106" s="515">
        <v>100</v>
      </c>
      <c r="J2106" s="229" t="s">
        <v>49</v>
      </c>
      <c r="K2106" s="229"/>
      <c r="L2106" s="517"/>
      <c r="M2106" s="229"/>
      <c r="N2106" s="229"/>
      <c r="O2106" s="230"/>
      <c r="P2106" s="230"/>
      <c r="Q2106" s="132"/>
      <c r="R2106" s="97"/>
      <c r="AK2106"/>
      <c r="AL2106"/>
    </row>
    <row r="2107" spans="1:38" outlineLevel="1">
      <c r="A2107" s="36"/>
      <c r="B2107" s="456"/>
      <c r="C2107" s="500"/>
      <c r="D2107" s="387"/>
      <c r="E2107" s="188"/>
      <c r="F2107" s="388"/>
      <c r="G2107" s="455"/>
      <c r="H2107" s="387"/>
      <c r="I2107" s="387"/>
      <c r="J2107" s="212"/>
      <c r="K2107" s="212"/>
      <c r="L2107" s="392"/>
      <c r="M2107" s="279"/>
      <c r="N2107" s="279"/>
      <c r="O2107" s="333"/>
      <c r="P2107" s="333"/>
      <c r="Q2107" s="132"/>
      <c r="R2107" s="94"/>
      <c r="AL2107" s="74"/>
    </row>
    <row r="2108" spans="1:38" s="74" customFormat="1" outlineLevel="1">
      <c r="A2108" s="156"/>
      <c r="B2108" s="225" t="s">
        <v>52</v>
      </c>
      <c r="C2108" s="514" t="s">
        <v>863</v>
      </c>
      <c r="D2108" s="515"/>
      <c r="E2108" s="225">
        <v>12492601001</v>
      </c>
      <c r="F2108" s="516" t="s">
        <v>1701</v>
      </c>
      <c r="G2108" s="502"/>
      <c r="H2108" s="515" t="s">
        <v>65</v>
      </c>
      <c r="I2108" s="515">
        <v>1</v>
      </c>
      <c r="J2108" s="229" t="s">
        <v>49</v>
      </c>
      <c r="K2108" s="229"/>
      <c r="L2108" s="517"/>
      <c r="M2108" s="229"/>
      <c r="N2108" s="229"/>
      <c r="O2108" s="230"/>
      <c r="P2108" s="230"/>
      <c r="Q2108" s="132"/>
      <c r="R2108" s="94"/>
      <c r="AK2108"/>
    </row>
    <row r="2109" spans="1:38" outlineLevel="1">
      <c r="A2109" s="36"/>
      <c r="B2109" s="456"/>
      <c r="C2109" s="500"/>
      <c r="D2109" s="387"/>
      <c r="E2109" s="188"/>
      <c r="F2109" s="388"/>
      <c r="G2109" s="455"/>
      <c r="H2109" s="387"/>
      <c r="I2109" s="387"/>
      <c r="J2109" s="212"/>
      <c r="K2109" s="212"/>
      <c r="L2109" s="392"/>
      <c r="M2109" s="279"/>
      <c r="N2109" s="279"/>
      <c r="O2109" s="333"/>
      <c r="P2109" s="333"/>
      <c r="Q2109" s="132"/>
      <c r="R2109" s="96"/>
    </row>
    <row r="2110" spans="1:38" s="74" customFormat="1" outlineLevel="1">
      <c r="A2110" s="156"/>
      <c r="B2110" s="225" t="s">
        <v>52</v>
      </c>
      <c r="C2110" s="514" t="s">
        <v>863</v>
      </c>
      <c r="D2110" s="515"/>
      <c r="E2110" s="225">
        <v>10285611002</v>
      </c>
      <c r="F2110" s="516" t="s">
        <v>1702</v>
      </c>
      <c r="G2110" s="502"/>
      <c r="H2110" s="515" t="s">
        <v>28</v>
      </c>
      <c r="I2110" s="515">
        <v>150</v>
      </c>
      <c r="J2110" s="517" t="s">
        <v>49</v>
      </c>
      <c r="K2110" s="517"/>
      <c r="L2110" s="517"/>
      <c r="M2110" s="229"/>
      <c r="N2110" s="229"/>
      <c r="O2110" s="230"/>
      <c r="P2110" s="230"/>
      <c r="Q2110" s="132"/>
      <c r="R2110" s="94"/>
      <c r="AK2110"/>
    </row>
    <row r="2111" spans="1:38" s="74" customFormat="1" outlineLevel="1">
      <c r="A2111" s="156"/>
      <c r="B2111" s="225" t="s">
        <v>52</v>
      </c>
      <c r="C2111" s="514" t="s">
        <v>863</v>
      </c>
      <c r="D2111" s="515"/>
      <c r="E2111" s="225">
        <v>10286011002</v>
      </c>
      <c r="F2111" s="516" t="s">
        <v>1703</v>
      </c>
      <c r="G2111" s="502"/>
      <c r="H2111" s="515" t="s">
        <v>28</v>
      </c>
      <c r="I2111" s="515">
        <v>100</v>
      </c>
      <c r="J2111" s="517" t="s">
        <v>49</v>
      </c>
      <c r="K2111" s="517"/>
      <c r="L2111" s="517"/>
      <c r="M2111" s="229"/>
      <c r="N2111" s="229"/>
      <c r="O2111" s="230"/>
      <c r="P2111" s="230"/>
      <c r="Q2111" s="132"/>
      <c r="R2111" s="97"/>
      <c r="AK2111"/>
      <c r="AL2111"/>
    </row>
    <row r="2112" spans="1:38" outlineLevel="1">
      <c r="A2112" s="36"/>
      <c r="B2112" s="456"/>
      <c r="C2112" s="500"/>
      <c r="D2112" s="387"/>
      <c r="E2112" s="188"/>
      <c r="F2112" s="388"/>
      <c r="G2112" s="455"/>
      <c r="H2112" s="387"/>
      <c r="I2112" s="387"/>
      <c r="J2112" s="212"/>
      <c r="K2112" s="212"/>
      <c r="L2112" s="392"/>
      <c r="M2112" s="279"/>
      <c r="N2112" s="279"/>
      <c r="O2112" s="333"/>
      <c r="P2112" s="333"/>
      <c r="Q2112" s="132"/>
      <c r="R2112" s="93"/>
      <c r="AL2112" s="73"/>
    </row>
    <row r="2113" spans="1:38" s="74" customFormat="1" outlineLevel="1">
      <c r="A2113" s="156"/>
      <c r="B2113" s="225" t="s">
        <v>52</v>
      </c>
      <c r="C2113" s="514" t="s">
        <v>863</v>
      </c>
      <c r="D2113" s="515"/>
      <c r="E2113" s="225">
        <v>12496571001</v>
      </c>
      <c r="F2113" s="516" t="s">
        <v>1704</v>
      </c>
      <c r="G2113" s="502"/>
      <c r="H2113" s="515" t="s">
        <v>65</v>
      </c>
      <c r="I2113" s="515">
        <v>10</v>
      </c>
      <c r="J2113" s="229" t="s">
        <v>49</v>
      </c>
      <c r="K2113" s="229"/>
      <c r="L2113" s="517"/>
      <c r="M2113" s="229"/>
      <c r="N2113" s="229"/>
      <c r="O2113" s="230"/>
      <c r="P2113" s="230"/>
      <c r="Q2113" s="132"/>
      <c r="R2113" s="102"/>
      <c r="AK2113"/>
      <c r="AL2113" s="73"/>
    </row>
    <row r="2114" spans="1:38" outlineLevel="1">
      <c r="A2114" s="36"/>
      <c r="B2114" s="456"/>
      <c r="C2114" s="500"/>
      <c r="D2114" s="387"/>
      <c r="E2114" s="188"/>
      <c r="F2114" s="388"/>
      <c r="G2114" s="455"/>
      <c r="H2114" s="387"/>
      <c r="I2114" s="387"/>
      <c r="J2114" s="212"/>
      <c r="K2114" s="212"/>
      <c r="L2114" s="392"/>
      <c r="M2114" s="279"/>
      <c r="N2114" s="279"/>
      <c r="O2114" s="333"/>
      <c r="P2114" s="333"/>
      <c r="Q2114" s="132"/>
      <c r="R2114" s="95"/>
      <c r="AL2114" s="73"/>
    </row>
    <row r="2115" spans="1:38" ht="4.9000000000000004" customHeight="1">
      <c r="B2115" s="11"/>
      <c r="C2115" s="22"/>
      <c r="D2115" s="22"/>
      <c r="E2115" s="11"/>
      <c r="F2115" s="120"/>
      <c r="G2115" s="63"/>
      <c r="H2115" s="22"/>
      <c r="I2115" s="22"/>
      <c r="J2115" s="64"/>
      <c r="K2115" s="64"/>
      <c r="L2115" s="64"/>
      <c r="M2115" s="65"/>
      <c r="N2115" s="65"/>
      <c r="O2115" s="64"/>
      <c r="P2115" s="64"/>
    </row>
    <row r="2116" spans="1:38" ht="4.9000000000000004" customHeight="1">
      <c r="B2116" s="11"/>
      <c r="C2116" s="16"/>
      <c r="D2116" s="22"/>
      <c r="E2116" s="11"/>
      <c r="F2116" s="39"/>
      <c r="G2116" s="23"/>
      <c r="H2116" s="22"/>
      <c r="I2116" s="22"/>
      <c r="J2116" s="23"/>
      <c r="K2116" s="23"/>
      <c r="L2116" s="23"/>
      <c r="M2116" s="45"/>
      <c r="N2116" s="45"/>
      <c r="O2116" s="23"/>
      <c r="P2116" s="26"/>
    </row>
    <row r="2117" spans="1:38" ht="18" customHeight="1">
      <c r="B2117" s="115"/>
      <c r="C2117" s="116"/>
      <c r="D2117" s="116"/>
      <c r="E2117" s="115"/>
      <c r="F2117" s="121"/>
      <c r="G2117" s="64"/>
      <c r="H2117" s="116"/>
      <c r="I2117" s="116"/>
      <c r="J2117" s="117"/>
      <c r="K2117" s="117" t="s">
        <v>1705</v>
      </c>
      <c r="L2117" s="117">
        <f>SUBTOTAL(9,L17:L2114)</f>
        <v>0</v>
      </c>
      <c r="M2117" s="118"/>
      <c r="N2117" s="119">
        <f>SUBTOTAL(9,N17:N2114)</f>
        <v>0</v>
      </c>
      <c r="O2117" s="117" t="s">
        <v>1705</v>
      </c>
      <c r="P2117" s="117">
        <f>SUBTOTAL(9,P17:P2114)</f>
        <v>0</v>
      </c>
    </row>
    <row r="2118" spans="1:38">
      <c r="B2118" s="11"/>
      <c r="C2118" s="16"/>
      <c r="D2118" s="22"/>
      <c r="E2118" s="11"/>
      <c r="F2118" s="39"/>
      <c r="G2118" s="45"/>
      <c r="H2118" s="22"/>
      <c r="I2118" s="22"/>
      <c r="J2118" s="26"/>
      <c r="K2118" s="26"/>
      <c r="L2118" s="26"/>
      <c r="M2118" s="45"/>
      <c r="N2118" s="45"/>
      <c r="O2118" s="23"/>
      <c r="P2118" s="26"/>
    </row>
    <row r="2119" spans="1:38">
      <c r="B2119" s="11"/>
      <c r="C2119" s="16"/>
      <c r="D2119" s="22"/>
      <c r="E2119" s="66"/>
      <c r="F2119" s="39"/>
      <c r="G2119" s="45"/>
      <c r="H2119" s="44"/>
      <c r="I2119" s="44"/>
      <c r="J2119" s="26"/>
      <c r="K2119" s="26"/>
      <c r="L2119" s="26"/>
      <c r="M2119" s="45"/>
      <c r="N2119" s="45"/>
      <c r="O2119" s="23"/>
      <c r="P2119" s="26"/>
    </row>
    <row r="2120" spans="1:38">
      <c r="B2120" s="112"/>
      <c r="C2120" s="22"/>
      <c r="D2120" s="22"/>
      <c r="E2120" s="67"/>
      <c r="F2120" s="39"/>
      <c r="G2120" s="45"/>
      <c r="H2120" s="68"/>
      <c r="I2120" s="68" t="s">
        <v>1706</v>
      </c>
      <c r="J2120" s="26"/>
      <c r="K2120" s="26"/>
      <c r="L2120" s="26"/>
      <c r="M2120" s="45"/>
      <c r="N2120" s="45"/>
      <c r="O2120" s="23"/>
      <c r="P2120" s="26"/>
    </row>
    <row r="2121" spans="1:38">
      <c r="B2121" s="11"/>
      <c r="C2121" s="22"/>
      <c r="D2121" s="22"/>
      <c r="E2121" s="67"/>
      <c r="F2121" s="39"/>
      <c r="G2121" s="45"/>
      <c r="H2121" s="68"/>
      <c r="I2121" s="68" t="s">
        <v>1707</v>
      </c>
      <c r="J2121" s="26"/>
      <c r="K2121" s="26"/>
      <c r="L2121" s="26"/>
      <c r="M2121" s="45"/>
      <c r="N2121" s="45"/>
      <c r="O2121" s="23"/>
      <c r="P2121" s="26"/>
    </row>
    <row r="2122" spans="1:38">
      <c r="B2122" s="11"/>
      <c r="C2122" s="22"/>
      <c r="D2122" s="22"/>
      <c r="E2122" s="67"/>
      <c r="F2122" s="39"/>
      <c r="G2122" s="45"/>
      <c r="H2122" s="68"/>
      <c r="I2122" s="68" t="s">
        <v>1708</v>
      </c>
      <c r="J2122" s="26"/>
      <c r="K2122" s="26"/>
      <c r="L2122" s="26"/>
      <c r="M2122" s="45"/>
      <c r="N2122" s="45"/>
      <c r="O2122" s="23"/>
      <c r="P2122" s="26"/>
    </row>
    <row r="2123" spans="1:38">
      <c r="B2123" s="11"/>
      <c r="C2123" s="22"/>
      <c r="D2123" s="22"/>
      <c r="E2123" s="67"/>
      <c r="F2123" s="39"/>
      <c r="G2123" s="45"/>
      <c r="H2123" s="68"/>
      <c r="I2123" s="68" t="s">
        <v>1709</v>
      </c>
      <c r="J2123" s="7"/>
      <c r="K2123" s="7"/>
      <c r="L2123" s="7"/>
      <c r="M2123" s="45"/>
      <c r="N2123" s="45"/>
      <c r="O2123" s="23"/>
      <c r="P2123" s="26"/>
    </row>
  </sheetData>
  <sheetProtection algorithmName="SHA-512" hashValue="dcj5DgBYKsti3Frv10EVRelEnAqdEA+B7nt6DFTml/SsreJ3MqxYqo6aL7Cgfivr5dNVHXpN2F4abPI0cguNVQ==" saltValue="/O4ZaosYPULB4Vy2ggty5A==" spinCount="100000" sheet="1" formatCells="0" formatColumns="0" formatRows="0" insertColumns="0" insertRows="0" deleteColumns="0" deleteRows="0" sort="0" autoFilter="0" pivotTables="0"/>
  <autoFilter ref="A14:R2114" xr:uid="{00000000-0009-0000-0000-000000000000}"/>
  <conditionalFormatting sqref="E490:E502">
    <cfRule type="duplicateValues" dxfId="7" priority="29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96"/>
  <sheetViews>
    <sheetView zoomScale="78" zoomScaleNormal="55" workbookViewId="0" xr3:uid="{958C4451-9541-5A59-BF78-D2F731DF1C81}">
      <selection activeCell="E724" sqref="E724"/>
    </sheetView>
  </sheetViews>
  <sheetFormatPr defaultRowHeight="14.45"/>
  <cols>
    <col min="1" max="1" width="23" customWidth="1"/>
    <col min="2" max="2" width="13.42578125" style="114" customWidth="1"/>
    <col min="3" max="3" width="15.140625" customWidth="1"/>
    <col min="4" max="4" width="18.5703125" customWidth="1"/>
    <col min="5" max="5" width="75.140625" style="107" customWidth="1"/>
    <col min="6" max="6" width="8.85546875" style="131"/>
    <col min="7" max="7" width="8.85546875" style="73"/>
    <col min="8" max="8" width="13.28515625" style="89" customWidth="1"/>
    <col min="9" max="9" width="12.140625" style="89" customWidth="1"/>
    <col min="10" max="10" width="13.7109375" style="89" customWidth="1"/>
    <col min="11" max="11" width="11.5703125" style="89" customWidth="1"/>
    <col min="12" max="12" width="12.7109375" style="89" customWidth="1"/>
    <col min="13" max="13" width="12.42578125" style="89" customWidth="1"/>
    <col min="14" max="14" width="10.140625" customWidth="1"/>
    <col min="16" max="16" width="11.5703125" customWidth="1"/>
  </cols>
  <sheetData>
    <row r="1" spans="1:17">
      <c r="C1" s="33"/>
      <c r="D1" s="50"/>
      <c r="E1" s="105"/>
      <c r="F1" s="133"/>
      <c r="G1" s="34"/>
      <c r="H1" s="82"/>
      <c r="I1" s="83"/>
      <c r="J1" s="84"/>
      <c r="K1" s="84"/>
      <c r="L1" s="34"/>
      <c r="M1" s="34"/>
    </row>
    <row r="2" spans="1:17" ht="15" thickBot="1">
      <c r="C2" s="51"/>
      <c r="D2" s="52"/>
      <c r="E2" s="51"/>
      <c r="F2" s="133"/>
      <c r="G2" s="34"/>
      <c r="H2" s="82"/>
      <c r="I2" s="83"/>
      <c r="J2" s="85"/>
      <c r="K2" s="85"/>
      <c r="L2" s="34"/>
      <c r="M2" s="34"/>
    </row>
    <row r="3" spans="1:17" ht="15" thickBot="1">
      <c r="C3" s="53" t="s">
        <v>1710</v>
      </c>
      <c r="D3" s="177"/>
      <c r="E3" s="178"/>
      <c r="F3" s="109"/>
      <c r="G3" s="34"/>
      <c r="H3" s="82"/>
      <c r="I3" s="83"/>
      <c r="J3" s="85"/>
      <c r="K3" s="85"/>
      <c r="L3" s="34"/>
      <c r="M3" s="34"/>
    </row>
    <row r="4" spans="1:17" ht="15" thickBot="1">
      <c r="C4" s="53" t="s">
        <v>1711</v>
      </c>
      <c r="D4" s="177"/>
      <c r="E4" s="178"/>
      <c r="F4" s="109"/>
      <c r="G4" s="34"/>
      <c r="H4" s="82"/>
      <c r="I4" s="83"/>
      <c r="J4" s="85"/>
      <c r="K4" s="85"/>
      <c r="L4" s="34"/>
      <c r="M4" s="34"/>
    </row>
    <row r="5" spans="1:17" ht="15" thickBot="1">
      <c r="C5" s="54" t="s">
        <v>1712</v>
      </c>
      <c r="D5" s="54"/>
      <c r="E5" s="103"/>
      <c r="F5" s="109"/>
      <c r="G5" s="34"/>
      <c r="H5" s="82"/>
      <c r="I5" s="83"/>
      <c r="J5" s="85"/>
      <c r="K5" s="85"/>
      <c r="L5" s="34"/>
      <c r="M5" s="34"/>
    </row>
    <row r="6" spans="1:17" ht="15" thickBot="1">
      <c r="C6" s="55"/>
      <c r="D6" s="52"/>
      <c r="E6" s="55"/>
      <c r="F6" s="133"/>
      <c r="G6" s="34"/>
      <c r="H6" s="82"/>
      <c r="I6" s="83"/>
      <c r="J6" s="85"/>
      <c r="K6" s="85"/>
      <c r="L6" s="34"/>
      <c r="M6" s="34"/>
      <c r="N6" t="s">
        <v>1713</v>
      </c>
    </row>
    <row r="7" spans="1:17" ht="15" thickBot="1">
      <c r="C7" s="108" t="s">
        <v>1714</v>
      </c>
      <c r="D7" s="56"/>
      <c r="E7" s="106" t="s">
        <v>1715</v>
      </c>
      <c r="F7" s="35"/>
      <c r="G7" s="158"/>
      <c r="H7" s="86"/>
      <c r="I7" s="34"/>
      <c r="J7" s="87"/>
      <c r="K7" s="88"/>
      <c r="L7" s="34"/>
      <c r="M7" s="34"/>
      <c r="N7" s="76">
        <v>0</v>
      </c>
      <c r="O7" s="57" t="s">
        <v>1716</v>
      </c>
      <c r="P7" s="57"/>
    </row>
    <row r="8" spans="1:17" ht="15" thickBot="1">
      <c r="C8" s="109" t="s">
        <v>1717</v>
      </c>
      <c r="D8" s="58"/>
      <c r="E8" s="110" t="s">
        <v>1718</v>
      </c>
      <c r="F8" s="35"/>
      <c r="G8" s="158"/>
      <c r="H8" s="86"/>
      <c r="I8" s="34"/>
      <c r="J8" s="87"/>
      <c r="K8" s="88"/>
      <c r="L8" s="34"/>
      <c r="M8" s="34"/>
      <c r="N8" s="76">
        <v>0</v>
      </c>
      <c r="O8" s="57" t="s">
        <v>1719</v>
      </c>
      <c r="P8" s="57"/>
      <c r="Q8" s="57"/>
    </row>
    <row r="9" spans="1:17" ht="15" thickBot="1">
      <c r="C9" s="33"/>
      <c r="D9" s="59"/>
      <c r="E9" s="105"/>
      <c r="F9" s="35"/>
      <c r="G9" s="158"/>
      <c r="H9" s="86"/>
      <c r="I9" s="34"/>
      <c r="J9" s="87"/>
      <c r="K9" s="88"/>
      <c r="L9" s="34"/>
      <c r="M9" s="34"/>
      <c r="N9" s="77">
        <f>((1-D7)-((1-N8))*(1-N7))/((1-N8)*(1-N7))</f>
        <v>0</v>
      </c>
      <c r="O9" s="79" t="s">
        <v>1720</v>
      </c>
      <c r="P9" s="79"/>
      <c r="Q9" s="79"/>
    </row>
    <row r="10" spans="1:17" ht="15" thickBot="1">
      <c r="C10" s="170" t="s">
        <v>1</v>
      </c>
      <c r="D10" s="171">
        <v>1.22</v>
      </c>
      <c r="E10" s="105"/>
      <c r="F10" s="35"/>
      <c r="G10" s="158"/>
      <c r="H10" s="86"/>
      <c r="I10" s="34"/>
      <c r="J10" s="87"/>
      <c r="K10" s="88"/>
      <c r="L10" s="34"/>
      <c r="M10" s="34"/>
      <c r="N10" s="77">
        <f>((1-D7)-((1-N8))*(1-N7))/(1-D7)</f>
        <v>0</v>
      </c>
      <c r="O10" s="79" t="s">
        <v>1721</v>
      </c>
      <c r="P10" s="79"/>
      <c r="Q10" s="79"/>
    </row>
    <row r="11" spans="1:17" ht="15" thickBot="1">
      <c r="E11" s="78"/>
      <c r="F11" s="133"/>
      <c r="G11" s="34"/>
      <c r="H11" s="82"/>
      <c r="I11" s="83"/>
      <c r="J11" s="85"/>
      <c r="K11" s="85"/>
      <c r="L11" s="34"/>
      <c r="M11" s="34"/>
      <c r="N11" s="75">
        <f>M1095*N10</f>
        <v>0</v>
      </c>
      <c r="O11" s="79" t="s">
        <v>1722</v>
      </c>
      <c r="P11" s="79"/>
      <c r="Q11" s="79"/>
    </row>
    <row r="12" spans="1:17">
      <c r="B12" s="32" t="s">
        <v>6</v>
      </c>
      <c r="D12" s="61"/>
      <c r="E12" s="60"/>
      <c r="F12" s="133"/>
      <c r="G12" s="159"/>
      <c r="H12" s="82"/>
      <c r="I12" s="83"/>
      <c r="J12" s="84"/>
      <c r="K12" s="84"/>
      <c r="L12" s="34"/>
      <c r="M12" s="34"/>
    </row>
    <row r="13" spans="1:17" ht="52.9">
      <c r="A13" s="130"/>
      <c r="B13" s="542"/>
      <c r="C13" s="200" t="s">
        <v>7</v>
      </c>
      <c r="D13" s="543" t="s">
        <v>9</v>
      </c>
      <c r="E13" s="544" t="s">
        <v>10</v>
      </c>
      <c r="F13" s="543" t="s">
        <v>12</v>
      </c>
      <c r="G13" s="545" t="s">
        <v>11</v>
      </c>
      <c r="H13" s="546" t="s">
        <v>15</v>
      </c>
      <c r="I13" s="547" t="s">
        <v>16</v>
      </c>
      <c r="J13" s="548" t="s">
        <v>19</v>
      </c>
      <c r="K13" s="548" t="s">
        <v>20</v>
      </c>
      <c r="L13" s="549" t="s">
        <v>1723</v>
      </c>
      <c r="M13" s="549" t="s">
        <v>1724</v>
      </c>
      <c r="N13" s="46"/>
    </row>
    <row r="14" spans="1:17">
      <c r="B14" s="542"/>
      <c r="C14" s="189"/>
      <c r="D14" s="188"/>
      <c r="E14" s="550"/>
      <c r="F14" s="190"/>
      <c r="G14" s="551"/>
      <c r="H14" s="212"/>
      <c r="I14" s="195"/>
      <c r="J14" s="196"/>
      <c r="K14" s="194"/>
      <c r="L14" s="72"/>
      <c r="M14" s="72"/>
      <c r="N14" s="46"/>
    </row>
    <row r="15" spans="1:17">
      <c r="B15" s="542"/>
      <c r="C15" s="232" t="s">
        <v>23</v>
      </c>
      <c r="D15" s="200"/>
      <c r="E15" s="201" t="s">
        <v>24</v>
      </c>
      <c r="F15" s="203"/>
      <c r="G15" s="552"/>
      <c r="H15" s="202"/>
      <c r="I15" s="202"/>
      <c r="J15" s="202"/>
      <c r="K15" s="202"/>
      <c r="L15" s="202"/>
      <c r="M15" s="202"/>
      <c r="N15" s="46"/>
    </row>
    <row r="16" spans="1:17" s="74" customFormat="1" ht="28.9" customHeight="1">
      <c r="A16" s="148" t="s">
        <v>25</v>
      </c>
      <c r="B16" s="208" t="s">
        <v>26</v>
      </c>
      <c r="C16" s="190" t="s">
        <v>23</v>
      </c>
      <c r="D16" s="188">
        <v>11234081005</v>
      </c>
      <c r="E16" s="553" t="str">
        <f>IFERROR(VLOOKUP(D16,'ВИС-2026'!$E$17:$H$2115,2,0),"")</f>
        <v>Универсальн.труба RAUTITAN stabil PLATINUM 32х4,7 мм, прям. отрезки 5м</v>
      </c>
      <c r="F16" s="292" t="str">
        <f>IFERROR(VLOOKUP(D16,'ВИС-2026'!$E$17:$H$2115,4,0),"")</f>
        <v>м</v>
      </c>
      <c r="G16" s="428"/>
      <c r="H16" s="554">
        <f>IFERROR(VLOOKUP(D16,'ВИС-2026'!$E$17:$K$2649,7,0),"")</f>
        <v>6.71</v>
      </c>
      <c r="I16" s="554">
        <f t="shared" ref="I16" si="0">IFERROR(H16*G16,"")</f>
        <v>0</v>
      </c>
      <c r="J16" s="554">
        <f t="shared" ref="J16" si="1">IFERROR((IF(H16="","",H16-H16*$D$7)),"")</f>
        <v>6.71</v>
      </c>
      <c r="K16" s="554">
        <f t="shared" ref="K16" si="2">IFERROR(J16*G16, "")</f>
        <v>0</v>
      </c>
      <c r="L16" s="554">
        <f>IFERROR(J16*$D$8, "")</f>
        <v>0</v>
      </c>
      <c r="M16" s="554">
        <f>IFERROR(L16*G16, "")</f>
        <v>0</v>
      </c>
      <c r="N16" s="104"/>
    </row>
    <row r="17" spans="1:14" ht="30.6">
      <c r="A17" s="148" t="s">
        <v>25</v>
      </c>
      <c r="B17" s="208" t="s">
        <v>26</v>
      </c>
      <c r="C17" s="190" t="s">
        <v>23</v>
      </c>
      <c r="D17" s="188">
        <v>11301011005</v>
      </c>
      <c r="E17" s="553" t="str">
        <f>IFERROR(VLOOKUP(D17,'ВИС-2026'!$E$17:$H$2115,2,0),"")</f>
        <v>Универсальн.труба RAUTITAN stabil 32х4,7 мм, прям.отрезки 5м</v>
      </c>
      <c r="F17" s="292" t="str">
        <f>IFERROR(VLOOKUP(D17,'ВИС-2026'!$E$17:$H$2115,4,0),"")</f>
        <v>м</v>
      </c>
      <c r="G17" s="428"/>
      <c r="H17" s="554">
        <f>IFERROR(VLOOKUP(D17,'ВИС-2026'!$E$17:$K$2649,7,0),"")</f>
        <v>6.28</v>
      </c>
      <c r="I17" s="554">
        <f t="shared" ref="I17" si="3">IFERROR(H17*G17,"")</f>
        <v>0</v>
      </c>
      <c r="J17" s="554">
        <f t="shared" ref="J17" si="4">IFERROR((IF(H17="","",H17-H17*$D$7)),"")</f>
        <v>6.28</v>
      </c>
      <c r="K17" s="554">
        <f t="shared" ref="K17" si="5">IFERROR(J17*G17, "")</f>
        <v>0</v>
      </c>
      <c r="L17" s="554">
        <f t="shared" ref="L17" si="6">IFERROR(J17*$D$8, "")</f>
        <v>0</v>
      </c>
      <c r="M17" s="554">
        <f t="shared" ref="M17" si="7">IFERROR(L17*G17, "")</f>
        <v>0</v>
      </c>
      <c r="N17" s="104"/>
    </row>
    <row r="18" spans="1:14" s="73" customFormat="1" ht="17.45" customHeight="1">
      <c r="A18" s="147"/>
      <c r="B18" s="188"/>
      <c r="C18" s="215"/>
      <c r="D18" s="217"/>
      <c r="E18" s="218"/>
      <c r="F18" s="292" t="str">
        <f>IFERROR(VLOOKUP(D18,'ВИС-2026'!$E$17:$H$2115,5,0),"")</f>
        <v/>
      </c>
      <c r="G18" s="428"/>
      <c r="H18" s="554" t="str">
        <f>IFERROR(VLOOKUP(D18,'ВИС-2026'!$E$17:$K$2649,8,0),"")</f>
        <v/>
      </c>
      <c r="I18" s="554" t="str">
        <f t="shared" ref="I18:I23" si="8">IFERROR(H18*G18,"")</f>
        <v/>
      </c>
      <c r="J18" s="554" t="str">
        <f t="shared" ref="J18:J23" si="9">IFERROR((IF(H18="","",H18-H18*$D$7)),"")</f>
        <v/>
      </c>
      <c r="K18" s="554" t="str">
        <f t="shared" ref="K18:K23" si="10">IFERROR(J18*G18, "")</f>
        <v/>
      </c>
      <c r="L18" s="554" t="str">
        <f t="shared" ref="L18:L23" si="11">IFERROR(J18*$D$8, "")</f>
        <v/>
      </c>
      <c r="M18" s="554" t="str">
        <f t="shared" ref="M18:M23" si="12">IFERROR(L18*G18, "")</f>
        <v/>
      </c>
      <c r="N18" s="104"/>
    </row>
    <row r="19" spans="1:14" s="73" customFormat="1" ht="17.45" customHeight="1">
      <c r="A19" s="147"/>
      <c r="B19" s="188" t="s">
        <v>30</v>
      </c>
      <c r="C19" s="190" t="s">
        <v>23</v>
      </c>
      <c r="D19" s="188">
        <v>11301213100</v>
      </c>
      <c r="E19" s="553" t="str">
        <f>IFERROR(VLOOKUP(D19,'ВИС-2026'!$E$17:$H$2115,2,0),"")</f>
        <v>Универсальн.труба РЕХАУ STABIL 16,2х2,6 мм, бухта 100 м</v>
      </c>
      <c r="F19" s="292" t="str">
        <f>IFERROR(VLOOKUP(D19,'ВИС-2026'!$E$17:$H$2115,4,0),"")</f>
        <v>м</v>
      </c>
      <c r="G19" s="428"/>
      <c r="H19" s="554">
        <f>IFERROR(VLOOKUP(D19,'ВИС-2026'!$E$17:$K$2649,7,0),"")</f>
        <v>4.75</v>
      </c>
      <c r="I19" s="554">
        <f t="shared" si="8"/>
        <v>0</v>
      </c>
      <c r="J19" s="554">
        <f t="shared" si="9"/>
        <v>4.75</v>
      </c>
      <c r="K19" s="554">
        <f t="shared" si="10"/>
        <v>0</v>
      </c>
      <c r="L19" s="554">
        <f t="shared" si="11"/>
        <v>0</v>
      </c>
      <c r="M19" s="554">
        <f t="shared" si="12"/>
        <v>0</v>
      </c>
      <c r="N19" s="104"/>
    </row>
    <row r="20" spans="1:14" s="73" customFormat="1" ht="17.45" customHeight="1">
      <c r="A20" s="147"/>
      <c r="B20" s="188" t="s">
        <v>30</v>
      </c>
      <c r="C20" s="190" t="s">
        <v>23</v>
      </c>
      <c r="D20" s="188">
        <v>11301313100</v>
      </c>
      <c r="E20" s="553" t="str">
        <f>IFERROR(VLOOKUP(D20,'ВИС-2026'!$E$17:$H$2115,2,0),"")</f>
        <v>Универсальн.труба РЕХАУ STABIL 20х2,9 мм, бухта 100 м</v>
      </c>
      <c r="F20" s="292" t="str">
        <f>IFERROR(VLOOKUP(D20,'ВИС-2026'!$E$17:$H$2115,4,0),"")</f>
        <v>м</v>
      </c>
      <c r="G20" s="428"/>
      <c r="H20" s="554">
        <f>IFERROR(VLOOKUP(D20,'ВИС-2026'!$E$17:$K$2649,7,0),"")</f>
        <v>6.75</v>
      </c>
      <c r="I20" s="554">
        <f t="shared" si="8"/>
        <v>0</v>
      </c>
      <c r="J20" s="554">
        <f t="shared" si="9"/>
        <v>6.75</v>
      </c>
      <c r="K20" s="554">
        <f t="shared" si="10"/>
        <v>0</v>
      </c>
      <c r="L20" s="554">
        <f t="shared" si="11"/>
        <v>0</v>
      </c>
      <c r="M20" s="554">
        <f t="shared" si="12"/>
        <v>0</v>
      </c>
      <c r="N20" s="104"/>
    </row>
    <row r="21" spans="1:14" s="73" customFormat="1" ht="17.45" customHeight="1">
      <c r="A21" s="147"/>
      <c r="B21" s="188" t="s">
        <v>30</v>
      </c>
      <c r="C21" s="190" t="s">
        <v>23</v>
      </c>
      <c r="D21" s="188">
        <v>11301413050</v>
      </c>
      <c r="E21" s="553" t="str">
        <f>IFERROR(VLOOKUP(D21,'ВИС-2026'!$E$17:$H$2115,2,0),"")</f>
        <v>Универсальн.труба РЕХАУ STABIL 25х3,7 мм, бухта 50 м</v>
      </c>
      <c r="F21" s="292" t="str">
        <f>IFERROR(VLOOKUP(D21,'ВИС-2026'!$E$17:$H$2115,4,0),"")</f>
        <v>м</v>
      </c>
      <c r="G21" s="428"/>
      <c r="H21" s="554">
        <f>IFERROR(VLOOKUP(D21,'ВИС-2026'!$E$17:$K$2649,7,0),"")</f>
        <v>12.16</v>
      </c>
      <c r="I21" s="554">
        <f t="shared" si="8"/>
        <v>0</v>
      </c>
      <c r="J21" s="554">
        <f t="shared" si="9"/>
        <v>12.16</v>
      </c>
      <c r="K21" s="554">
        <f t="shared" si="10"/>
        <v>0</v>
      </c>
      <c r="L21" s="554">
        <f t="shared" si="11"/>
        <v>0</v>
      </c>
      <c r="M21" s="554">
        <f t="shared" si="12"/>
        <v>0</v>
      </c>
      <c r="N21" s="104"/>
    </row>
    <row r="22" spans="1:14" s="73" customFormat="1" ht="17.45" customHeight="1">
      <c r="A22" s="147"/>
      <c r="B22" s="188" t="s">
        <v>30</v>
      </c>
      <c r="C22" s="190" t="s">
        <v>23</v>
      </c>
      <c r="D22" s="188">
        <v>11301513025</v>
      </c>
      <c r="E22" s="553" t="str">
        <f>IFERROR(VLOOKUP(D22,'ВИС-2026'!$E$17:$H$2115,2,0),"")</f>
        <v>Универсальн.труба РЕХАУ STABIL 32х4,7 мм, бухта 25 м</v>
      </c>
      <c r="F22" s="292" t="str">
        <f>IFERROR(VLOOKUP(D22,'ВИС-2026'!$E$17:$H$2115,4,0),"")</f>
        <v>м</v>
      </c>
      <c r="G22" s="428"/>
      <c r="H22" s="554">
        <f>IFERROR(VLOOKUP(D22,'ВИС-2026'!$E$17:$K$2649,7,0),"")</f>
        <v>14.35</v>
      </c>
      <c r="I22" s="554">
        <f t="shared" si="8"/>
        <v>0</v>
      </c>
      <c r="J22" s="554">
        <f t="shared" si="9"/>
        <v>14.35</v>
      </c>
      <c r="K22" s="554">
        <f t="shared" si="10"/>
        <v>0</v>
      </c>
      <c r="L22" s="554">
        <f t="shared" si="11"/>
        <v>0</v>
      </c>
      <c r="M22" s="554">
        <f t="shared" si="12"/>
        <v>0</v>
      </c>
      <c r="N22" s="104"/>
    </row>
    <row r="23" spans="1:14" ht="15" customHeight="1">
      <c r="A23" s="147"/>
      <c r="B23" s="188" t="s">
        <v>30</v>
      </c>
      <c r="C23" s="190" t="s">
        <v>23</v>
      </c>
      <c r="D23" s="188">
        <v>11301113005</v>
      </c>
      <c r="E23" s="553" t="str">
        <f>IFERROR(VLOOKUP(D23,'ВИС-2026'!$E$17:$H$2115,2,0),"")</f>
        <v>Универсальн.труба РЕХАУ STABIL 40х6,0 мм, прям.отрезки 5м</v>
      </c>
      <c r="F23" s="292" t="str">
        <f>IFERROR(VLOOKUP(D23,'ВИС-2026'!$E$17:$H$2115,4,0),"")</f>
        <v>м</v>
      </c>
      <c r="G23" s="428"/>
      <c r="H23" s="554">
        <f>IFERROR(VLOOKUP(D23,'ВИС-2026'!$E$17:$K$2649,7,0),"")</f>
        <v>38.049999999999997</v>
      </c>
      <c r="I23" s="554">
        <f t="shared" si="8"/>
        <v>0</v>
      </c>
      <c r="J23" s="554">
        <f t="shared" si="9"/>
        <v>38.049999999999997</v>
      </c>
      <c r="K23" s="554">
        <f t="shared" si="10"/>
        <v>0</v>
      </c>
      <c r="L23" s="554">
        <f t="shared" si="11"/>
        <v>0</v>
      </c>
      <c r="M23" s="554">
        <f t="shared" si="12"/>
        <v>0</v>
      </c>
      <c r="N23" s="104"/>
    </row>
    <row r="24" spans="1:14" s="73" customFormat="1">
      <c r="A24" s="147"/>
      <c r="B24" s="188"/>
      <c r="C24" s="215"/>
      <c r="D24" s="217"/>
      <c r="E24" s="553" t="str">
        <f>IFERROR(VLOOKUP(D24,'ВИС-2026'!$E$17:$H$2115,2,0),"")</f>
        <v/>
      </c>
      <c r="F24" s="292" t="str">
        <f>IFERROR(VLOOKUP(D24,'ВИС-2026'!$E$17:$H$2115,5,0),"")</f>
        <v/>
      </c>
      <c r="G24" s="428"/>
      <c r="H24" s="554" t="str">
        <f>IFERROR(VLOOKUP(D24,'ВИС-2026'!$E$17:$K$2649,8,0),"")</f>
        <v/>
      </c>
      <c r="I24" s="554" t="str">
        <f t="shared" ref="I24:I40" si="13">IFERROR(H24*G24,"")</f>
        <v/>
      </c>
      <c r="J24" s="554" t="str">
        <f t="shared" ref="J24:J40" si="14">IFERROR((IF(H24="","",H24-H24*$D$7)),"")</f>
        <v/>
      </c>
      <c r="K24" s="554" t="str">
        <f t="shared" ref="K24:K40" si="15">IFERROR(J24*G24, "")</f>
        <v/>
      </c>
      <c r="L24" s="554" t="str">
        <f t="shared" ref="L24:L40" si="16">IFERROR(J24*$D$8, "")</f>
        <v/>
      </c>
      <c r="M24" s="554" t="str">
        <f t="shared" ref="M24:M40" si="17">IFERROR(L24*G24, "")</f>
        <v/>
      </c>
      <c r="N24" s="104"/>
    </row>
    <row r="25" spans="1:14" s="73" customFormat="1">
      <c r="A25" s="147"/>
      <c r="B25" s="188" t="s">
        <v>30</v>
      </c>
      <c r="C25" s="190" t="s">
        <v>23</v>
      </c>
      <c r="D25" s="188">
        <v>11303703100</v>
      </c>
      <c r="E25" s="553" t="str">
        <f>IFERROR(VLOOKUP(D25,'ВИС-2026'!$E$17:$H$2115,2,0),"")</f>
        <v>Универсальн.труба РЕХАУ FLEX 16x2,2, бухта 100м</v>
      </c>
      <c r="F25" s="292" t="str">
        <f>IFERROR(VLOOKUP(D25,'ВИС-2026'!$E$17:$H$2115,4,0),"")</f>
        <v>м</v>
      </c>
      <c r="G25" s="428"/>
      <c r="H25" s="554">
        <f>IFERROR(VLOOKUP(D25,'ВИС-2026'!$E$17:$K$2649,7,0),"")</f>
        <v>2.4900000000000002</v>
      </c>
      <c r="I25" s="554">
        <f t="shared" si="13"/>
        <v>0</v>
      </c>
      <c r="J25" s="554">
        <f t="shared" si="14"/>
        <v>2.4900000000000002</v>
      </c>
      <c r="K25" s="554">
        <f t="shared" si="15"/>
        <v>0</v>
      </c>
      <c r="L25" s="554">
        <f t="shared" si="16"/>
        <v>0</v>
      </c>
      <c r="M25" s="554">
        <f t="shared" si="17"/>
        <v>0</v>
      </c>
      <c r="N25" s="104"/>
    </row>
    <row r="26" spans="1:14" s="73" customFormat="1">
      <c r="A26" s="147"/>
      <c r="B26" s="188" t="s">
        <v>30</v>
      </c>
      <c r="C26" s="190" t="s">
        <v>23</v>
      </c>
      <c r="D26" s="188">
        <v>11303803100</v>
      </c>
      <c r="E26" s="553" t="str">
        <f>IFERROR(VLOOKUP(D26,'ВИС-2026'!$E$17:$H$2115,2,0),"")</f>
        <v>Универсальн.труба РЕХАУ FLEX 20x2,8, бухта 100м</v>
      </c>
      <c r="F26" s="292" t="str">
        <f>IFERROR(VLOOKUP(D26,'ВИС-2026'!$E$17:$H$2115,4,0),"")</f>
        <v>м</v>
      </c>
      <c r="G26" s="428"/>
      <c r="H26" s="554">
        <f>IFERROR(VLOOKUP(D26,'ВИС-2026'!$E$17:$K$2649,7,0),"")</f>
        <v>3.72</v>
      </c>
      <c r="I26" s="554">
        <f t="shared" si="13"/>
        <v>0</v>
      </c>
      <c r="J26" s="554">
        <f t="shared" si="14"/>
        <v>3.72</v>
      </c>
      <c r="K26" s="554">
        <f t="shared" si="15"/>
        <v>0</v>
      </c>
      <c r="L26" s="554">
        <f t="shared" si="16"/>
        <v>0</v>
      </c>
      <c r="M26" s="554">
        <f t="shared" si="17"/>
        <v>0</v>
      </c>
      <c r="N26" s="104"/>
    </row>
    <row r="27" spans="1:14" s="73" customFormat="1">
      <c r="A27" s="147"/>
      <c r="B27" s="188" t="s">
        <v>30</v>
      </c>
      <c r="C27" s="190" t="s">
        <v>23</v>
      </c>
      <c r="D27" s="188">
        <v>11303903050</v>
      </c>
      <c r="E27" s="553" t="str">
        <f>IFERROR(VLOOKUP(D27,'ВИС-2026'!$E$17:$H$2115,2,0),"")</f>
        <v>Универсальн.труба РЕХАУ FLEX 25x3,5, бухта 50м</v>
      </c>
      <c r="F27" s="292" t="str">
        <f>IFERROR(VLOOKUP(D27,'ВИС-2026'!$E$17:$H$2115,4,0),"")</f>
        <v>м</v>
      </c>
      <c r="G27" s="428"/>
      <c r="H27" s="554">
        <f>IFERROR(VLOOKUP(D27,'ВИС-2026'!$E$17:$K$2649,7,0),"")</f>
        <v>5.77</v>
      </c>
      <c r="I27" s="554">
        <f t="shared" si="13"/>
        <v>0</v>
      </c>
      <c r="J27" s="554">
        <f t="shared" si="14"/>
        <v>5.77</v>
      </c>
      <c r="K27" s="554">
        <f t="shared" si="15"/>
        <v>0</v>
      </c>
      <c r="L27" s="554">
        <f t="shared" si="16"/>
        <v>0</v>
      </c>
      <c r="M27" s="554">
        <f t="shared" si="17"/>
        <v>0</v>
      </c>
      <c r="N27" s="104"/>
    </row>
    <row r="28" spans="1:14" s="73" customFormat="1">
      <c r="A28" s="147"/>
      <c r="B28" s="188" t="s">
        <v>30</v>
      </c>
      <c r="C28" s="190" t="s">
        <v>23</v>
      </c>
      <c r="D28" s="188">
        <v>11304003050</v>
      </c>
      <c r="E28" s="553" t="str">
        <f>IFERROR(VLOOKUP(D28,'ВИС-2026'!$E$17:$H$2115,2,0),"")</f>
        <v>Универсальн.труба РЕХАУ FLEX 32x4,4, бухта 50м</v>
      </c>
      <c r="F28" s="292" t="str">
        <f>IFERROR(VLOOKUP(D28,'ВИС-2026'!$E$17:$H$2115,4,0),"")</f>
        <v>м</v>
      </c>
      <c r="G28" s="428"/>
      <c r="H28" s="554">
        <f>IFERROR(VLOOKUP(D28,'ВИС-2026'!$E$17:$K$2649,7,0),"")</f>
        <v>9.3800000000000008</v>
      </c>
      <c r="I28" s="554">
        <f t="shared" si="13"/>
        <v>0</v>
      </c>
      <c r="J28" s="554">
        <f t="shared" si="14"/>
        <v>9.3800000000000008</v>
      </c>
      <c r="K28" s="554">
        <f t="shared" si="15"/>
        <v>0</v>
      </c>
      <c r="L28" s="554">
        <f t="shared" si="16"/>
        <v>0</v>
      </c>
      <c r="M28" s="554">
        <f t="shared" si="17"/>
        <v>0</v>
      </c>
      <c r="N28" s="104"/>
    </row>
    <row r="29" spans="1:14" s="73" customFormat="1">
      <c r="A29" s="147"/>
      <c r="B29" s="188" t="s">
        <v>30</v>
      </c>
      <c r="C29" s="190" t="s">
        <v>23</v>
      </c>
      <c r="D29" s="188">
        <v>11304113006</v>
      </c>
      <c r="E29" s="553" t="str">
        <f>IFERROR(VLOOKUP(D29,'ВИС-2026'!$E$17:$H$2115,2,0),"")</f>
        <v>Универсальн.труба РЕХАУ FLEX 40x5,5, прям.отрезки 6м</v>
      </c>
      <c r="F29" s="292" t="str">
        <f>IFERROR(VLOOKUP(D29,'ВИС-2026'!$E$17:$H$2115,4,0),"")</f>
        <v>м</v>
      </c>
      <c r="G29" s="428"/>
      <c r="H29" s="554">
        <f>IFERROR(VLOOKUP(D29,'ВИС-2026'!$E$17:$K$2649,7,0),"")</f>
        <v>18.2</v>
      </c>
      <c r="I29" s="554">
        <f t="shared" si="13"/>
        <v>0</v>
      </c>
      <c r="J29" s="554">
        <f t="shared" si="14"/>
        <v>18.2</v>
      </c>
      <c r="K29" s="554">
        <f t="shared" si="15"/>
        <v>0</v>
      </c>
      <c r="L29" s="554">
        <f t="shared" si="16"/>
        <v>0</v>
      </c>
      <c r="M29" s="554">
        <f t="shared" si="17"/>
        <v>0</v>
      </c>
      <c r="N29" s="104"/>
    </row>
    <row r="30" spans="1:14" s="73" customFormat="1">
      <c r="A30" s="147"/>
      <c r="B30" s="188" t="s">
        <v>30</v>
      </c>
      <c r="C30" s="190" t="s">
        <v>23</v>
      </c>
      <c r="D30" s="188">
        <v>11304213006</v>
      </c>
      <c r="E30" s="553" t="str">
        <f>IFERROR(VLOOKUP(D30,'ВИС-2026'!$E$17:$H$2115,2,0),"")</f>
        <v>Универсальн.труба РЕХАУ FLEX 50x6,9, прям.отрезки 6м</v>
      </c>
      <c r="F30" s="292" t="str">
        <f>IFERROR(VLOOKUP(D30,'ВИС-2026'!$E$17:$H$2115,4,0),"")</f>
        <v>м</v>
      </c>
      <c r="G30" s="428"/>
      <c r="H30" s="554">
        <f>IFERROR(VLOOKUP(D30,'ВИС-2026'!$E$17:$K$2649,7,0),"")</f>
        <v>23.95</v>
      </c>
      <c r="I30" s="554">
        <f t="shared" si="13"/>
        <v>0</v>
      </c>
      <c r="J30" s="554">
        <f t="shared" si="14"/>
        <v>23.95</v>
      </c>
      <c r="K30" s="554">
        <f t="shared" si="15"/>
        <v>0</v>
      </c>
      <c r="L30" s="554">
        <f t="shared" si="16"/>
        <v>0</v>
      </c>
      <c r="M30" s="554">
        <f t="shared" si="17"/>
        <v>0</v>
      </c>
      <c r="N30" s="104"/>
    </row>
    <row r="31" spans="1:14">
      <c r="A31" s="147"/>
      <c r="B31" s="188" t="s">
        <v>30</v>
      </c>
      <c r="C31" s="190" t="s">
        <v>23</v>
      </c>
      <c r="D31" s="188">
        <v>11304313006</v>
      </c>
      <c r="E31" s="553" t="str">
        <f>IFERROR(VLOOKUP(D31,'ВИС-2026'!$E$17:$H$2115,2,0),"")</f>
        <v>Универсальн.труба РЕХАУ FLEX 63x8,6, прям.отрезки 6м</v>
      </c>
      <c r="F31" s="292" t="str">
        <f>IFERROR(VLOOKUP(D31,'ВИС-2026'!$E$17:$H$2115,4,0),"")</f>
        <v>м</v>
      </c>
      <c r="G31" s="428"/>
      <c r="H31" s="554">
        <f>IFERROR(VLOOKUP(D31,'ВИС-2026'!$E$17:$K$2649,7,0),"")</f>
        <v>35.340000000000003</v>
      </c>
      <c r="I31" s="554">
        <f t="shared" si="13"/>
        <v>0</v>
      </c>
      <c r="J31" s="554">
        <f t="shared" si="14"/>
        <v>35.340000000000003</v>
      </c>
      <c r="K31" s="554">
        <f t="shared" si="15"/>
        <v>0</v>
      </c>
      <c r="L31" s="554">
        <f t="shared" si="16"/>
        <v>0</v>
      </c>
      <c r="M31" s="554">
        <f t="shared" si="17"/>
        <v>0</v>
      </c>
      <c r="N31" s="104"/>
    </row>
    <row r="32" spans="1:14" s="73" customFormat="1" ht="15.6">
      <c r="A32" s="147"/>
      <c r="B32" s="188"/>
      <c r="C32" s="190"/>
      <c r="D32" s="144"/>
      <c r="E32" s="553" t="str">
        <f>IFERROR(VLOOKUP(D32,'ВИС-2026'!$E$17:$H$2115,2,0),"")</f>
        <v/>
      </c>
      <c r="F32" s="292" t="str">
        <f>IFERROR(VLOOKUP(D32,'ВИС-2026'!$E$17:$H$2115,5,0),"")</f>
        <v/>
      </c>
      <c r="G32" s="428"/>
      <c r="H32" s="554" t="str">
        <f>IFERROR(VLOOKUP(D32,'ВИС-2026'!$E$17:$K$2649,8,0),"")</f>
        <v/>
      </c>
      <c r="I32" s="554" t="str">
        <f t="shared" si="13"/>
        <v/>
      </c>
      <c r="J32" s="554" t="str">
        <f t="shared" si="14"/>
        <v/>
      </c>
      <c r="K32" s="554" t="str">
        <f t="shared" si="15"/>
        <v/>
      </c>
      <c r="L32" s="554" t="str">
        <f t="shared" si="16"/>
        <v/>
      </c>
      <c r="M32" s="554" t="str">
        <f t="shared" si="17"/>
        <v/>
      </c>
      <c r="N32" s="104"/>
    </row>
    <row r="33" spans="1:14" s="73" customFormat="1">
      <c r="A33" s="147"/>
      <c r="B33" s="188" t="s">
        <v>30</v>
      </c>
      <c r="C33" s="190" t="s">
        <v>23</v>
      </c>
      <c r="D33" s="188">
        <v>11360423120</v>
      </c>
      <c r="E33" s="553" t="str">
        <f>IFERROR(VLOOKUP(D33,'ВИС-2026'!$E$17:$H$2115,2,0),"")</f>
        <v>Отоп. труба РЕХАУ PINK 16х2,2 мм, бухта 120 м</v>
      </c>
      <c r="F33" s="292" t="str">
        <f>IFERROR(VLOOKUP(D33,'ВИС-2026'!$E$17:$H$2115,4,0),"")</f>
        <v>м</v>
      </c>
      <c r="G33" s="428"/>
      <c r="H33" s="554">
        <f>IFERROR(VLOOKUP(D33,'ВИС-2026'!$E$17:$K$2649,7,0),"")</f>
        <v>2.38</v>
      </c>
      <c r="I33" s="554">
        <f t="shared" si="13"/>
        <v>0</v>
      </c>
      <c r="J33" s="554">
        <f t="shared" si="14"/>
        <v>2.38</v>
      </c>
      <c r="K33" s="554">
        <f t="shared" si="15"/>
        <v>0</v>
      </c>
      <c r="L33" s="554">
        <f t="shared" si="16"/>
        <v>0</v>
      </c>
      <c r="M33" s="554">
        <f t="shared" si="17"/>
        <v>0</v>
      </c>
      <c r="N33" s="104"/>
    </row>
    <row r="34" spans="1:14" s="73" customFormat="1">
      <c r="A34" s="147"/>
      <c r="B34" s="188" t="s">
        <v>30</v>
      </c>
      <c r="C34" s="190" t="s">
        <v>23</v>
      </c>
      <c r="D34" s="188">
        <v>11360523120</v>
      </c>
      <c r="E34" s="553" t="str">
        <f>IFERROR(VLOOKUP(D34,'ВИС-2026'!$E$17:$H$2115,2,0),"")</f>
        <v>Отоп. труба РЕХАУ PINK 20х2,8 мм, бухта 120 м</v>
      </c>
      <c r="F34" s="292" t="str">
        <f>IFERROR(VLOOKUP(D34,'ВИС-2026'!$E$17:$H$2115,4,0),"")</f>
        <v>м</v>
      </c>
      <c r="G34" s="428"/>
      <c r="H34" s="554">
        <f>IFERROR(VLOOKUP(D34,'ВИС-2026'!$E$17:$K$2649,7,0),"")</f>
        <v>3.46</v>
      </c>
      <c r="I34" s="554">
        <f t="shared" si="13"/>
        <v>0</v>
      </c>
      <c r="J34" s="554">
        <f t="shared" si="14"/>
        <v>3.46</v>
      </c>
      <c r="K34" s="554">
        <f t="shared" si="15"/>
        <v>0</v>
      </c>
      <c r="L34" s="554">
        <f t="shared" si="16"/>
        <v>0</v>
      </c>
      <c r="M34" s="554">
        <f t="shared" si="17"/>
        <v>0</v>
      </c>
      <c r="N34" s="104"/>
    </row>
    <row r="35" spans="1:14" s="73" customFormat="1">
      <c r="A35" s="147"/>
      <c r="B35" s="188" t="s">
        <v>30</v>
      </c>
      <c r="C35" s="190" t="s">
        <v>23</v>
      </c>
      <c r="D35" s="188">
        <v>11360623050</v>
      </c>
      <c r="E35" s="553" t="str">
        <f>IFERROR(VLOOKUP(D35,'ВИС-2026'!$E$17:$H$2115,2,0),"")</f>
        <v>Отоп. труба РЕХАУ PINK 25х3,5 мм, бухта 50 м</v>
      </c>
      <c r="F35" s="292" t="str">
        <f>IFERROR(VLOOKUP(D35,'ВИС-2026'!$E$17:$H$2115,4,0),"")</f>
        <v>м</v>
      </c>
      <c r="G35" s="428"/>
      <c r="H35" s="554">
        <f>IFERROR(VLOOKUP(D35,'ВИС-2026'!$E$17:$K$2649,7,0),"")</f>
        <v>5.37</v>
      </c>
      <c r="I35" s="554">
        <f t="shared" si="13"/>
        <v>0</v>
      </c>
      <c r="J35" s="554">
        <f t="shared" si="14"/>
        <v>5.37</v>
      </c>
      <c r="K35" s="554">
        <f t="shared" si="15"/>
        <v>0</v>
      </c>
      <c r="L35" s="554">
        <f t="shared" si="16"/>
        <v>0</v>
      </c>
      <c r="M35" s="554">
        <f t="shared" si="17"/>
        <v>0</v>
      </c>
      <c r="N35" s="104"/>
    </row>
    <row r="36" spans="1:14">
      <c r="A36" s="147"/>
      <c r="B36" s="188" t="s">
        <v>30</v>
      </c>
      <c r="C36" s="190" t="s">
        <v>23</v>
      </c>
      <c r="D36" s="188">
        <v>11360723050</v>
      </c>
      <c r="E36" s="553" t="str">
        <f>IFERROR(VLOOKUP(D36,'ВИС-2026'!$E$17:$H$2115,2,0),"")</f>
        <v>Отоп. труба РЕХАУ PINK 32х4,4 мм, бухта 50 м</v>
      </c>
      <c r="F36" s="292" t="str">
        <f>IFERROR(VLOOKUP(D36,'ВИС-2026'!$E$17:$H$2115,4,0),"")</f>
        <v>м</v>
      </c>
      <c r="G36" s="428"/>
      <c r="H36" s="554">
        <f>IFERROR(VLOOKUP(D36,'ВИС-2026'!$E$17:$K$2649,7,0),"")</f>
        <v>8.7200000000000006</v>
      </c>
      <c r="I36" s="554">
        <f t="shared" si="13"/>
        <v>0</v>
      </c>
      <c r="J36" s="554">
        <f t="shared" si="14"/>
        <v>8.7200000000000006</v>
      </c>
      <c r="K36" s="554">
        <f t="shared" si="15"/>
        <v>0</v>
      </c>
      <c r="L36" s="554">
        <f t="shared" si="16"/>
        <v>0</v>
      </c>
      <c r="M36" s="554">
        <f t="shared" si="17"/>
        <v>0</v>
      </c>
      <c r="N36" s="104"/>
    </row>
    <row r="37" spans="1:14" s="73" customFormat="1">
      <c r="A37" s="147"/>
      <c r="B37" s="188"/>
      <c r="C37" s="224"/>
      <c r="D37" s="188"/>
      <c r="E37" s="553" t="str">
        <f>IFERROR(VLOOKUP(D37,'ВИС-2026'!$E$17:$H$2115,2,0),"")</f>
        <v/>
      </c>
      <c r="F37" s="292" t="str">
        <f>IFERROR(VLOOKUP(D37,'ВИС-2026'!$E$17:$H$2115,5,0),"")</f>
        <v/>
      </c>
      <c r="G37" s="428"/>
      <c r="H37" s="554" t="str">
        <f>IFERROR(VLOOKUP(D37,'ВИС-2026'!$E$17:$K$2649,8,0),"")</f>
        <v/>
      </c>
      <c r="I37" s="554" t="str">
        <f t="shared" si="13"/>
        <v/>
      </c>
      <c r="J37" s="554" t="str">
        <f t="shared" si="14"/>
        <v/>
      </c>
      <c r="K37" s="554" t="str">
        <f t="shared" si="15"/>
        <v/>
      </c>
      <c r="L37" s="554" t="str">
        <f t="shared" si="16"/>
        <v/>
      </c>
      <c r="M37" s="554" t="str">
        <f t="shared" si="17"/>
        <v/>
      </c>
      <c r="N37" s="104"/>
    </row>
    <row r="38" spans="1:14" s="73" customFormat="1">
      <c r="A38" s="147"/>
      <c r="B38" s="188" t="s">
        <v>30</v>
      </c>
      <c r="C38" s="190" t="s">
        <v>23</v>
      </c>
      <c r="D38" s="188">
        <v>11331703200</v>
      </c>
      <c r="E38" s="553" t="str">
        <f>IFERROR(VLOOKUP(D38,'ВИС-2026'!$E$17:$H$2115,2,0),"")</f>
        <v>Универсальн. объектная труба РЕХАУ BLACK 16х2,2 мм, бухта 200 м</v>
      </c>
      <c r="F38" s="292" t="str">
        <f>IFERROR(VLOOKUP(D38,'ВИС-2026'!$E$17:$H$2115,4,0),"")</f>
        <v>м</v>
      </c>
      <c r="G38" s="428"/>
      <c r="H38" s="554">
        <f>IFERROR(VLOOKUP(D38,'ВИС-2026'!$E$17:$K$2649,7,0),"")</f>
        <v>0</v>
      </c>
      <c r="I38" s="554">
        <f t="shared" si="13"/>
        <v>0</v>
      </c>
      <c r="J38" s="554">
        <f t="shared" si="14"/>
        <v>0</v>
      </c>
      <c r="K38" s="554">
        <f t="shared" si="15"/>
        <v>0</v>
      </c>
      <c r="L38" s="554">
        <f t="shared" si="16"/>
        <v>0</v>
      </c>
      <c r="M38" s="554">
        <f t="shared" si="17"/>
        <v>0</v>
      </c>
      <c r="N38" s="104"/>
    </row>
    <row r="39" spans="1:14" s="73" customFormat="1">
      <c r="A39" s="147"/>
      <c r="B39" s="188" t="s">
        <v>30</v>
      </c>
      <c r="C39" s="190" t="s">
        <v>23</v>
      </c>
      <c r="D39" s="188">
        <v>11331803180</v>
      </c>
      <c r="E39" s="553" t="str">
        <f>IFERROR(VLOOKUP(D39,'ВИС-2026'!$E$17:$H$2115,2,0),"")</f>
        <v>Универсальн. объектная труба РЕХАУ BLACK 20х2,8 мм, бухта 180 м</v>
      </c>
      <c r="F39" s="292" t="str">
        <f>IFERROR(VLOOKUP(D39,'ВИС-2026'!$E$17:$H$2115,4,0),"")</f>
        <v>м</v>
      </c>
      <c r="G39" s="428"/>
      <c r="H39" s="554">
        <f>IFERROR(VLOOKUP(D39,'ВИС-2026'!$E$17:$K$2649,7,0),"")</f>
        <v>0</v>
      </c>
      <c r="I39" s="554">
        <f t="shared" si="13"/>
        <v>0</v>
      </c>
      <c r="J39" s="554">
        <f t="shared" si="14"/>
        <v>0</v>
      </c>
      <c r="K39" s="554">
        <f t="shared" si="15"/>
        <v>0</v>
      </c>
      <c r="L39" s="554">
        <f t="shared" si="16"/>
        <v>0</v>
      </c>
      <c r="M39" s="554">
        <f t="shared" si="17"/>
        <v>0</v>
      </c>
      <c r="N39" s="104"/>
    </row>
    <row r="40" spans="1:14" s="73" customFormat="1">
      <c r="A40" s="147"/>
      <c r="B40" s="188" t="s">
        <v>30</v>
      </c>
      <c r="C40" s="190" t="s">
        <v>23</v>
      </c>
      <c r="D40" s="188">
        <v>11331903100</v>
      </c>
      <c r="E40" s="553" t="str">
        <f>IFERROR(VLOOKUP(D40,'ВИС-2026'!$E$17:$H$2115,2,0),"")</f>
        <v>Универсальн. объектная труба РЕХАУ BLACK 25х3,5 мм, бухта 100 м</v>
      </c>
      <c r="F40" s="292" t="str">
        <f>IFERROR(VLOOKUP(D40,'ВИС-2026'!$E$17:$H$2115,4,0),"")</f>
        <v>м</v>
      </c>
      <c r="G40" s="428"/>
      <c r="H40" s="554">
        <f>IFERROR(VLOOKUP(D40,'ВИС-2026'!$E$17:$K$2649,7,0),"")</f>
        <v>0</v>
      </c>
      <c r="I40" s="554">
        <f t="shared" si="13"/>
        <v>0</v>
      </c>
      <c r="J40" s="554">
        <f t="shared" si="14"/>
        <v>0</v>
      </c>
      <c r="K40" s="554">
        <f t="shared" si="15"/>
        <v>0</v>
      </c>
      <c r="L40" s="554">
        <f t="shared" si="16"/>
        <v>0</v>
      </c>
      <c r="M40" s="554">
        <f t="shared" si="17"/>
        <v>0</v>
      </c>
      <c r="N40" s="104"/>
    </row>
    <row r="41" spans="1:14" s="73" customFormat="1">
      <c r="A41" s="147"/>
      <c r="B41" s="188"/>
      <c r="C41" s="224"/>
      <c r="D41" s="188"/>
      <c r="E41" s="553" t="str">
        <f>IFERROR(VLOOKUP(D41,'ВИС-2026'!$E$17:$H$2115,2,0),"")</f>
        <v/>
      </c>
      <c r="F41" s="292" t="str">
        <f>IFERROR(VLOOKUP(D41,'ВИС-2026'!$E$17:$H$2115,5,0),"")</f>
        <v/>
      </c>
      <c r="G41" s="428"/>
      <c r="H41" s="554" t="str">
        <f>IFERROR(VLOOKUP(D41,'ВИС-2026'!$E$17:$K$2649,8,0),"")</f>
        <v/>
      </c>
      <c r="I41" s="554" t="str">
        <f t="shared" ref="I41:I44" si="18">IFERROR(H41*G41,"")</f>
        <v/>
      </c>
      <c r="J41" s="554" t="str">
        <f t="shared" ref="J41:J44" si="19">IFERROR((IF(H41="","",H41-H41*$D$7)),"")</f>
        <v/>
      </c>
      <c r="K41" s="554" t="str">
        <f t="shared" ref="K41:K44" si="20">IFERROR(J41*G41, "")</f>
        <v/>
      </c>
      <c r="L41" s="554" t="str">
        <f t="shared" ref="L41:L44" si="21">IFERROR(J41*$D$8, "")</f>
        <v/>
      </c>
      <c r="M41" s="554" t="str">
        <f t="shared" ref="M41:M44" si="22">IFERROR(L41*G41, "")</f>
        <v/>
      </c>
      <c r="N41" s="104"/>
    </row>
    <row r="42" spans="1:14" s="73" customFormat="1">
      <c r="A42" s="150"/>
      <c r="B42" s="188" t="s">
        <v>30</v>
      </c>
      <c r="C42" s="190" t="s">
        <v>23</v>
      </c>
      <c r="D42" s="188">
        <v>11380333001</v>
      </c>
      <c r="E42" s="553" t="str">
        <f>IFERROR(VLOOKUP(D42,'ВИС-2026'!$E$17:$H$2115,2,0),"")</f>
        <v>Фиксирующий желоб РЕХАУ для ПЭ-трубы 16/17</v>
      </c>
      <c r="F42" s="292" t="str">
        <f>IFERROR(VLOOKUP(D42,'ВИС-2026'!$E$17:$H$2115,4,0),"")</f>
        <v>м</v>
      </c>
      <c r="G42" s="428"/>
      <c r="H42" s="554">
        <f>IFERROR(VLOOKUP(D42,'ВИС-2026'!$E$17:$K$2649,7,0),"")</f>
        <v>2.6</v>
      </c>
      <c r="I42" s="554">
        <f t="shared" si="18"/>
        <v>0</v>
      </c>
      <c r="J42" s="554">
        <f t="shared" si="19"/>
        <v>2.6</v>
      </c>
      <c r="K42" s="554">
        <f t="shared" si="20"/>
        <v>0</v>
      </c>
      <c r="L42" s="554">
        <f t="shared" si="21"/>
        <v>0</v>
      </c>
      <c r="M42" s="554">
        <f t="shared" si="22"/>
        <v>0</v>
      </c>
      <c r="N42" s="104"/>
    </row>
    <row r="43" spans="1:14" s="73" customFormat="1">
      <c r="A43" s="147"/>
      <c r="B43" s="188" t="s">
        <v>30</v>
      </c>
      <c r="C43" s="190" t="s">
        <v>23</v>
      </c>
      <c r="D43" s="188">
        <v>11380433001</v>
      </c>
      <c r="E43" s="553" t="str">
        <f>IFERROR(VLOOKUP(D43,'ВИС-2026'!$E$17:$H$2115,2,0),"")</f>
        <v>Фиксирующий желоб РЕХАУ для ПЭ-трубы 20</v>
      </c>
      <c r="F43" s="292" t="str">
        <f>IFERROR(VLOOKUP(D43,'ВИС-2026'!$E$17:$H$2115,4,0),"")</f>
        <v>м</v>
      </c>
      <c r="G43" s="428"/>
      <c r="H43" s="554">
        <f>IFERROR(VLOOKUP(D43,'ВИС-2026'!$E$17:$K$2649,7,0),"")</f>
        <v>2.82</v>
      </c>
      <c r="I43" s="554">
        <f t="shared" si="18"/>
        <v>0</v>
      </c>
      <c r="J43" s="554">
        <f t="shared" si="19"/>
        <v>2.82</v>
      </c>
      <c r="K43" s="554">
        <f t="shared" si="20"/>
        <v>0</v>
      </c>
      <c r="L43" s="554">
        <f t="shared" si="21"/>
        <v>0</v>
      </c>
      <c r="M43" s="554">
        <f t="shared" si="22"/>
        <v>0</v>
      </c>
      <c r="N43" s="104"/>
    </row>
    <row r="44" spans="1:14" s="73" customFormat="1">
      <c r="A44" s="147"/>
      <c r="B44" s="188" t="s">
        <v>30</v>
      </c>
      <c r="C44" s="190" t="s">
        <v>23</v>
      </c>
      <c r="D44" s="188">
        <v>11380533001</v>
      </c>
      <c r="E44" s="553" t="str">
        <f>IFERROR(VLOOKUP(D44,'ВИС-2026'!$E$17:$H$2115,2,0),"")</f>
        <v>Фиксирующий желоб РЕХАУ для ПЭ-трубы 25</v>
      </c>
      <c r="F44" s="292" t="str">
        <f>IFERROR(VLOOKUP(D44,'ВИС-2026'!$E$17:$H$2115,4,0),"")</f>
        <v>м</v>
      </c>
      <c r="G44" s="428"/>
      <c r="H44" s="554">
        <f>IFERROR(VLOOKUP(D44,'ВИС-2026'!$E$17:$K$2649,7,0),"")</f>
        <v>3.72</v>
      </c>
      <c r="I44" s="554">
        <f t="shared" si="18"/>
        <v>0</v>
      </c>
      <c r="J44" s="554">
        <f t="shared" si="19"/>
        <v>3.72</v>
      </c>
      <c r="K44" s="554">
        <f t="shared" si="20"/>
        <v>0</v>
      </c>
      <c r="L44" s="554">
        <f t="shared" si="21"/>
        <v>0</v>
      </c>
      <c r="M44" s="554">
        <f t="shared" si="22"/>
        <v>0</v>
      </c>
      <c r="N44" s="104"/>
    </row>
    <row r="45" spans="1:14" s="73" customFormat="1">
      <c r="A45" s="147"/>
      <c r="B45" s="188" t="s">
        <v>30</v>
      </c>
      <c r="C45" s="190" t="s">
        <v>23</v>
      </c>
      <c r="D45" s="188">
        <v>11380633001</v>
      </c>
      <c r="E45" s="553" t="str">
        <f>IFERROR(VLOOKUP(D45,'ВИС-2026'!$E$17:$H$2115,2,0),"")</f>
        <v>Фиксирующий желоб РЕХАУ для ПЭ-трубы 32</v>
      </c>
      <c r="F45" s="292" t="str">
        <f>IFERROR(VLOOKUP(D45,'ВИС-2026'!$E$17:$H$2115,4,0),"")</f>
        <v>м</v>
      </c>
      <c r="G45" s="428"/>
      <c r="H45" s="554">
        <f>IFERROR(VLOOKUP(D45,'ВИС-2026'!$E$17:$K$2649,7,0),"")</f>
        <v>4.59</v>
      </c>
      <c r="I45" s="554">
        <f t="shared" ref="I45:I48" si="23">IFERROR(H45*G45,"")</f>
        <v>0</v>
      </c>
      <c r="J45" s="554">
        <f t="shared" ref="J45:J48" si="24">IFERROR((IF(H45="","",H45-H45*$D$7)),"")</f>
        <v>4.59</v>
      </c>
      <c r="K45" s="554">
        <f t="shared" ref="K45:K48" si="25">IFERROR(J45*G45, "")</f>
        <v>0</v>
      </c>
      <c r="L45" s="554">
        <f t="shared" ref="L45:L48" si="26">IFERROR(J45*$D$8, "")</f>
        <v>0</v>
      </c>
      <c r="M45" s="554">
        <f t="shared" ref="M45:M48" si="27">IFERROR(L45*G45, "")</f>
        <v>0</v>
      </c>
      <c r="N45" s="104"/>
    </row>
    <row r="46" spans="1:14" s="73" customFormat="1">
      <c r="A46" s="147"/>
      <c r="B46" s="188" t="s">
        <v>30</v>
      </c>
      <c r="C46" s="190" t="s">
        <v>23</v>
      </c>
      <c r="D46" s="188">
        <v>11380733001</v>
      </c>
      <c r="E46" s="553" t="str">
        <f>IFERROR(VLOOKUP(D46,'ВИС-2026'!$E$17:$H$2115,2,0),"")</f>
        <v>Фиксирующий желоб РЕХАУ для ПЭ-трубы 40</v>
      </c>
      <c r="F46" s="292" t="str">
        <f>IFERROR(VLOOKUP(D46,'ВИС-2026'!$E$17:$H$2115,4,0),"")</f>
        <v>м</v>
      </c>
      <c r="G46" s="428"/>
      <c r="H46" s="554">
        <f>IFERROR(VLOOKUP(D46,'ВИС-2026'!$E$17:$K$2649,7,0),"")</f>
        <v>6.99</v>
      </c>
      <c r="I46" s="554">
        <f t="shared" si="23"/>
        <v>0</v>
      </c>
      <c r="J46" s="554">
        <f t="shared" si="24"/>
        <v>6.99</v>
      </c>
      <c r="K46" s="554">
        <f t="shared" si="25"/>
        <v>0</v>
      </c>
      <c r="L46" s="554">
        <f t="shared" si="26"/>
        <v>0</v>
      </c>
      <c r="M46" s="554">
        <f t="shared" si="27"/>
        <v>0</v>
      </c>
      <c r="N46" s="104"/>
    </row>
    <row r="47" spans="1:14" s="73" customFormat="1">
      <c r="A47" s="147"/>
      <c r="B47" s="188" t="s">
        <v>30</v>
      </c>
      <c r="C47" s="190" t="s">
        <v>23</v>
      </c>
      <c r="D47" s="188">
        <v>11380833001</v>
      </c>
      <c r="E47" s="553" t="str">
        <f>IFERROR(VLOOKUP(D47,'ВИС-2026'!$E$17:$H$2115,2,0),"")</f>
        <v>Фиксирующий желоб РЕХАУ для ПЭ-трубы 50</v>
      </c>
      <c r="F47" s="292" t="str">
        <f>IFERROR(VLOOKUP(D47,'ВИС-2026'!$E$17:$H$2115,4,0),"")</f>
        <v>м</v>
      </c>
      <c r="G47" s="428"/>
      <c r="H47" s="554">
        <f>IFERROR(VLOOKUP(D47,'ВИС-2026'!$E$17:$K$2649,7,0),"")</f>
        <v>8.67</v>
      </c>
      <c r="I47" s="554">
        <f t="shared" si="23"/>
        <v>0</v>
      </c>
      <c r="J47" s="554">
        <f t="shared" si="24"/>
        <v>8.67</v>
      </c>
      <c r="K47" s="554">
        <f t="shared" si="25"/>
        <v>0</v>
      </c>
      <c r="L47" s="554">
        <f t="shared" si="26"/>
        <v>0</v>
      </c>
      <c r="M47" s="554">
        <f t="shared" si="27"/>
        <v>0</v>
      </c>
      <c r="N47" s="104"/>
    </row>
    <row r="48" spans="1:14" s="73" customFormat="1">
      <c r="A48" s="147"/>
      <c r="B48" s="188" t="s">
        <v>30</v>
      </c>
      <c r="C48" s="190" t="s">
        <v>23</v>
      </c>
      <c r="D48" s="188">
        <v>11380933001</v>
      </c>
      <c r="E48" s="553" t="str">
        <f>IFERROR(VLOOKUP(D48,'ВИС-2026'!$E$17:$H$2115,2,0),"")</f>
        <v>Фиксирующий желоб РЕХАУ для ПЭ-трубы 63</v>
      </c>
      <c r="F48" s="292" t="str">
        <f>IFERROR(VLOOKUP(D48,'ВИС-2026'!$E$17:$H$2115,4,0),"")</f>
        <v>м</v>
      </c>
      <c r="G48" s="428"/>
      <c r="H48" s="554">
        <f>IFERROR(VLOOKUP(D48,'ВИС-2026'!$E$17:$K$2649,7,0),"")</f>
        <v>10.41</v>
      </c>
      <c r="I48" s="554">
        <f t="shared" si="23"/>
        <v>0</v>
      </c>
      <c r="J48" s="554">
        <f t="shared" si="24"/>
        <v>10.41</v>
      </c>
      <c r="K48" s="554">
        <f t="shared" si="25"/>
        <v>0</v>
      </c>
      <c r="L48" s="554">
        <f t="shared" si="26"/>
        <v>0</v>
      </c>
      <c r="M48" s="554">
        <f t="shared" si="27"/>
        <v>0</v>
      </c>
      <c r="N48" s="104"/>
    </row>
    <row r="49" spans="1:14">
      <c r="A49" s="147"/>
      <c r="B49" s="188"/>
      <c r="C49" s="215"/>
      <c r="D49" s="217"/>
      <c r="E49" s="218"/>
      <c r="F49" s="292" t="str">
        <f>IFERROR(VLOOKUP(D49,'ВИС-2026'!$E$17:$H$2115,5,0),"")</f>
        <v/>
      </c>
      <c r="G49" s="428"/>
      <c r="H49" s="554" t="str">
        <f>IFERROR(VLOOKUP(D49,'ВИС-2026'!$E$17:$K$2649,8,0),"")</f>
        <v/>
      </c>
      <c r="I49" s="554" t="str">
        <f t="shared" ref="I49:I71" si="28">IFERROR(H49*G49,"")</f>
        <v/>
      </c>
      <c r="J49" s="554" t="str">
        <f t="shared" ref="J49:J71" si="29">IFERROR((IF(H49="","",H49-H49*$D$7)),"")</f>
        <v/>
      </c>
      <c r="K49" s="554" t="str">
        <f t="shared" ref="K49:K71" si="30">IFERROR(J49*G49, "")</f>
        <v/>
      </c>
      <c r="L49" s="554" t="str">
        <f t="shared" ref="L49:L71" si="31">IFERROR(J49*$D$8, "")</f>
        <v/>
      </c>
      <c r="M49" s="554" t="str">
        <f t="shared" ref="M49:M71" si="32">IFERROR(L49*G49, "")</f>
        <v/>
      </c>
      <c r="N49" s="104"/>
    </row>
    <row r="50" spans="1:14">
      <c r="A50" s="147"/>
      <c r="B50" s="188"/>
      <c r="C50" s="232" t="s">
        <v>23</v>
      </c>
      <c r="D50" s="233"/>
      <c r="E50" s="201" t="s">
        <v>63</v>
      </c>
      <c r="F50" s="555" t="str">
        <f>IFERROR(VLOOKUP(D50,'ВИС-2026'!$E$17:$H$2115,5,0),"")</f>
        <v/>
      </c>
      <c r="G50" s="556"/>
      <c r="H50" s="557" t="str">
        <f>IFERROR(VLOOKUP(D50,'ВИС-2026'!$E$17:$K$2649,8,0),"")</f>
        <v/>
      </c>
      <c r="I50" s="557" t="str">
        <f t="shared" si="28"/>
        <v/>
      </c>
      <c r="J50" s="557" t="str">
        <f t="shared" si="29"/>
        <v/>
      </c>
      <c r="K50" s="557" t="str">
        <f t="shared" si="30"/>
        <v/>
      </c>
      <c r="L50" s="557" t="str">
        <f t="shared" si="31"/>
        <v/>
      </c>
      <c r="M50" s="557" t="str">
        <f t="shared" si="32"/>
        <v/>
      </c>
      <c r="N50" s="104"/>
    </row>
    <row r="51" spans="1:14" s="73" customFormat="1">
      <c r="A51" s="151"/>
      <c r="B51" s="188" t="s">
        <v>30</v>
      </c>
      <c r="C51" s="190" t="s">
        <v>23</v>
      </c>
      <c r="D51" s="188">
        <v>11080011001</v>
      </c>
      <c r="E51" s="553" t="str">
        <f>IFERROR(VLOOKUP(D51,'ВИС-2026'!$E$17:$H$2115,2,0),"")</f>
        <v>Монтажная гильза 16 LX</v>
      </c>
      <c r="F51" s="292" t="str">
        <f>IFERROR(VLOOKUP(D51,'ВИС-2026'!$E$17:$H$2115,4,0),"")</f>
        <v>шт</v>
      </c>
      <c r="G51" s="428"/>
      <c r="H51" s="554">
        <f>IFERROR(VLOOKUP(D51,'ВИС-2026'!$E$17:$K$2649,7,0),"")</f>
        <v>1.44</v>
      </c>
      <c r="I51" s="554">
        <f t="shared" si="28"/>
        <v>0</v>
      </c>
      <c r="J51" s="554">
        <f t="shared" si="29"/>
        <v>1.44</v>
      </c>
      <c r="K51" s="554">
        <f t="shared" si="30"/>
        <v>0</v>
      </c>
      <c r="L51" s="554">
        <f t="shared" si="31"/>
        <v>0</v>
      </c>
      <c r="M51" s="554">
        <f t="shared" si="32"/>
        <v>0</v>
      </c>
      <c r="N51" s="104"/>
    </row>
    <row r="52" spans="1:14" s="73" customFormat="1">
      <c r="A52" s="151"/>
      <c r="B52" s="188" t="s">
        <v>30</v>
      </c>
      <c r="C52" s="190" t="s">
        <v>23</v>
      </c>
      <c r="D52" s="188">
        <v>11080021001</v>
      </c>
      <c r="E52" s="553" t="str">
        <f>IFERROR(VLOOKUP(D52,'ВИС-2026'!$E$17:$H$2115,2,0),"")</f>
        <v>Монтажная гильза 20 LX</v>
      </c>
      <c r="F52" s="292" t="str">
        <f>IFERROR(VLOOKUP(D52,'ВИС-2026'!$E$17:$H$2115,4,0),"")</f>
        <v>шт</v>
      </c>
      <c r="G52" s="428"/>
      <c r="H52" s="554">
        <f>IFERROR(VLOOKUP(D52,'ВИС-2026'!$E$17:$K$2649,7,0),"")</f>
        <v>1.48</v>
      </c>
      <c r="I52" s="554">
        <f t="shared" si="28"/>
        <v>0</v>
      </c>
      <c r="J52" s="554">
        <f t="shared" si="29"/>
        <v>1.48</v>
      </c>
      <c r="K52" s="554">
        <f t="shared" si="30"/>
        <v>0</v>
      </c>
      <c r="L52" s="554">
        <f t="shared" si="31"/>
        <v>0</v>
      </c>
      <c r="M52" s="554">
        <f t="shared" si="32"/>
        <v>0</v>
      </c>
      <c r="N52" s="104"/>
    </row>
    <row r="53" spans="1:14" s="73" customFormat="1">
      <c r="A53" s="151"/>
      <c r="B53" s="188" t="s">
        <v>30</v>
      </c>
      <c r="C53" s="190" t="s">
        <v>23</v>
      </c>
      <c r="D53" s="188">
        <v>11080031001</v>
      </c>
      <c r="E53" s="553" t="str">
        <f>IFERROR(VLOOKUP(D53,'ВИС-2026'!$E$17:$H$2115,2,0),"")</f>
        <v>Монтажная гильза 25 LX</v>
      </c>
      <c r="F53" s="292" t="str">
        <f>IFERROR(VLOOKUP(D53,'ВИС-2026'!$E$17:$H$2115,4,0),"")</f>
        <v>шт</v>
      </c>
      <c r="G53" s="428"/>
      <c r="H53" s="554">
        <f>IFERROR(VLOOKUP(D53,'ВИС-2026'!$E$17:$K$2649,7,0),"")</f>
        <v>2.5299999999999998</v>
      </c>
      <c r="I53" s="554">
        <f t="shared" si="28"/>
        <v>0</v>
      </c>
      <c r="J53" s="554">
        <f t="shared" si="29"/>
        <v>2.5299999999999998</v>
      </c>
      <c r="K53" s="554">
        <f t="shared" si="30"/>
        <v>0</v>
      </c>
      <c r="L53" s="554">
        <f t="shared" si="31"/>
        <v>0</v>
      </c>
      <c r="M53" s="554">
        <f t="shared" si="32"/>
        <v>0</v>
      </c>
      <c r="N53" s="104"/>
    </row>
    <row r="54" spans="1:14" s="73" customFormat="1">
      <c r="A54" s="151"/>
      <c r="B54" s="188" t="s">
        <v>30</v>
      </c>
      <c r="C54" s="190" t="s">
        <v>23</v>
      </c>
      <c r="D54" s="188">
        <v>11080041001</v>
      </c>
      <c r="E54" s="553" t="str">
        <f>IFERROR(VLOOKUP(D54,'ВИС-2026'!$E$17:$H$2115,2,0),"")</f>
        <v>Монтажная гильза 32 LX</v>
      </c>
      <c r="F54" s="292" t="str">
        <f>IFERROR(VLOOKUP(D54,'ВИС-2026'!$E$17:$H$2115,4,0),"")</f>
        <v>шт</v>
      </c>
      <c r="G54" s="428"/>
      <c r="H54" s="554">
        <f>IFERROR(VLOOKUP(D54,'ВИС-2026'!$E$17:$K$2649,7,0),"")</f>
        <v>5.27</v>
      </c>
      <c r="I54" s="554">
        <f t="shared" si="28"/>
        <v>0</v>
      </c>
      <c r="J54" s="554">
        <f t="shared" si="29"/>
        <v>5.27</v>
      </c>
      <c r="K54" s="554">
        <f t="shared" si="30"/>
        <v>0</v>
      </c>
      <c r="L54" s="554">
        <f t="shared" si="31"/>
        <v>0</v>
      </c>
      <c r="M54" s="554">
        <f t="shared" si="32"/>
        <v>0</v>
      </c>
      <c r="N54" s="104"/>
    </row>
    <row r="55" spans="1:14" s="73" customFormat="1">
      <c r="A55" s="151"/>
      <c r="B55" s="188" t="s">
        <v>30</v>
      </c>
      <c r="C55" s="190" t="s">
        <v>23</v>
      </c>
      <c r="D55" s="188">
        <v>11080051001</v>
      </c>
      <c r="E55" s="553" t="str">
        <f>IFERROR(VLOOKUP(D55,'ВИС-2026'!$E$17:$H$2115,2,0),"")</f>
        <v>Монтажная гильза 40 LX</v>
      </c>
      <c r="F55" s="292" t="str">
        <f>IFERROR(VLOOKUP(D55,'ВИС-2026'!$E$17:$H$2115,4,0),"")</f>
        <v>шт</v>
      </c>
      <c r="G55" s="428"/>
      <c r="H55" s="554">
        <f>IFERROR(VLOOKUP(D55,'ВИС-2026'!$E$17:$K$2649,7,0),"")</f>
        <v>9.43</v>
      </c>
      <c r="I55" s="554">
        <f t="shared" si="28"/>
        <v>0</v>
      </c>
      <c r="J55" s="554">
        <f t="shared" si="29"/>
        <v>9.43</v>
      </c>
      <c r="K55" s="554">
        <f t="shared" si="30"/>
        <v>0</v>
      </c>
      <c r="L55" s="554">
        <f t="shared" si="31"/>
        <v>0</v>
      </c>
      <c r="M55" s="554">
        <f t="shared" si="32"/>
        <v>0</v>
      </c>
      <c r="N55" s="104"/>
    </row>
    <row r="56" spans="1:14" s="73" customFormat="1">
      <c r="A56" s="151"/>
      <c r="B56" s="188" t="s">
        <v>30</v>
      </c>
      <c r="C56" s="190" t="s">
        <v>23</v>
      </c>
      <c r="D56" s="188">
        <v>11397713002</v>
      </c>
      <c r="E56" s="553" t="str">
        <f>IFERROR(VLOOKUP(D56,'ВИС-2026'!$E$17:$H$2115,2,0),"")</f>
        <v>Монтажная гильза 50 LX</v>
      </c>
      <c r="F56" s="292" t="str">
        <f>IFERROR(VLOOKUP(D56,'ВИС-2026'!$E$17:$H$2115,4,0),"")</f>
        <v>шт</v>
      </c>
      <c r="G56" s="428"/>
      <c r="H56" s="554">
        <f>IFERROR(VLOOKUP(D56,'ВИС-2026'!$E$17:$K$2649,7,0),"")</f>
        <v>12.35</v>
      </c>
      <c r="I56" s="554">
        <f t="shared" si="28"/>
        <v>0</v>
      </c>
      <c r="J56" s="554">
        <f t="shared" si="29"/>
        <v>12.35</v>
      </c>
      <c r="K56" s="554">
        <f t="shared" si="30"/>
        <v>0</v>
      </c>
      <c r="L56" s="554">
        <f t="shared" si="31"/>
        <v>0</v>
      </c>
      <c r="M56" s="554">
        <f t="shared" si="32"/>
        <v>0</v>
      </c>
      <c r="N56" s="104"/>
    </row>
    <row r="57" spans="1:14" s="73" customFormat="1">
      <c r="A57" s="151"/>
      <c r="B57" s="188" t="s">
        <v>30</v>
      </c>
      <c r="C57" s="190" t="s">
        <v>23</v>
      </c>
      <c r="D57" s="188">
        <v>11397813002</v>
      </c>
      <c r="E57" s="553" t="str">
        <f>IFERROR(VLOOKUP(D57,'ВИС-2026'!$E$17:$H$2115,2,0),"")</f>
        <v>Монтажная гильза 63 LX</v>
      </c>
      <c r="F57" s="292" t="str">
        <f>IFERROR(VLOOKUP(D57,'ВИС-2026'!$E$17:$H$2115,4,0),"")</f>
        <v>шт</v>
      </c>
      <c r="G57" s="428"/>
      <c r="H57" s="554">
        <f>IFERROR(VLOOKUP(D57,'ВИС-2026'!$E$17:$K$2649,7,0),"")</f>
        <v>23.58</v>
      </c>
      <c r="I57" s="554">
        <f t="shared" si="28"/>
        <v>0</v>
      </c>
      <c r="J57" s="554">
        <f t="shared" si="29"/>
        <v>23.58</v>
      </c>
      <c r="K57" s="554">
        <f t="shared" si="30"/>
        <v>0</v>
      </c>
      <c r="L57" s="554">
        <f t="shared" si="31"/>
        <v>0</v>
      </c>
      <c r="M57" s="554">
        <f t="shared" si="32"/>
        <v>0</v>
      </c>
      <c r="N57" s="104"/>
    </row>
    <row r="58" spans="1:14" s="73" customFormat="1">
      <c r="A58" s="151"/>
      <c r="B58" s="240"/>
      <c r="C58" s="215"/>
      <c r="D58" s="217"/>
      <c r="E58" s="553" t="str">
        <f>IFERROR(VLOOKUP(D58,'ВИС-2026'!$E$17:$H$2115,2,0),"")</f>
        <v/>
      </c>
      <c r="F58" s="292" t="str">
        <f>IFERROR(VLOOKUP(D58,'ВИС-2026'!$E$17:$H$2115,5,0),"")</f>
        <v/>
      </c>
      <c r="G58" s="428"/>
      <c r="H58" s="554" t="str">
        <f>IFERROR(VLOOKUP(D58,'ВИС-2026'!$E$17:$K$2649,8,0),"")</f>
        <v/>
      </c>
      <c r="I58" s="554" t="str">
        <f t="shared" si="28"/>
        <v/>
      </c>
      <c r="J58" s="554" t="str">
        <f t="shared" si="29"/>
        <v/>
      </c>
      <c r="K58" s="554" t="str">
        <f t="shared" si="30"/>
        <v/>
      </c>
      <c r="L58" s="554" t="str">
        <f t="shared" si="31"/>
        <v/>
      </c>
      <c r="M58" s="554" t="str">
        <f t="shared" si="32"/>
        <v/>
      </c>
      <c r="N58" s="104"/>
    </row>
    <row r="59" spans="1:14" s="73" customFormat="1">
      <c r="A59" s="150"/>
      <c r="B59" s="188" t="s">
        <v>30</v>
      </c>
      <c r="C59" s="190" t="s">
        <v>23</v>
      </c>
      <c r="D59" s="242">
        <v>14570313001</v>
      </c>
      <c r="E59" s="553" t="str">
        <f>IFERROR(VLOOKUP(D59,'ВИС-2026'!$E$17:$H$2115,2,0),"")</f>
        <v>Тройник РЕХАУ равнопроходный 16-16-16 RX+</v>
      </c>
      <c r="F59" s="292" t="str">
        <f>IFERROR(VLOOKUP(D59,'ВИС-2026'!$E$17:$H$2115,4,0),"")</f>
        <v>шт</v>
      </c>
      <c r="G59" s="428"/>
      <c r="H59" s="554">
        <f>IFERROR(VLOOKUP(D59,'ВИС-2026'!$E$17:$K$2649,7,0),"")</f>
        <v>11.26</v>
      </c>
      <c r="I59" s="554">
        <f t="shared" si="28"/>
        <v>0</v>
      </c>
      <c r="J59" s="554">
        <f t="shared" si="29"/>
        <v>11.26</v>
      </c>
      <c r="K59" s="554">
        <f t="shared" si="30"/>
        <v>0</v>
      </c>
      <c r="L59" s="554">
        <f t="shared" si="31"/>
        <v>0</v>
      </c>
      <c r="M59" s="554">
        <f t="shared" si="32"/>
        <v>0</v>
      </c>
      <c r="N59" s="104"/>
    </row>
    <row r="60" spans="1:14" s="73" customFormat="1">
      <c r="A60" s="150"/>
      <c r="B60" s="188" t="s">
        <v>30</v>
      </c>
      <c r="C60" s="190" t="s">
        <v>23</v>
      </c>
      <c r="D60" s="242">
        <v>14570323001</v>
      </c>
      <c r="E60" s="553" t="str">
        <f>IFERROR(VLOOKUP(D60,'ВИС-2026'!$E$17:$H$2115,2,0),"")</f>
        <v>Тройник РЕХАУ равнопроходный 20-20-20 RX+</v>
      </c>
      <c r="F60" s="292" t="str">
        <f>IFERROR(VLOOKUP(D60,'ВИС-2026'!$E$17:$H$2115,4,0),"")</f>
        <v>шт</v>
      </c>
      <c r="G60" s="428"/>
      <c r="H60" s="554">
        <f>IFERROR(VLOOKUP(D60,'ВИС-2026'!$E$17:$K$2649,7,0),"")</f>
        <v>15.21</v>
      </c>
      <c r="I60" s="554">
        <f t="shared" si="28"/>
        <v>0</v>
      </c>
      <c r="J60" s="554">
        <f t="shared" si="29"/>
        <v>15.21</v>
      </c>
      <c r="K60" s="554">
        <f t="shared" si="30"/>
        <v>0</v>
      </c>
      <c r="L60" s="554">
        <f t="shared" si="31"/>
        <v>0</v>
      </c>
      <c r="M60" s="554">
        <f t="shared" si="32"/>
        <v>0</v>
      </c>
      <c r="N60" s="104"/>
    </row>
    <row r="61" spans="1:14" s="73" customFormat="1">
      <c r="A61" s="150"/>
      <c r="B61" s="188" t="s">
        <v>30</v>
      </c>
      <c r="C61" s="190" t="s">
        <v>23</v>
      </c>
      <c r="D61" s="246">
        <v>14570333001</v>
      </c>
      <c r="E61" s="553" t="str">
        <f>IFERROR(VLOOKUP(D61,'ВИС-2026'!$E$17:$H$2115,2,0),"")</f>
        <v>Тройник РЕХАУ равнопроходный 25-25-25 RX+</v>
      </c>
      <c r="F61" s="292" t="str">
        <f>IFERROR(VLOOKUP(D61,'ВИС-2026'!$E$17:$H$2115,4,0),"")</f>
        <v>шт</v>
      </c>
      <c r="G61" s="428"/>
      <c r="H61" s="554">
        <f>IFERROR(VLOOKUP(D61,'ВИС-2026'!$E$17:$K$2649,7,0),"")</f>
        <v>23.06</v>
      </c>
      <c r="I61" s="554">
        <f t="shared" si="28"/>
        <v>0</v>
      </c>
      <c r="J61" s="554">
        <f t="shared" si="29"/>
        <v>23.06</v>
      </c>
      <c r="K61" s="554">
        <f t="shared" si="30"/>
        <v>0</v>
      </c>
      <c r="L61" s="554">
        <f t="shared" si="31"/>
        <v>0</v>
      </c>
      <c r="M61" s="554">
        <f t="shared" si="32"/>
        <v>0</v>
      </c>
      <c r="N61" s="104"/>
    </row>
    <row r="62" spans="1:14" s="73" customFormat="1">
      <c r="A62" s="150"/>
      <c r="B62" s="188" t="s">
        <v>30</v>
      </c>
      <c r="C62" s="190" t="s">
        <v>23</v>
      </c>
      <c r="D62" s="242">
        <v>14570343001</v>
      </c>
      <c r="E62" s="553" t="str">
        <f>IFERROR(VLOOKUP(D62,'ВИС-2026'!$E$17:$H$2115,2,0),"")</f>
        <v>Тройник РЕХАУ равнопроходный 32-32-32 RX+</v>
      </c>
      <c r="F62" s="292" t="str">
        <f>IFERROR(VLOOKUP(D62,'ВИС-2026'!$E$17:$H$2115,4,0),"")</f>
        <v>шт</v>
      </c>
      <c r="G62" s="428"/>
      <c r="H62" s="554">
        <f>IFERROR(VLOOKUP(D62,'ВИС-2026'!$E$17:$K$2649,7,0),"")</f>
        <v>43.22</v>
      </c>
      <c r="I62" s="554">
        <f t="shared" si="28"/>
        <v>0</v>
      </c>
      <c r="J62" s="554">
        <f t="shared" si="29"/>
        <v>43.22</v>
      </c>
      <c r="K62" s="554">
        <f t="shared" si="30"/>
        <v>0</v>
      </c>
      <c r="L62" s="554">
        <f t="shared" si="31"/>
        <v>0</v>
      </c>
      <c r="M62" s="554">
        <f t="shared" si="32"/>
        <v>0</v>
      </c>
      <c r="N62" s="104"/>
    </row>
    <row r="63" spans="1:14" s="73" customFormat="1">
      <c r="A63" s="150"/>
      <c r="B63" s="188" t="s">
        <v>30</v>
      </c>
      <c r="C63" s="190" t="s">
        <v>23</v>
      </c>
      <c r="D63" s="242">
        <v>14570353001</v>
      </c>
      <c r="E63" s="553" t="str">
        <f>IFERROR(VLOOKUP(D63,'ВИС-2026'!$E$17:$H$2115,2,0),"")</f>
        <v>Тройник РЕХАУ равнопроходный 40-40-40 RX+</v>
      </c>
      <c r="F63" s="292" t="str">
        <f>IFERROR(VLOOKUP(D63,'ВИС-2026'!$E$17:$H$2115,4,0),"")</f>
        <v>шт</v>
      </c>
      <c r="G63" s="428"/>
      <c r="H63" s="554">
        <f>IFERROR(VLOOKUP(D63,'ВИС-2026'!$E$17:$K$2649,7,0),"")</f>
        <v>77.92</v>
      </c>
      <c r="I63" s="554">
        <f t="shared" si="28"/>
        <v>0</v>
      </c>
      <c r="J63" s="554">
        <f t="shared" si="29"/>
        <v>77.92</v>
      </c>
      <c r="K63" s="554">
        <f t="shared" si="30"/>
        <v>0</v>
      </c>
      <c r="L63" s="554">
        <f t="shared" si="31"/>
        <v>0</v>
      </c>
      <c r="M63" s="554">
        <f t="shared" si="32"/>
        <v>0</v>
      </c>
      <c r="N63" s="104"/>
    </row>
    <row r="64" spans="1:14" s="73" customFormat="1">
      <c r="A64" s="150"/>
      <c r="B64" s="188"/>
      <c r="C64" s="190"/>
      <c r="D64" s="188"/>
      <c r="E64" s="553" t="str">
        <f>IFERROR(VLOOKUP(D64,'ВИС-2026'!$E$17:$H$2115,2,0),"")</f>
        <v/>
      </c>
      <c r="F64" s="292" t="str">
        <f>IFERROR(VLOOKUP(D64,'ВИС-2026'!$E$17:$H$2115,5,0),"")</f>
        <v/>
      </c>
      <c r="G64" s="428"/>
      <c r="H64" s="554" t="str">
        <f>IFERROR(VLOOKUP(D64,'ВИС-2026'!$E$17:$K$2649,8,0),"")</f>
        <v/>
      </c>
      <c r="I64" s="554" t="str">
        <f t="shared" si="28"/>
        <v/>
      </c>
      <c r="J64" s="554" t="str">
        <f t="shared" si="29"/>
        <v/>
      </c>
      <c r="K64" s="554" t="str">
        <f t="shared" si="30"/>
        <v/>
      </c>
      <c r="L64" s="554" t="str">
        <f t="shared" si="31"/>
        <v/>
      </c>
      <c r="M64" s="554" t="str">
        <f t="shared" si="32"/>
        <v/>
      </c>
      <c r="N64" s="104"/>
    </row>
    <row r="65" spans="1:14">
      <c r="A65" s="147"/>
      <c r="B65" s="188" t="s">
        <v>30</v>
      </c>
      <c r="C65" s="190" t="s">
        <v>23</v>
      </c>
      <c r="D65" s="188">
        <v>11080311001</v>
      </c>
      <c r="E65" s="553" t="str">
        <f>IFERROR(VLOOKUP(D65,'ВИС-2026'!$E$17:$H$2115,2,0),"")</f>
        <v>Тройник равнопроходный 16-16-16 MX</v>
      </c>
      <c r="F65" s="292" t="str">
        <f>IFERROR(VLOOKUP(D65,'ВИС-2026'!$E$17:$H$2115,4,0),"")</f>
        <v>шт</v>
      </c>
      <c r="G65" s="428"/>
      <c r="H65" s="554">
        <f>IFERROR(VLOOKUP(D65,'ВИС-2026'!$E$17:$K$2649,7,0),"")</f>
        <v>6.95</v>
      </c>
      <c r="I65" s="554">
        <f t="shared" si="28"/>
        <v>0</v>
      </c>
      <c r="J65" s="554">
        <f t="shared" si="29"/>
        <v>6.95</v>
      </c>
      <c r="K65" s="554">
        <f t="shared" si="30"/>
        <v>0</v>
      </c>
      <c r="L65" s="554">
        <f t="shared" si="31"/>
        <v>0</v>
      </c>
      <c r="M65" s="554">
        <f t="shared" si="32"/>
        <v>0</v>
      </c>
      <c r="N65" s="104"/>
    </row>
    <row r="66" spans="1:14" s="73" customFormat="1" ht="28.15" customHeight="1">
      <c r="A66" s="147"/>
      <c r="B66" s="188" t="s">
        <v>30</v>
      </c>
      <c r="C66" s="190" t="s">
        <v>23</v>
      </c>
      <c r="D66" s="188">
        <v>11080321001</v>
      </c>
      <c r="E66" s="553" t="str">
        <f>IFERROR(VLOOKUP(D66,'ВИС-2026'!$E$17:$H$2115,2,0),"")</f>
        <v>Тройник равнопроходный 20-20-20 MX</v>
      </c>
      <c r="F66" s="292" t="str">
        <f>IFERROR(VLOOKUP(D66,'ВИС-2026'!$E$17:$H$2115,4,0),"")</f>
        <v>шт</v>
      </c>
      <c r="G66" s="428"/>
      <c r="H66" s="554">
        <f>IFERROR(VLOOKUP(D66,'ВИС-2026'!$E$17:$K$2649,7,0),"")</f>
        <v>9.2200000000000006</v>
      </c>
      <c r="I66" s="554">
        <f t="shared" si="28"/>
        <v>0</v>
      </c>
      <c r="J66" s="554">
        <f t="shared" si="29"/>
        <v>9.2200000000000006</v>
      </c>
      <c r="K66" s="554">
        <f t="shared" si="30"/>
        <v>0</v>
      </c>
      <c r="L66" s="554">
        <f t="shared" si="31"/>
        <v>0</v>
      </c>
      <c r="M66" s="554">
        <f t="shared" si="32"/>
        <v>0</v>
      </c>
      <c r="N66" s="104"/>
    </row>
    <row r="67" spans="1:14" s="73" customFormat="1" ht="13.9" customHeight="1">
      <c r="A67" s="147"/>
      <c r="B67" s="188" t="s">
        <v>30</v>
      </c>
      <c r="C67" s="190" t="s">
        <v>23</v>
      </c>
      <c r="D67" s="188">
        <v>11080331001</v>
      </c>
      <c r="E67" s="553" t="str">
        <f>IFERROR(VLOOKUP(D67,'ВИС-2026'!$E$17:$H$2115,2,0),"")</f>
        <v>Тройник равнопроходный 25-25-25 MX</v>
      </c>
      <c r="F67" s="292" t="str">
        <f>IFERROR(VLOOKUP(D67,'ВИС-2026'!$E$17:$H$2115,4,0),"")</f>
        <v>шт</v>
      </c>
      <c r="G67" s="428"/>
      <c r="H67" s="554">
        <f>IFERROR(VLOOKUP(D67,'ВИС-2026'!$E$17:$K$2649,7,0),"")</f>
        <v>13.18</v>
      </c>
      <c r="I67" s="554">
        <f t="shared" si="28"/>
        <v>0</v>
      </c>
      <c r="J67" s="554">
        <f t="shared" si="29"/>
        <v>13.18</v>
      </c>
      <c r="K67" s="554">
        <f t="shared" si="30"/>
        <v>0</v>
      </c>
      <c r="L67" s="554">
        <f t="shared" si="31"/>
        <v>0</v>
      </c>
      <c r="M67" s="554">
        <f t="shared" si="32"/>
        <v>0</v>
      </c>
      <c r="N67" s="104"/>
    </row>
    <row r="68" spans="1:14" s="73" customFormat="1" ht="28.15" customHeight="1">
      <c r="A68" s="147"/>
      <c r="B68" s="188" t="s">
        <v>30</v>
      </c>
      <c r="C68" s="190" t="s">
        <v>23</v>
      </c>
      <c r="D68" s="188">
        <v>11080341001</v>
      </c>
      <c r="E68" s="553" t="str">
        <f>IFERROR(VLOOKUP(D68,'ВИС-2026'!$E$17:$H$2115,2,0),"")</f>
        <v>Тройник равнопроходный 32-32-32 MX</v>
      </c>
      <c r="F68" s="292" t="str">
        <f>IFERROR(VLOOKUP(D68,'ВИС-2026'!$E$17:$H$2115,4,0),"")</f>
        <v>шт</v>
      </c>
      <c r="G68" s="428"/>
      <c r="H68" s="554">
        <f>IFERROR(VLOOKUP(D68,'ВИС-2026'!$E$17:$K$2649,7,0),"")</f>
        <v>26.68</v>
      </c>
      <c r="I68" s="554">
        <f t="shared" si="28"/>
        <v>0</v>
      </c>
      <c r="J68" s="554">
        <f t="shared" si="29"/>
        <v>26.68</v>
      </c>
      <c r="K68" s="554">
        <f t="shared" si="30"/>
        <v>0</v>
      </c>
      <c r="L68" s="554">
        <f t="shared" si="31"/>
        <v>0</v>
      </c>
      <c r="M68" s="554">
        <f t="shared" si="32"/>
        <v>0</v>
      </c>
      <c r="N68" s="104"/>
    </row>
    <row r="69" spans="1:14" s="74" customFormat="1" ht="28.15" customHeight="1">
      <c r="A69" s="147"/>
      <c r="B69" s="188" t="s">
        <v>30</v>
      </c>
      <c r="C69" s="190" t="s">
        <v>23</v>
      </c>
      <c r="D69" s="188">
        <v>11080351001</v>
      </c>
      <c r="E69" s="553" t="str">
        <f>IFERROR(VLOOKUP(D69,'ВИС-2026'!$E$17:$H$2115,2,0),"")</f>
        <v>Тройник равнопроходный 40-40-40 MX</v>
      </c>
      <c r="F69" s="292" t="str">
        <f>IFERROR(VLOOKUP(D69,'ВИС-2026'!$E$17:$H$2115,4,0),"")</f>
        <v>шт</v>
      </c>
      <c r="G69" s="428"/>
      <c r="H69" s="554">
        <f>IFERROR(VLOOKUP(D69,'ВИС-2026'!$E$17:$K$2649,7,0),"")</f>
        <v>49.63</v>
      </c>
      <c r="I69" s="554">
        <f t="shared" si="28"/>
        <v>0</v>
      </c>
      <c r="J69" s="554">
        <f t="shared" si="29"/>
        <v>49.63</v>
      </c>
      <c r="K69" s="554">
        <f t="shared" si="30"/>
        <v>0</v>
      </c>
      <c r="L69" s="554">
        <f t="shared" si="31"/>
        <v>0</v>
      </c>
      <c r="M69" s="554">
        <f t="shared" si="32"/>
        <v>0</v>
      </c>
      <c r="N69" s="104"/>
    </row>
    <row r="70" spans="1:14" s="73" customFormat="1">
      <c r="A70" s="147"/>
      <c r="B70" s="188" t="s">
        <v>30</v>
      </c>
      <c r="C70" s="190" t="s">
        <v>23</v>
      </c>
      <c r="D70" s="188">
        <v>11092801001</v>
      </c>
      <c r="E70" s="553" t="str">
        <f>IFERROR(VLOOKUP(D70,'ВИС-2026'!$E$17:$H$2115,2,0),"")</f>
        <v>Тройник равнопроходный 50-50-50 MX</v>
      </c>
      <c r="F70" s="292" t="str">
        <f>IFERROR(VLOOKUP(D70,'ВИС-2026'!$E$17:$H$2115,4,0),"")</f>
        <v>шт</v>
      </c>
      <c r="G70" s="428"/>
      <c r="H70" s="554">
        <f>IFERROR(VLOOKUP(D70,'ВИС-2026'!$E$17:$K$2649,7,0),"")</f>
        <v>163.35</v>
      </c>
      <c r="I70" s="554">
        <f t="shared" si="28"/>
        <v>0</v>
      </c>
      <c r="J70" s="554">
        <f t="shared" si="29"/>
        <v>163.35</v>
      </c>
      <c r="K70" s="554">
        <f t="shared" si="30"/>
        <v>0</v>
      </c>
      <c r="L70" s="554">
        <f t="shared" si="31"/>
        <v>0</v>
      </c>
      <c r="M70" s="554">
        <f t="shared" si="32"/>
        <v>0</v>
      </c>
      <c r="N70" s="104"/>
    </row>
    <row r="71" spans="1:14">
      <c r="A71" s="147"/>
      <c r="B71" s="188" t="s">
        <v>30</v>
      </c>
      <c r="C71" s="190" t="s">
        <v>23</v>
      </c>
      <c r="D71" s="188">
        <v>11092811001</v>
      </c>
      <c r="E71" s="553" t="str">
        <f>IFERROR(VLOOKUP(D71,'ВИС-2026'!$E$17:$H$2115,2,0),"")</f>
        <v>Тройник равнопроходный 63-63-63 MX</v>
      </c>
      <c r="F71" s="292" t="str">
        <f>IFERROR(VLOOKUP(D71,'ВИС-2026'!$E$17:$H$2115,4,0),"")</f>
        <v>шт</v>
      </c>
      <c r="G71" s="428"/>
      <c r="H71" s="554">
        <f>IFERROR(VLOOKUP(D71,'ВИС-2026'!$E$17:$K$2649,7,0),"")</f>
        <v>201.54</v>
      </c>
      <c r="I71" s="554">
        <f t="shared" si="28"/>
        <v>0</v>
      </c>
      <c r="J71" s="554">
        <f t="shared" si="29"/>
        <v>201.54</v>
      </c>
      <c r="K71" s="554">
        <f t="shared" si="30"/>
        <v>0</v>
      </c>
      <c r="L71" s="554">
        <f t="shared" si="31"/>
        <v>0</v>
      </c>
      <c r="M71" s="554">
        <f t="shared" si="32"/>
        <v>0</v>
      </c>
      <c r="N71" s="104"/>
    </row>
    <row r="72" spans="1:14" s="73" customFormat="1">
      <c r="A72" s="147"/>
      <c r="B72" s="188"/>
      <c r="C72" s="224"/>
      <c r="D72" s="188"/>
      <c r="E72" s="553" t="str">
        <f>IFERROR(VLOOKUP(D72,'ВИС-2026'!$E$17:$H$2115,2,0),"")</f>
        <v/>
      </c>
      <c r="F72" s="292" t="str">
        <f>IFERROR(VLOOKUP(D72,'ВИС-2026'!$E$17:$H$2115,5,0),"")</f>
        <v/>
      </c>
      <c r="G72" s="428"/>
      <c r="H72" s="554" t="str">
        <f>IFERROR(VLOOKUP(D72,'ВИС-2026'!$E$17:$K$2649,8,0),"")</f>
        <v/>
      </c>
      <c r="I72" s="554" t="str">
        <f t="shared" ref="I72:I130" si="33">IFERROR(H72*G72,"")</f>
        <v/>
      </c>
      <c r="J72" s="554" t="str">
        <f t="shared" ref="J72:J130" si="34">IFERROR((IF(H72="","",H72-H72*$D$7)),"")</f>
        <v/>
      </c>
      <c r="K72" s="554" t="str">
        <f t="shared" ref="K72:K130" si="35">IFERROR(J72*G72, "")</f>
        <v/>
      </c>
      <c r="L72" s="554" t="str">
        <f t="shared" ref="L72:L130" si="36">IFERROR(J72*$D$8, "")</f>
        <v/>
      </c>
      <c r="M72" s="554" t="str">
        <f t="shared" ref="M72:M130" si="37">IFERROR(L72*G72, "")</f>
        <v/>
      </c>
      <c r="N72" s="104"/>
    </row>
    <row r="73" spans="1:14" s="73" customFormat="1" ht="30.6">
      <c r="A73" s="148" t="s">
        <v>25</v>
      </c>
      <c r="B73" s="208" t="s">
        <v>26</v>
      </c>
      <c r="C73" s="190" t="s">
        <v>23</v>
      </c>
      <c r="D73" s="188">
        <v>11600331001</v>
      </c>
      <c r="E73" s="553" t="str">
        <f>IFERROR(VLOOKUP(D73,'ВИС-2026'!$E$17:$H$2115,2,0),"")</f>
        <v>Тройник равнопроходный 25-25-25 PX</v>
      </c>
      <c r="F73" s="292" t="str">
        <f>IFERROR(VLOOKUP(D73,'ВИС-2026'!$E$17:$H$2115,4,0),"")</f>
        <v>шт</v>
      </c>
      <c r="G73" s="428"/>
      <c r="H73" s="554">
        <f>IFERROR(VLOOKUP(D73,'ВИС-2026'!$E$17:$K$2649,7,0),"")</f>
        <v>13.13</v>
      </c>
      <c r="I73" s="554">
        <f t="shared" si="33"/>
        <v>0</v>
      </c>
      <c r="J73" s="554">
        <f t="shared" si="34"/>
        <v>13.13</v>
      </c>
      <c r="K73" s="554">
        <f t="shared" si="35"/>
        <v>0</v>
      </c>
      <c r="L73" s="554">
        <f t="shared" si="36"/>
        <v>0</v>
      </c>
      <c r="M73" s="554">
        <f t="shared" si="37"/>
        <v>0</v>
      </c>
      <c r="N73" s="104"/>
    </row>
    <row r="74" spans="1:14" s="73" customFormat="1" ht="30.6">
      <c r="A74" s="148" t="s">
        <v>25</v>
      </c>
      <c r="B74" s="208" t="s">
        <v>26</v>
      </c>
      <c r="C74" s="190" t="s">
        <v>23</v>
      </c>
      <c r="D74" s="188">
        <v>11600351001</v>
      </c>
      <c r="E74" s="553" t="str">
        <f>IFERROR(VLOOKUP(D74,'ВИС-2026'!$E$17:$H$2115,2,0),"")</f>
        <v>Тройник равнопроходный 40-40-40 PX</v>
      </c>
      <c r="F74" s="292" t="str">
        <f>IFERROR(VLOOKUP(D74,'ВИС-2026'!$E$17:$H$2115,4,0),"")</f>
        <v>шт</v>
      </c>
      <c r="G74" s="428"/>
      <c r="H74" s="554">
        <f>IFERROR(VLOOKUP(D74,'ВИС-2026'!$E$17:$K$2649,7,0),"")</f>
        <v>37.54</v>
      </c>
      <c r="I74" s="554">
        <f t="shared" si="33"/>
        <v>0</v>
      </c>
      <c r="J74" s="554">
        <f t="shared" si="34"/>
        <v>37.54</v>
      </c>
      <c r="K74" s="554">
        <f t="shared" si="35"/>
        <v>0</v>
      </c>
      <c r="L74" s="554">
        <f t="shared" si="36"/>
        <v>0</v>
      </c>
      <c r="M74" s="554">
        <f t="shared" si="37"/>
        <v>0</v>
      </c>
      <c r="N74" s="104"/>
    </row>
    <row r="75" spans="1:14">
      <c r="A75" s="147"/>
      <c r="B75" s="240"/>
      <c r="C75" s="247"/>
      <c r="D75" s="188"/>
      <c r="E75" s="553" t="str">
        <f>IFERROR(VLOOKUP(D75,'ВИС-2026'!$E$17:$H$2115,2,0),"")</f>
        <v/>
      </c>
      <c r="F75" s="292" t="str">
        <f>IFERROR(VLOOKUP(D75,'ВИС-2026'!$E$17:$H$2115,5,0),"")</f>
        <v/>
      </c>
      <c r="G75" s="428"/>
      <c r="H75" s="554" t="str">
        <f>IFERROR(VLOOKUP(D75,'ВИС-2026'!$E$17:$K$2649,8,0),"")</f>
        <v/>
      </c>
      <c r="I75" s="554" t="str">
        <f t="shared" si="33"/>
        <v/>
      </c>
      <c r="J75" s="554" t="str">
        <f t="shared" si="34"/>
        <v/>
      </c>
      <c r="K75" s="554" t="str">
        <f t="shared" si="35"/>
        <v/>
      </c>
      <c r="L75" s="554" t="str">
        <f t="shared" si="36"/>
        <v/>
      </c>
      <c r="M75" s="554" t="str">
        <f t="shared" si="37"/>
        <v/>
      </c>
      <c r="N75" s="104"/>
    </row>
    <row r="76" spans="1:14" s="73" customFormat="1" ht="31.15" customHeight="1">
      <c r="A76" s="150"/>
      <c r="B76" s="188" t="s">
        <v>30</v>
      </c>
      <c r="C76" s="190" t="s">
        <v>23</v>
      </c>
      <c r="D76" s="242">
        <v>14563973001</v>
      </c>
      <c r="E76" s="553" t="str">
        <f>IFERROR(VLOOKUP(D76,'ВИС-2026'!$E$17:$H$2115,2,0),"")</f>
        <v>Тройник РЕХАУ с повышенным сопротивлением на проходе 32-16-25 RX+</v>
      </c>
      <c r="F76" s="292" t="str">
        <f>IFERROR(VLOOKUP(D76,'ВИС-2026'!$E$17:$H$2115,4,0),"")</f>
        <v>шт</v>
      </c>
      <c r="G76" s="428"/>
      <c r="H76" s="554">
        <f>IFERROR(VLOOKUP(D76,'ВИС-2026'!$E$17:$K$2649,7,0),"")</f>
        <v>36.369999999999997</v>
      </c>
      <c r="I76" s="554">
        <f t="shared" si="33"/>
        <v>0</v>
      </c>
      <c r="J76" s="554">
        <f t="shared" si="34"/>
        <v>36.369999999999997</v>
      </c>
      <c r="K76" s="554">
        <f t="shared" si="35"/>
        <v>0</v>
      </c>
      <c r="L76" s="554">
        <f t="shared" si="36"/>
        <v>0</v>
      </c>
      <c r="M76" s="554">
        <f t="shared" si="37"/>
        <v>0</v>
      </c>
      <c r="N76" s="104"/>
    </row>
    <row r="77" spans="1:14" s="73" customFormat="1" ht="31.15" customHeight="1">
      <c r="A77" s="147"/>
      <c r="B77" s="188"/>
      <c r="C77" s="215"/>
      <c r="D77" s="217"/>
      <c r="E77" s="553" t="str">
        <f>IFERROR(VLOOKUP(D77,'ВИС-2026'!$E$17:$H$2115,2,0),"")</f>
        <v/>
      </c>
      <c r="F77" s="292" t="str">
        <f>IFERROR(VLOOKUP(D77,'ВИС-2026'!$E$17:$H$2115,5,0),"")</f>
        <v/>
      </c>
      <c r="G77" s="428"/>
      <c r="H77" s="554" t="str">
        <f>IFERROR(VLOOKUP(D77,'ВИС-2026'!$E$17:$K$2649,8,0),"")</f>
        <v/>
      </c>
      <c r="I77" s="554" t="str">
        <f t="shared" si="33"/>
        <v/>
      </c>
      <c r="J77" s="554" t="str">
        <f t="shared" si="34"/>
        <v/>
      </c>
      <c r="K77" s="554" t="str">
        <f t="shared" si="35"/>
        <v/>
      </c>
      <c r="L77" s="554" t="str">
        <f t="shared" si="36"/>
        <v/>
      </c>
      <c r="M77" s="554" t="str">
        <f t="shared" si="37"/>
        <v/>
      </c>
      <c r="N77" s="104"/>
    </row>
    <row r="78" spans="1:14" ht="30.6">
      <c r="A78" s="148" t="s">
        <v>25</v>
      </c>
      <c r="B78" s="208" t="s">
        <v>26</v>
      </c>
      <c r="C78" s="238" t="s">
        <v>23</v>
      </c>
      <c r="D78" s="188">
        <v>14563981001</v>
      </c>
      <c r="E78" s="553" t="str">
        <f>IFERROR(VLOOKUP(D78,'ВИС-2026'!$E$17:$H$2115,2,0),"")</f>
        <v>Тройник с повышенным сопротивлением на проходе 40-16-32 RX+</v>
      </c>
      <c r="F78" s="292" t="str">
        <f>IFERROR(VLOOKUP(D78,'ВИС-2026'!$E$17:$H$2115,4,0),"")</f>
        <v>шт</v>
      </c>
      <c r="G78" s="428"/>
      <c r="H78" s="554">
        <f>IFERROR(VLOOKUP(D78,'ВИС-2026'!$E$17:$K$2649,7,0),"")</f>
        <v>86.62</v>
      </c>
      <c r="I78" s="554">
        <f t="shared" si="33"/>
        <v>0</v>
      </c>
      <c r="J78" s="554">
        <f t="shared" si="34"/>
        <v>86.62</v>
      </c>
      <c r="K78" s="554">
        <f t="shared" si="35"/>
        <v>0</v>
      </c>
      <c r="L78" s="554">
        <f t="shared" si="36"/>
        <v>0</v>
      </c>
      <c r="M78" s="554">
        <f t="shared" si="37"/>
        <v>0</v>
      </c>
      <c r="N78" s="104"/>
    </row>
    <row r="79" spans="1:14" s="73" customFormat="1">
      <c r="A79" s="147"/>
      <c r="B79" s="240"/>
      <c r="C79" s="238"/>
      <c r="D79" s="188"/>
      <c r="E79" s="553" t="str">
        <f>IFERROR(VLOOKUP(D79,'ВИС-2026'!$E$17:$H$2115,2,0),"")</f>
        <v/>
      </c>
      <c r="F79" s="558" t="str">
        <f>IFERROR(VLOOKUP(D79,'ВИС-2026'!$E$17:$H$2115,5,0),"")</f>
        <v/>
      </c>
      <c r="G79" s="428"/>
      <c r="H79" s="559" t="str">
        <f>IFERROR(VLOOKUP(D79,'ВИС-2026'!$E$17:$K$2649,8,0),"")</f>
        <v/>
      </c>
      <c r="I79" s="559" t="str">
        <f t="shared" si="33"/>
        <v/>
      </c>
      <c r="J79" s="559" t="str">
        <f t="shared" si="34"/>
        <v/>
      </c>
      <c r="K79" s="559" t="str">
        <f t="shared" si="35"/>
        <v/>
      </c>
      <c r="L79" s="559" t="str">
        <f t="shared" si="36"/>
        <v/>
      </c>
      <c r="M79" s="559" t="str">
        <f t="shared" si="37"/>
        <v/>
      </c>
      <c r="N79" s="104"/>
    </row>
    <row r="80" spans="1:14" s="73" customFormat="1">
      <c r="A80" s="150"/>
      <c r="B80" s="188" t="s">
        <v>30</v>
      </c>
      <c r="C80" s="190" t="s">
        <v>23</v>
      </c>
      <c r="D80" s="242">
        <v>14562703001</v>
      </c>
      <c r="E80" s="553" t="str">
        <f>IFERROR(VLOOKUP(D80,'ВИС-2026'!$E$17:$H$2115,2,0),"")</f>
        <v>Проточный настенный угольник РЕХАУ 16/16-Rp 1/2 длинный RX+</v>
      </c>
      <c r="F80" s="292" t="str">
        <f>IFERROR(VLOOKUP(D80,'ВИС-2026'!$E$17:$H$2115,4,0),"")</f>
        <v>шт</v>
      </c>
      <c r="G80" s="428"/>
      <c r="H80" s="554">
        <f>IFERROR(VLOOKUP(D80,'ВИС-2026'!$E$17:$K$2649,7,0),"")</f>
        <v>40.270000000000003</v>
      </c>
      <c r="I80" s="554">
        <f t="shared" si="33"/>
        <v>0</v>
      </c>
      <c r="J80" s="554">
        <f t="shared" si="34"/>
        <v>40.270000000000003</v>
      </c>
      <c r="K80" s="554">
        <f t="shared" si="35"/>
        <v>0</v>
      </c>
      <c r="L80" s="554">
        <f t="shared" si="36"/>
        <v>0</v>
      </c>
      <c r="M80" s="554">
        <f t="shared" si="37"/>
        <v>0</v>
      </c>
      <c r="N80" s="104"/>
    </row>
    <row r="81" spans="1:14" s="73" customFormat="1">
      <c r="A81" s="147"/>
      <c r="B81" s="188" t="s">
        <v>30</v>
      </c>
      <c r="C81" s="190" t="s">
        <v>23</v>
      </c>
      <c r="D81" s="242">
        <v>14564033001</v>
      </c>
      <c r="E81" s="553" t="str">
        <f>IFERROR(VLOOKUP(D81,'ВИС-2026'!$E$17:$H$2115,2,0),"")</f>
        <v>Проточный настенный угольник РЕХАУ 16/16-Rp 1/2 короткий RX+</v>
      </c>
      <c r="F81" s="292" t="str">
        <f>IFERROR(VLOOKUP(D81,'ВИС-2026'!$E$17:$H$2115,4,0),"")</f>
        <v>шт</v>
      </c>
      <c r="G81" s="428"/>
      <c r="H81" s="554">
        <f>IFERROR(VLOOKUP(D81,'ВИС-2026'!$E$17:$K$2649,7,0),"")</f>
        <v>36.28</v>
      </c>
      <c r="I81" s="554">
        <f t="shared" si="33"/>
        <v>0</v>
      </c>
      <c r="J81" s="554">
        <f t="shared" si="34"/>
        <v>36.28</v>
      </c>
      <c r="K81" s="554">
        <f t="shared" si="35"/>
        <v>0</v>
      </c>
      <c r="L81" s="554">
        <f t="shared" si="36"/>
        <v>0</v>
      </c>
      <c r="M81" s="554">
        <f t="shared" si="37"/>
        <v>0</v>
      </c>
      <c r="N81" s="104"/>
    </row>
    <row r="82" spans="1:14" s="73" customFormat="1">
      <c r="A82" s="147"/>
      <c r="B82" s="188" t="s">
        <v>30</v>
      </c>
      <c r="C82" s="190" t="s">
        <v>23</v>
      </c>
      <c r="D82" s="242">
        <v>14562713001</v>
      </c>
      <c r="E82" s="553" t="str">
        <f>IFERROR(VLOOKUP(D82,'ВИС-2026'!$E$17:$H$2115,2,0),"")</f>
        <v>Проточный настенный угольник РЕХАУ 20/20-Rp 1/2 длинный RX+</v>
      </c>
      <c r="F82" s="292" t="str">
        <f>IFERROR(VLOOKUP(D82,'ВИС-2026'!$E$17:$H$2115,4,0),"")</f>
        <v>шт</v>
      </c>
      <c r="G82" s="428"/>
      <c r="H82" s="554">
        <f>IFERROR(VLOOKUP(D82,'ВИС-2026'!$E$17:$K$2649,7,0),"")</f>
        <v>44.71</v>
      </c>
      <c r="I82" s="554">
        <f t="shared" si="33"/>
        <v>0</v>
      </c>
      <c r="J82" s="554">
        <f t="shared" si="34"/>
        <v>44.71</v>
      </c>
      <c r="K82" s="554">
        <f t="shared" si="35"/>
        <v>0</v>
      </c>
      <c r="L82" s="554">
        <f t="shared" si="36"/>
        <v>0</v>
      </c>
      <c r="M82" s="554">
        <f t="shared" si="37"/>
        <v>0</v>
      </c>
      <c r="N82" s="104"/>
    </row>
    <row r="83" spans="1:14">
      <c r="A83" s="147"/>
      <c r="B83" s="240"/>
      <c r="C83" s="238"/>
      <c r="D83" s="250"/>
      <c r="E83" s="553" t="str">
        <f>IFERROR(VLOOKUP(D83,'ВИС-2026'!$E$17:$H$2115,2,0),"")</f>
        <v/>
      </c>
      <c r="F83" s="292" t="str">
        <f>IFERROR(VLOOKUP(D83,'ВИС-2026'!$E$17:$H$2115,5,0),"")</f>
        <v/>
      </c>
      <c r="G83" s="428"/>
      <c r="H83" s="554" t="str">
        <f>IFERROR(VLOOKUP(D83,'ВИС-2026'!$E$17:$K$2649,8,0),"")</f>
        <v/>
      </c>
      <c r="I83" s="554" t="str">
        <f t="shared" si="33"/>
        <v/>
      </c>
      <c r="J83" s="554" t="str">
        <f t="shared" si="34"/>
        <v/>
      </c>
      <c r="K83" s="554" t="str">
        <f t="shared" si="35"/>
        <v/>
      </c>
      <c r="L83" s="554" t="str">
        <f t="shared" si="36"/>
        <v/>
      </c>
      <c r="M83" s="554" t="str">
        <f t="shared" si="37"/>
        <v/>
      </c>
      <c r="N83" s="104"/>
    </row>
    <row r="84" spans="1:14" s="73" customFormat="1" ht="30.6">
      <c r="A84" s="148" t="s">
        <v>25</v>
      </c>
      <c r="B84" s="208" t="s">
        <v>26</v>
      </c>
      <c r="C84" s="238" t="s">
        <v>23</v>
      </c>
      <c r="D84" s="188">
        <v>14564171001</v>
      </c>
      <c r="E84" s="553" t="str">
        <f>IFERROR(VLOOKUP(D84,'ВИС-2026'!$E$17:$H$2115,2,0),"")</f>
        <v>Проточный настенный угольник 20/16-Rp 1/2 короткий RX+</v>
      </c>
      <c r="F84" s="292" t="str">
        <f>IFERROR(VLOOKUP(D84,'ВИС-2026'!$E$17:$H$2115,4,0),"")</f>
        <v>шт</v>
      </c>
      <c r="G84" s="428"/>
      <c r="H84" s="554">
        <f>IFERROR(VLOOKUP(D84,'ВИС-2026'!$E$17:$K$2649,7,0),"")</f>
        <v>40.06</v>
      </c>
      <c r="I84" s="554">
        <f t="shared" si="33"/>
        <v>0</v>
      </c>
      <c r="J84" s="554">
        <f t="shared" si="34"/>
        <v>40.06</v>
      </c>
      <c r="K84" s="554">
        <f t="shared" si="35"/>
        <v>0</v>
      </c>
      <c r="L84" s="554">
        <f t="shared" si="36"/>
        <v>0</v>
      </c>
      <c r="M84" s="554">
        <f t="shared" si="37"/>
        <v>0</v>
      </c>
      <c r="N84" s="104"/>
    </row>
    <row r="85" spans="1:14">
      <c r="A85" s="147"/>
      <c r="B85" s="240"/>
      <c r="C85" s="238"/>
      <c r="D85" s="188"/>
      <c r="E85" s="553" t="str">
        <f>IFERROR(VLOOKUP(D85,'ВИС-2026'!$E$17:$H$2115,2,0),"")</f>
        <v/>
      </c>
      <c r="F85" s="292" t="str">
        <f>IFERROR(VLOOKUP(D85,'ВИС-2026'!$E$17:$H$2115,5,0),"")</f>
        <v/>
      </c>
      <c r="G85" s="428"/>
      <c r="H85" s="554" t="str">
        <f>IFERROR(VLOOKUP(D85,'ВИС-2026'!$E$17:$K$2649,8,0),"")</f>
        <v/>
      </c>
      <c r="I85" s="554" t="str">
        <f t="shared" si="33"/>
        <v/>
      </c>
      <c r="J85" s="554" t="str">
        <f t="shared" si="34"/>
        <v/>
      </c>
      <c r="K85" s="554" t="str">
        <f t="shared" si="35"/>
        <v/>
      </c>
      <c r="L85" s="554" t="str">
        <f t="shared" si="36"/>
        <v/>
      </c>
      <c r="M85" s="554" t="str">
        <f t="shared" si="37"/>
        <v/>
      </c>
      <c r="N85" s="104"/>
    </row>
    <row r="86" spans="1:14" s="74" customFormat="1">
      <c r="A86" s="147"/>
      <c r="B86" s="188" t="s">
        <v>30</v>
      </c>
      <c r="C86" s="190" t="s">
        <v>23</v>
      </c>
      <c r="D86" s="242">
        <v>14564013001</v>
      </c>
      <c r="E86" s="553" t="str">
        <f>IFERROR(VLOOKUP(D86,'ВИС-2026'!$E$17:$H$2115,2,0),"")</f>
        <v>Тройник РЕХАУ с наружной резьбой 20-20-R 1/2 RX+</v>
      </c>
      <c r="F86" s="292" t="str">
        <f>IFERROR(VLOOKUP(D86,'ВИС-2026'!$E$17:$H$2115,4,0),"")</f>
        <v>шт</v>
      </c>
      <c r="G86" s="428"/>
      <c r="H86" s="554">
        <f>IFERROR(VLOOKUP(D86,'ВИС-2026'!$E$17:$K$2649,7,0),"")</f>
        <v>29.23</v>
      </c>
      <c r="I86" s="554">
        <f t="shared" si="33"/>
        <v>0</v>
      </c>
      <c r="J86" s="554">
        <f t="shared" si="34"/>
        <v>29.23</v>
      </c>
      <c r="K86" s="554">
        <f t="shared" si="35"/>
        <v>0</v>
      </c>
      <c r="L86" s="554">
        <f t="shared" si="36"/>
        <v>0</v>
      </c>
      <c r="M86" s="554">
        <f t="shared" si="37"/>
        <v>0</v>
      </c>
      <c r="N86" s="104"/>
    </row>
    <row r="87" spans="1:14" s="73" customFormat="1">
      <c r="A87" s="147"/>
      <c r="B87" s="240"/>
      <c r="C87" s="238"/>
      <c r="D87" s="188"/>
      <c r="E87" s="553" t="str">
        <f>IFERROR(VLOOKUP(D87,'ВИС-2026'!$E$17:$H$2115,2,0),"")</f>
        <v/>
      </c>
      <c r="F87" s="558" t="str">
        <f>IFERROR(VLOOKUP(D87,'ВИС-2026'!$E$17:$H$2115,5,0),"")</f>
        <v/>
      </c>
      <c r="G87" s="428"/>
      <c r="H87" s="559" t="str">
        <f>IFERROR(VLOOKUP(D87,'ВИС-2026'!$E$17:$K$2649,8,0),"")</f>
        <v/>
      </c>
      <c r="I87" s="559" t="str">
        <f t="shared" si="33"/>
        <v/>
      </c>
      <c r="J87" s="559" t="str">
        <f t="shared" si="34"/>
        <v/>
      </c>
      <c r="K87" s="559" t="str">
        <f t="shared" si="35"/>
        <v/>
      </c>
      <c r="L87" s="559" t="str">
        <f t="shared" si="36"/>
        <v/>
      </c>
      <c r="M87" s="559" t="str">
        <f t="shared" si="37"/>
        <v/>
      </c>
      <c r="N87" s="104"/>
    </row>
    <row r="88" spans="1:14" s="73" customFormat="1" ht="30.6">
      <c r="A88" s="148" t="s">
        <v>25</v>
      </c>
      <c r="B88" s="208" t="s">
        <v>26</v>
      </c>
      <c r="C88" s="238" t="s">
        <v>23</v>
      </c>
      <c r="D88" s="188">
        <v>14564011001</v>
      </c>
      <c r="E88" s="553" t="str">
        <f>IFERROR(VLOOKUP(D88,'ВИС-2026'!$E$17:$H$2115,2,0),"")</f>
        <v>Тройник с наружной резьбой 20-20-R 1/2 RX+</v>
      </c>
      <c r="F88" s="292" t="str">
        <f>IFERROR(VLOOKUP(D88,'ВИС-2026'!$E$17:$H$2115,4,0),"")</f>
        <v>шт</v>
      </c>
      <c r="G88" s="428"/>
      <c r="H88" s="554">
        <f>IFERROR(VLOOKUP(D88,'ВИС-2026'!$E$17:$K$2649,7,0),"")</f>
        <v>28.47</v>
      </c>
      <c r="I88" s="554">
        <f t="shared" si="33"/>
        <v>0</v>
      </c>
      <c r="J88" s="554">
        <f t="shared" si="34"/>
        <v>28.47</v>
      </c>
      <c r="K88" s="554">
        <f t="shared" si="35"/>
        <v>0</v>
      </c>
      <c r="L88" s="554">
        <f t="shared" si="36"/>
        <v>0</v>
      </c>
      <c r="M88" s="554">
        <f t="shared" si="37"/>
        <v>0</v>
      </c>
      <c r="N88" s="104"/>
    </row>
    <row r="89" spans="1:14" s="73" customFormat="1">
      <c r="A89" s="147"/>
      <c r="B89" s="240"/>
      <c r="C89" s="238"/>
      <c r="D89" s="188"/>
      <c r="E89" s="553" t="str">
        <f>IFERROR(VLOOKUP(D89,'ВИС-2026'!$E$17:$H$2115,2,0),"")</f>
        <v/>
      </c>
      <c r="F89" s="292" t="str">
        <f>IFERROR(VLOOKUP(D89,'ВИС-2026'!$E$17:$H$2115,5,0),"")</f>
        <v/>
      </c>
      <c r="G89" s="428"/>
      <c r="H89" s="554" t="str">
        <f>IFERROR(VLOOKUP(D89,'ВИС-2026'!$E$17:$K$2649,8,0),"")</f>
        <v/>
      </c>
      <c r="I89" s="554" t="str">
        <f t="shared" si="33"/>
        <v/>
      </c>
      <c r="J89" s="554" t="str">
        <f t="shared" si="34"/>
        <v/>
      </c>
      <c r="K89" s="554" t="str">
        <f t="shared" si="35"/>
        <v/>
      </c>
      <c r="L89" s="554" t="str">
        <f t="shared" si="36"/>
        <v/>
      </c>
      <c r="M89" s="554" t="str">
        <f t="shared" si="37"/>
        <v/>
      </c>
      <c r="N89" s="104"/>
    </row>
    <row r="90" spans="1:14" s="73" customFormat="1">
      <c r="A90" s="147"/>
      <c r="B90" s="188" t="s">
        <v>30</v>
      </c>
      <c r="C90" s="190" t="s">
        <v>23</v>
      </c>
      <c r="D90" s="242">
        <v>14570613001</v>
      </c>
      <c r="E90" s="553" t="str">
        <f>IFERROR(VLOOKUP(D90,'ВИС-2026'!$E$17:$H$2115,2,0),"")</f>
        <v>Тройник РЕХАУ с уменьшенным боковым проходом 20-16-20 RX+</v>
      </c>
      <c r="F90" s="292" t="str">
        <f>IFERROR(VLOOKUP(D90,'ВИС-2026'!$E$17:$H$2115,4,0),"")</f>
        <v>шт</v>
      </c>
      <c r="G90" s="428"/>
      <c r="H90" s="554">
        <f>IFERROR(VLOOKUP(D90,'ВИС-2026'!$E$17:$K$2649,7,0),"")</f>
        <v>13.65</v>
      </c>
      <c r="I90" s="554">
        <f t="shared" si="33"/>
        <v>0</v>
      </c>
      <c r="J90" s="554">
        <f t="shared" si="34"/>
        <v>13.65</v>
      </c>
      <c r="K90" s="554">
        <f t="shared" si="35"/>
        <v>0</v>
      </c>
      <c r="L90" s="554">
        <f t="shared" si="36"/>
        <v>0</v>
      </c>
      <c r="M90" s="554">
        <f t="shared" si="37"/>
        <v>0</v>
      </c>
      <c r="N90" s="104"/>
    </row>
    <row r="91" spans="1:14">
      <c r="A91" s="147"/>
      <c r="B91" s="188" t="s">
        <v>30</v>
      </c>
      <c r="C91" s="190" t="s">
        <v>23</v>
      </c>
      <c r="D91" s="242">
        <v>14570623001</v>
      </c>
      <c r="E91" s="553" t="str">
        <f>IFERROR(VLOOKUP(D91,'ВИС-2026'!$E$17:$H$2115,2,0),"")</f>
        <v>Тройник РЕХАУ с уменьшенным боковым проходом 25-16-25 RX+</v>
      </c>
      <c r="F91" s="292" t="str">
        <f>IFERROR(VLOOKUP(D91,'ВИС-2026'!$E$17:$H$2115,4,0),"")</f>
        <v>шт</v>
      </c>
      <c r="G91" s="428"/>
      <c r="H91" s="554">
        <f>IFERROR(VLOOKUP(D91,'ВИС-2026'!$E$17:$K$2649,7,0),"")</f>
        <v>20.69</v>
      </c>
      <c r="I91" s="554">
        <f t="shared" si="33"/>
        <v>0</v>
      </c>
      <c r="J91" s="554">
        <f t="shared" si="34"/>
        <v>20.69</v>
      </c>
      <c r="K91" s="554">
        <f t="shared" si="35"/>
        <v>0</v>
      </c>
      <c r="L91" s="554">
        <f t="shared" si="36"/>
        <v>0</v>
      </c>
      <c r="M91" s="554">
        <f t="shared" si="37"/>
        <v>0</v>
      </c>
      <c r="N91" s="104"/>
    </row>
    <row r="92" spans="1:14" s="73" customFormat="1">
      <c r="A92" s="147"/>
      <c r="B92" s="188" t="s">
        <v>30</v>
      </c>
      <c r="C92" s="190" t="s">
        <v>23</v>
      </c>
      <c r="D92" s="242">
        <v>14570633001</v>
      </c>
      <c r="E92" s="553" t="str">
        <f>IFERROR(VLOOKUP(D92,'ВИС-2026'!$E$17:$H$2115,2,0),"")</f>
        <v>Тройник РЕХАУ с уменьшенным боковым проходом 25-20-25 RX+</v>
      </c>
      <c r="F92" s="292" t="str">
        <f>IFERROR(VLOOKUP(D92,'ВИС-2026'!$E$17:$H$2115,4,0),"")</f>
        <v>шт</v>
      </c>
      <c r="G92" s="428"/>
      <c r="H92" s="554">
        <f>IFERROR(VLOOKUP(D92,'ВИС-2026'!$E$17:$K$2649,7,0),"")</f>
        <v>23.14</v>
      </c>
      <c r="I92" s="554">
        <f t="shared" si="33"/>
        <v>0</v>
      </c>
      <c r="J92" s="554">
        <f t="shared" si="34"/>
        <v>23.14</v>
      </c>
      <c r="K92" s="554">
        <f t="shared" si="35"/>
        <v>0</v>
      </c>
      <c r="L92" s="554">
        <f t="shared" si="36"/>
        <v>0</v>
      </c>
      <c r="M92" s="554">
        <f t="shared" si="37"/>
        <v>0</v>
      </c>
      <c r="N92" s="104"/>
    </row>
    <row r="93" spans="1:14" s="73" customFormat="1">
      <c r="A93" s="147"/>
      <c r="B93" s="188" t="s">
        <v>30</v>
      </c>
      <c r="C93" s="190" t="s">
        <v>23</v>
      </c>
      <c r="D93" s="242">
        <v>14570643001</v>
      </c>
      <c r="E93" s="553" t="str">
        <f>IFERROR(VLOOKUP(D93,'ВИС-2026'!$E$17:$H$2115,2,0),"")</f>
        <v>Тройник РЕХАУ с уменьшенным боковым проходом 32-16-32 RX+</v>
      </c>
      <c r="F93" s="292" t="str">
        <f>IFERROR(VLOOKUP(D93,'ВИС-2026'!$E$17:$H$2115,4,0),"")</f>
        <v>шт</v>
      </c>
      <c r="G93" s="428"/>
      <c r="H93" s="554">
        <f>IFERROR(VLOOKUP(D93,'ВИС-2026'!$E$17:$K$2649,7,0),"")</f>
        <v>33.67</v>
      </c>
      <c r="I93" s="554">
        <f t="shared" si="33"/>
        <v>0</v>
      </c>
      <c r="J93" s="554">
        <f t="shared" si="34"/>
        <v>33.67</v>
      </c>
      <c r="K93" s="554">
        <f t="shared" si="35"/>
        <v>0</v>
      </c>
      <c r="L93" s="554">
        <f t="shared" si="36"/>
        <v>0</v>
      </c>
      <c r="M93" s="554">
        <f t="shared" si="37"/>
        <v>0</v>
      </c>
      <c r="N93" s="104"/>
    </row>
    <row r="94" spans="1:14">
      <c r="A94" s="147"/>
      <c r="B94" s="188" t="s">
        <v>30</v>
      </c>
      <c r="C94" s="190" t="s">
        <v>23</v>
      </c>
      <c r="D94" s="242">
        <v>14570653001</v>
      </c>
      <c r="E94" s="553" t="str">
        <f>IFERROR(VLOOKUP(D94,'ВИС-2026'!$E$17:$H$2115,2,0),"")</f>
        <v>Тройник РЕХАУ с уменьшенным боковым проходом 32-20-32 RX+</v>
      </c>
      <c r="F94" s="292" t="str">
        <f>IFERROR(VLOOKUP(D94,'ВИС-2026'!$E$17:$H$2115,4,0),"")</f>
        <v>шт</v>
      </c>
      <c r="G94" s="428"/>
      <c r="H94" s="554">
        <f>IFERROR(VLOOKUP(D94,'ВИС-2026'!$E$17:$K$2649,7,0),"")</f>
        <v>33.869999999999997</v>
      </c>
      <c r="I94" s="554">
        <f t="shared" si="33"/>
        <v>0</v>
      </c>
      <c r="J94" s="554">
        <f t="shared" si="34"/>
        <v>33.869999999999997</v>
      </c>
      <c r="K94" s="554">
        <f t="shared" si="35"/>
        <v>0</v>
      </c>
      <c r="L94" s="554">
        <f t="shared" si="36"/>
        <v>0</v>
      </c>
      <c r="M94" s="554">
        <f t="shared" si="37"/>
        <v>0</v>
      </c>
      <c r="N94" s="104"/>
    </row>
    <row r="95" spans="1:14" s="73" customFormat="1">
      <c r="A95" s="147"/>
      <c r="B95" s="188" t="s">
        <v>30</v>
      </c>
      <c r="C95" s="190" t="s">
        <v>23</v>
      </c>
      <c r="D95" s="242">
        <v>14570663001</v>
      </c>
      <c r="E95" s="553" t="str">
        <f>IFERROR(VLOOKUP(D95,'ВИС-2026'!$E$17:$H$2115,2,0),"")</f>
        <v>Тройник РЕХАУ с уменьшенным боковым проходом 32-25-32 RX+</v>
      </c>
      <c r="F95" s="292" t="str">
        <f>IFERROR(VLOOKUP(D95,'ВИС-2026'!$E$17:$H$2115,4,0),"")</f>
        <v>шт</v>
      </c>
      <c r="G95" s="428"/>
      <c r="H95" s="554">
        <f>IFERROR(VLOOKUP(D95,'ВИС-2026'!$E$17:$K$2649,7,0),"")</f>
        <v>38.880000000000003</v>
      </c>
      <c r="I95" s="554">
        <f t="shared" si="33"/>
        <v>0</v>
      </c>
      <c r="J95" s="554">
        <f t="shared" si="34"/>
        <v>38.880000000000003</v>
      </c>
      <c r="K95" s="554">
        <f t="shared" si="35"/>
        <v>0</v>
      </c>
      <c r="L95" s="554">
        <f t="shared" si="36"/>
        <v>0</v>
      </c>
      <c r="M95" s="554">
        <f t="shared" si="37"/>
        <v>0</v>
      </c>
      <c r="N95" s="104"/>
    </row>
    <row r="96" spans="1:14">
      <c r="A96" s="150"/>
      <c r="B96" s="188" t="s">
        <v>30</v>
      </c>
      <c r="C96" s="190" t="s">
        <v>23</v>
      </c>
      <c r="D96" s="242">
        <v>14570673001</v>
      </c>
      <c r="E96" s="553" t="str">
        <f>IFERROR(VLOOKUP(D96,'ВИС-2026'!$E$17:$H$2115,2,0),"")</f>
        <v>Тройник РЕХАУ с уменьшенным боковым проходом 40-20-40 RX+</v>
      </c>
      <c r="F96" s="292" t="str">
        <f>IFERROR(VLOOKUP(D96,'ВИС-2026'!$E$17:$H$2115,4,0),"")</f>
        <v>шт</v>
      </c>
      <c r="G96" s="428"/>
      <c r="H96" s="554">
        <f>IFERROR(VLOOKUP(D96,'ВИС-2026'!$E$17:$K$2649,7,0),"")</f>
        <v>77.92</v>
      </c>
      <c r="I96" s="554">
        <f t="shared" si="33"/>
        <v>0</v>
      </c>
      <c r="J96" s="554">
        <f t="shared" si="34"/>
        <v>77.92</v>
      </c>
      <c r="K96" s="554">
        <f t="shared" si="35"/>
        <v>0</v>
      </c>
      <c r="L96" s="554">
        <f t="shared" si="36"/>
        <v>0</v>
      </c>
      <c r="M96" s="554">
        <f t="shared" si="37"/>
        <v>0</v>
      </c>
      <c r="N96" s="104"/>
    </row>
    <row r="97" spans="1:14">
      <c r="A97" s="150"/>
      <c r="B97" s="188" t="s">
        <v>30</v>
      </c>
      <c r="C97" s="190" t="s">
        <v>23</v>
      </c>
      <c r="D97" s="242">
        <v>14570683001</v>
      </c>
      <c r="E97" s="553" t="str">
        <f>IFERROR(VLOOKUP(D97,'ВИС-2026'!$E$17:$H$2115,2,0),"")</f>
        <v>Тройник РЕХАУ с уменьшенным боковым проходом 40-25-40 RX+</v>
      </c>
      <c r="F97" s="292" t="str">
        <f>IFERROR(VLOOKUP(D97,'ВИС-2026'!$E$17:$H$2115,4,0),"")</f>
        <v>шт</v>
      </c>
      <c r="G97" s="428"/>
      <c r="H97" s="554">
        <f>IFERROR(VLOOKUP(D97,'ВИС-2026'!$E$17:$K$2649,7,0),"")</f>
        <v>77.92</v>
      </c>
      <c r="I97" s="554">
        <f t="shared" si="33"/>
        <v>0</v>
      </c>
      <c r="J97" s="554">
        <f t="shared" si="34"/>
        <v>77.92</v>
      </c>
      <c r="K97" s="554">
        <f t="shared" si="35"/>
        <v>0</v>
      </c>
      <c r="L97" s="554">
        <f t="shared" si="36"/>
        <v>0</v>
      </c>
      <c r="M97" s="554">
        <f t="shared" si="37"/>
        <v>0</v>
      </c>
      <c r="N97" s="104"/>
    </row>
    <row r="98" spans="1:14">
      <c r="A98" s="150"/>
      <c r="B98" s="188" t="s">
        <v>30</v>
      </c>
      <c r="C98" s="190" t="s">
        <v>23</v>
      </c>
      <c r="D98" s="242">
        <v>14570693001</v>
      </c>
      <c r="E98" s="553" t="str">
        <f>IFERROR(VLOOKUP(D98,'ВИС-2026'!$E$17:$H$2115,2,0),"")</f>
        <v>Тройник РЕХАУ с уменьшенным боковым проходом 40-32-40 RX+</v>
      </c>
      <c r="F98" s="292" t="str">
        <f>IFERROR(VLOOKUP(D98,'ВИС-2026'!$E$17:$H$2115,4,0),"")</f>
        <v>шт</v>
      </c>
      <c r="G98" s="428"/>
      <c r="H98" s="554">
        <f>IFERROR(VLOOKUP(D98,'ВИС-2026'!$E$17:$K$2649,7,0),"")</f>
        <v>77.92</v>
      </c>
      <c r="I98" s="554">
        <f t="shared" si="33"/>
        <v>0</v>
      </c>
      <c r="J98" s="554">
        <f t="shared" si="34"/>
        <v>77.92</v>
      </c>
      <c r="K98" s="554">
        <f t="shared" si="35"/>
        <v>0</v>
      </c>
      <c r="L98" s="554">
        <f t="shared" si="36"/>
        <v>0</v>
      </c>
      <c r="M98" s="554">
        <f t="shared" si="37"/>
        <v>0</v>
      </c>
      <c r="N98" s="104"/>
    </row>
    <row r="99" spans="1:14" s="73" customFormat="1">
      <c r="A99" s="147"/>
      <c r="B99" s="240"/>
      <c r="C99" s="238"/>
      <c r="D99" s="188"/>
      <c r="E99" s="553" t="str">
        <f>IFERROR(VLOOKUP(D99,'ВИС-2026'!$E$17:$H$2115,2,0),"")</f>
        <v/>
      </c>
      <c r="F99" s="558" t="str">
        <f>IFERROR(VLOOKUP(D99,'ВИС-2026'!$E$17:$H$2115,5,0),"")</f>
        <v/>
      </c>
      <c r="G99" s="428"/>
      <c r="H99" s="559" t="str">
        <f>IFERROR(VLOOKUP(D99,'ВИС-2026'!$E$17:$K$2649,8,0),"")</f>
        <v/>
      </c>
      <c r="I99" s="559" t="str">
        <f t="shared" si="33"/>
        <v/>
      </c>
      <c r="J99" s="559" t="str">
        <f t="shared" si="34"/>
        <v/>
      </c>
      <c r="K99" s="559" t="str">
        <f t="shared" si="35"/>
        <v/>
      </c>
      <c r="L99" s="559" t="str">
        <f t="shared" si="36"/>
        <v/>
      </c>
      <c r="M99" s="559" t="str">
        <f t="shared" si="37"/>
        <v/>
      </c>
      <c r="N99" s="104"/>
    </row>
    <row r="100" spans="1:14" s="74" customFormat="1">
      <c r="A100" s="147"/>
      <c r="B100" s="188" t="s">
        <v>30</v>
      </c>
      <c r="C100" s="190" t="s">
        <v>23</v>
      </c>
      <c r="D100" s="188">
        <v>11080611001</v>
      </c>
      <c r="E100" s="553" t="str">
        <f>IFERROR(VLOOKUP(D100,'ВИС-2026'!$E$17:$H$2115,2,0),"")</f>
        <v>Тройник с уменьшенным боковым проходом 20-16-20 MX</v>
      </c>
      <c r="F100" s="292" t="str">
        <f>IFERROR(VLOOKUP(D100,'ВИС-2026'!$E$17:$H$2115,4,0),"")</f>
        <v>шт</v>
      </c>
      <c r="G100" s="428"/>
      <c r="H100" s="554">
        <f>IFERROR(VLOOKUP(D100,'ВИС-2026'!$E$17:$K$2649,7,0),"")</f>
        <v>8.27</v>
      </c>
      <c r="I100" s="554">
        <f t="shared" si="33"/>
        <v>0</v>
      </c>
      <c r="J100" s="554">
        <f t="shared" si="34"/>
        <v>8.27</v>
      </c>
      <c r="K100" s="554">
        <f t="shared" si="35"/>
        <v>0</v>
      </c>
      <c r="L100" s="554">
        <f t="shared" si="36"/>
        <v>0</v>
      </c>
      <c r="M100" s="554">
        <f t="shared" si="37"/>
        <v>0</v>
      </c>
      <c r="N100" s="104"/>
    </row>
    <row r="101" spans="1:14" s="73" customFormat="1">
      <c r="A101" s="147"/>
      <c r="B101" s="188" t="s">
        <v>30</v>
      </c>
      <c r="C101" s="190" t="s">
        <v>23</v>
      </c>
      <c r="D101" s="188">
        <v>11080621001</v>
      </c>
      <c r="E101" s="553" t="str">
        <f>IFERROR(VLOOKUP(D101,'ВИС-2026'!$E$17:$H$2115,2,0),"")</f>
        <v>Тройник с уменьшенным боковым проходом 25-16-25 MX</v>
      </c>
      <c r="F101" s="292" t="str">
        <f>IFERROR(VLOOKUP(D101,'ВИС-2026'!$E$17:$H$2115,4,0),"")</f>
        <v>шт</v>
      </c>
      <c r="G101" s="428"/>
      <c r="H101" s="554">
        <f>IFERROR(VLOOKUP(D101,'ВИС-2026'!$E$17:$K$2649,7,0),"")</f>
        <v>13.18</v>
      </c>
      <c r="I101" s="554">
        <f t="shared" si="33"/>
        <v>0</v>
      </c>
      <c r="J101" s="554">
        <f t="shared" si="34"/>
        <v>13.18</v>
      </c>
      <c r="K101" s="554">
        <f t="shared" si="35"/>
        <v>0</v>
      </c>
      <c r="L101" s="554">
        <f t="shared" si="36"/>
        <v>0</v>
      </c>
      <c r="M101" s="554">
        <f t="shared" si="37"/>
        <v>0</v>
      </c>
      <c r="N101" s="104"/>
    </row>
    <row r="102" spans="1:14" s="74" customFormat="1">
      <c r="A102" s="147"/>
      <c r="B102" s="188" t="s">
        <v>30</v>
      </c>
      <c r="C102" s="190" t="s">
        <v>23</v>
      </c>
      <c r="D102" s="188">
        <v>11080631001</v>
      </c>
      <c r="E102" s="553" t="str">
        <f>IFERROR(VLOOKUP(D102,'ВИС-2026'!$E$17:$H$2115,2,0),"")</f>
        <v>Тройник с уменьшенным боковым проходом 25-20-25 MX</v>
      </c>
      <c r="F102" s="292" t="str">
        <f>IFERROR(VLOOKUP(D102,'ВИС-2026'!$E$17:$H$2115,4,0),"")</f>
        <v>шт</v>
      </c>
      <c r="G102" s="428"/>
      <c r="H102" s="554">
        <f>IFERROR(VLOOKUP(D102,'ВИС-2026'!$E$17:$K$2649,7,0),"")</f>
        <v>13.46</v>
      </c>
      <c r="I102" s="554">
        <f t="shared" si="33"/>
        <v>0</v>
      </c>
      <c r="J102" s="554">
        <f t="shared" si="34"/>
        <v>13.46</v>
      </c>
      <c r="K102" s="554">
        <f t="shared" si="35"/>
        <v>0</v>
      </c>
      <c r="L102" s="554">
        <f t="shared" si="36"/>
        <v>0</v>
      </c>
      <c r="M102" s="554">
        <f t="shared" si="37"/>
        <v>0</v>
      </c>
      <c r="N102" s="104"/>
    </row>
    <row r="103" spans="1:14" s="73" customFormat="1">
      <c r="A103" s="147"/>
      <c r="B103" s="188" t="s">
        <v>30</v>
      </c>
      <c r="C103" s="190" t="s">
        <v>23</v>
      </c>
      <c r="D103" s="188">
        <v>11080641001</v>
      </c>
      <c r="E103" s="553" t="str">
        <f>IFERROR(VLOOKUP(D103,'ВИС-2026'!$E$17:$H$2115,2,0),"")</f>
        <v>Тройник с уменьшенным боковым проходом 32-16-32 MX</v>
      </c>
      <c r="F103" s="292" t="str">
        <f>IFERROR(VLOOKUP(D103,'ВИС-2026'!$E$17:$H$2115,4,0),"")</f>
        <v>шт</v>
      </c>
      <c r="G103" s="428"/>
      <c r="H103" s="554">
        <f>IFERROR(VLOOKUP(D103,'ВИС-2026'!$E$17:$K$2649,7,0),"")</f>
        <v>21.45</v>
      </c>
      <c r="I103" s="554">
        <f t="shared" si="33"/>
        <v>0</v>
      </c>
      <c r="J103" s="554">
        <f t="shared" si="34"/>
        <v>21.45</v>
      </c>
      <c r="K103" s="554">
        <f t="shared" si="35"/>
        <v>0</v>
      </c>
      <c r="L103" s="554">
        <f t="shared" si="36"/>
        <v>0</v>
      </c>
      <c r="M103" s="554">
        <f t="shared" si="37"/>
        <v>0</v>
      </c>
      <c r="N103" s="104"/>
    </row>
    <row r="104" spans="1:14" s="74" customFormat="1">
      <c r="A104" s="147"/>
      <c r="B104" s="188" t="s">
        <v>30</v>
      </c>
      <c r="C104" s="190" t="s">
        <v>23</v>
      </c>
      <c r="D104" s="188">
        <v>11080651001</v>
      </c>
      <c r="E104" s="553" t="str">
        <f>IFERROR(VLOOKUP(D104,'ВИС-2026'!$E$17:$H$2115,2,0),"")</f>
        <v>Тройник с уменьшенным боковым проходом 32-20-32 MX</v>
      </c>
      <c r="F104" s="292" t="str">
        <f>IFERROR(VLOOKUP(D104,'ВИС-2026'!$E$17:$H$2115,4,0),"")</f>
        <v>шт</v>
      </c>
      <c r="G104" s="428"/>
      <c r="H104" s="554">
        <f>IFERROR(VLOOKUP(D104,'ВИС-2026'!$E$17:$K$2649,7,0),"")</f>
        <v>21.57</v>
      </c>
      <c r="I104" s="554">
        <f t="shared" si="33"/>
        <v>0</v>
      </c>
      <c r="J104" s="554">
        <f t="shared" si="34"/>
        <v>21.57</v>
      </c>
      <c r="K104" s="554">
        <f t="shared" si="35"/>
        <v>0</v>
      </c>
      <c r="L104" s="554">
        <f t="shared" si="36"/>
        <v>0</v>
      </c>
      <c r="M104" s="554">
        <f t="shared" si="37"/>
        <v>0</v>
      </c>
      <c r="N104" s="104"/>
    </row>
    <row r="105" spans="1:14" s="73" customFormat="1">
      <c r="A105" s="147"/>
      <c r="B105" s="188" t="s">
        <v>30</v>
      </c>
      <c r="C105" s="190" t="s">
        <v>23</v>
      </c>
      <c r="D105" s="188">
        <v>11080661001</v>
      </c>
      <c r="E105" s="553" t="str">
        <f>IFERROR(VLOOKUP(D105,'ВИС-2026'!$E$17:$H$2115,2,0),"")</f>
        <v>Тройник с уменьшенным боковым проходом 32-25-32 MX</v>
      </c>
      <c r="F105" s="292" t="str">
        <f>IFERROR(VLOOKUP(D105,'ВИС-2026'!$E$17:$H$2115,4,0),"")</f>
        <v>шт</v>
      </c>
      <c r="G105" s="428"/>
      <c r="H105" s="554">
        <f>IFERROR(VLOOKUP(D105,'ВИС-2026'!$E$17:$K$2649,7,0),"")</f>
        <v>24.77</v>
      </c>
      <c r="I105" s="554">
        <f t="shared" si="33"/>
        <v>0</v>
      </c>
      <c r="J105" s="554">
        <f t="shared" si="34"/>
        <v>24.77</v>
      </c>
      <c r="K105" s="554">
        <f t="shared" si="35"/>
        <v>0</v>
      </c>
      <c r="L105" s="554">
        <f t="shared" si="36"/>
        <v>0</v>
      </c>
      <c r="M105" s="554">
        <f t="shared" si="37"/>
        <v>0</v>
      </c>
      <c r="N105" s="104"/>
    </row>
    <row r="106" spans="1:14" s="73" customFormat="1">
      <c r="A106" s="147"/>
      <c r="B106" s="188" t="s">
        <v>30</v>
      </c>
      <c r="C106" s="190" t="s">
        <v>23</v>
      </c>
      <c r="D106" s="255">
        <v>11080671001</v>
      </c>
      <c r="E106" s="553" t="str">
        <f>IFERROR(VLOOKUP(D106,'ВИС-2026'!$E$17:$H$2115,2,0),"")</f>
        <v>Тройник с уменьшенным боковым проходом 40-20-40 MX</v>
      </c>
      <c r="F106" s="292" t="str">
        <f>IFERROR(VLOOKUP(D106,'ВИС-2026'!$E$17:$H$2115,4,0),"")</f>
        <v>шт</v>
      </c>
      <c r="G106" s="428"/>
      <c r="H106" s="554">
        <f>IFERROR(VLOOKUP(D106,'ВИС-2026'!$E$17:$K$2649,7,0),"")</f>
        <v>49.63</v>
      </c>
      <c r="I106" s="554">
        <f t="shared" si="33"/>
        <v>0</v>
      </c>
      <c r="J106" s="554">
        <f t="shared" si="34"/>
        <v>49.63</v>
      </c>
      <c r="K106" s="554">
        <f t="shared" si="35"/>
        <v>0</v>
      </c>
      <c r="L106" s="554">
        <f t="shared" si="36"/>
        <v>0</v>
      </c>
      <c r="M106" s="554">
        <f t="shared" si="37"/>
        <v>0</v>
      </c>
      <c r="N106" s="104"/>
    </row>
    <row r="107" spans="1:14">
      <c r="A107" s="147"/>
      <c r="B107" s="188" t="s">
        <v>30</v>
      </c>
      <c r="C107" s="190" t="s">
        <v>23</v>
      </c>
      <c r="D107" s="188">
        <v>11080681001</v>
      </c>
      <c r="E107" s="553" t="str">
        <f>IFERROR(VLOOKUP(D107,'ВИС-2026'!$E$17:$H$2115,2,0),"")</f>
        <v>Тройник с уменьшенным боковым проходом 40-25-40 MX</v>
      </c>
      <c r="F107" s="292" t="str">
        <f>IFERROR(VLOOKUP(D107,'ВИС-2026'!$E$17:$H$2115,4,0),"")</f>
        <v>шт</v>
      </c>
      <c r="G107" s="428"/>
      <c r="H107" s="554">
        <f>IFERROR(VLOOKUP(D107,'ВИС-2026'!$E$17:$K$2649,7,0),"")</f>
        <v>49.63</v>
      </c>
      <c r="I107" s="554">
        <f t="shared" si="33"/>
        <v>0</v>
      </c>
      <c r="J107" s="554">
        <f t="shared" si="34"/>
        <v>49.63</v>
      </c>
      <c r="K107" s="554">
        <f t="shared" si="35"/>
        <v>0</v>
      </c>
      <c r="L107" s="554">
        <f t="shared" si="36"/>
        <v>0</v>
      </c>
      <c r="M107" s="554">
        <f t="shared" si="37"/>
        <v>0</v>
      </c>
      <c r="N107" s="104"/>
    </row>
    <row r="108" spans="1:14" s="73" customFormat="1">
      <c r="A108" s="147"/>
      <c r="B108" s="188" t="s">
        <v>30</v>
      </c>
      <c r="C108" s="190" t="s">
        <v>23</v>
      </c>
      <c r="D108" s="188">
        <v>11080691001</v>
      </c>
      <c r="E108" s="553" t="str">
        <f>IFERROR(VLOOKUP(D108,'ВИС-2026'!$E$17:$H$2115,2,0),"")</f>
        <v>Тройник с уменьшенным боковым проходом 40-32-40 MX</v>
      </c>
      <c r="F108" s="292" t="str">
        <f>IFERROR(VLOOKUP(D108,'ВИС-2026'!$E$17:$H$2115,4,0),"")</f>
        <v>шт</v>
      </c>
      <c r="G108" s="428"/>
      <c r="H108" s="554">
        <f>IFERROR(VLOOKUP(D108,'ВИС-2026'!$E$17:$K$2649,7,0),"")</f>
        <v>49.63</v>
      </c>
      <c r="I108" s="554">
        <f t="shared" si="33"/>
        <v>0</v>
      </c>
      <c r="J108" s="554">
        <f t="shared" si="34"/>
        <v>49.63</v>
      </c>
      <c r="K108" s="554">
        <f t="shared" si="35"/>
        <v>0</v>
      </c>
      <c r="L108" s="554">
        <f t="shared" si="36"/>
        <v>0</v>
      </c>
      <c r="M108" s="554">
        <f t="shared" si="37"/>
        <v>0</v>
      </c>
      <c r="N108" s="104"/>
    </row>
    <row r="109" spans="1:14" s="73" customFormat="1">
      <c r="A109" s="147"/>
      <c r="B109" s="188" t="s">
        <v>30</v>
      </c>
      <c r="C109" s="190" t="s">
        <v>23</v>
      </c>
      <c r="D109" s="255">
        <v>11092821001</v>
      </c>
      <c r="E109" s="553" t="str">
        <f>IFERROR(VLOOKUP(D109,'ВИС-2026'!$E$17:$H$2115,2,0),"")</f>
        <v>Тройник с уменьшенным боковым проходом 50-20-50 MX</v>
      </c>
      <c r="F109" s="292" t="str">
        <f>IFERROR(VLOOKUP(D109,'ВИС-2026'!$E$17:$H$2115,4,0),"")</f>
        <v>шт</v>
      </c>
      <c r="G109" s="428"/>
      <c r="H109" s="554">
        <f>IFERROR(VLOOKUP(D109,'ВИС-2026'!$E$17:$K$2649,7,0),"")</f>
        <v>64.61</v>
      </c>
      <c r="I109" s="554">
        <f t="shared" si="33"/>
        <v>0</v>
      </c>
      <c r="J109" s="554">
        <f t="shared" si="34"/>
        <v>64.61</v>
      </c>
      <c r="K109" s="554">
        <f t="shared" si="35"/>
        <v>0</v>
      </c>
      <c r="L109" s="554">
        <f t="shared" si="36"/>
        <v>0</v>
      </c>
      <c r="M109" s="554">
        <f t="shared" si="37"/>
        <v>0</v>
      </c>
      <c r="N109" s="104"/>
    </row>
    <row r="110" spans="1:14" s="73" customFormat="1">
      <c r="A110" s="147"/>
      <c r="B110" s="188" t="s">
        <v>30</v>
      </c>
      <c r="C110" s="190" t="s">
        <v>23</v>
      </c>
      <c r="D110" s="188">
        <v>11092831001</v>
      </c>
      <c r="E110" s="553" t="str">
        <f>IFERROR(VLOOKUP(D110,'ВИС-2026'!$E$17:$H$2115,2,0),"")</f>
        <v>Тройник с уменьшенным боковым проходом 50-25-50 MX</v>
      </c>
      <c r="F110" s="292" t="str">
        <f>IFERROR(VLOOKUP(D110,'ВИС-2026'!$E$17:$H$2115,4,0),"")</f>
        <v>шт</v>
      </c>
      <c r="G110" s="428"/>
      <c r="H110" s="554">
        <f>IFERROR(VLOOKUP(D110,'ВИС-2026'!$E$17:$K$2649,7,0),"")</f>
        <v>129.54</v>
      </c>
      <c r="I110" s="554">
        <f t="shared" si="33"/>
        <v>0</v>
      </c>
      <c r="J110" s="554">
        <f t="shared" si="34"/>
        <v>129.54</v>
      </c>
      <c r="K110" s="554">
        <f t="shared" si="35"/>
        <v>0</v>
      </c>
      <c r="L110" s="554">
        <f t="shared" si="36"/>
        <v>0</v>
      </c>
      <c r="M110" s="554">
        <f t="shared" si="37"/>
        <v>0</v>
      </c>
      <c r="N110" s="104"/>
    </row>
    <row r="111" spans="1:14" s="73" customFormat="1">
      <c r="A111" s="147"/>
      <c r="B111" s="188" t="s">
        <v>30</v>
      </c>
      <c r="C111" s="190" t="s">
        <v>23</v>
      </c>
      <c r="D111" s="256">
        <v>11092841001</v>
      </c>
      <c r="E111" s="553" t="str">
        <f>IFERROR(VLOOKUP(D111,'ВИС-2026'!$E$17:$H$2115,2,0),"")</f>
        <v>Тройник с уменьшенным боковым проходом 50-32-50 MX</v>
      </c>
      <c r="F111" s="292" t="str">
        <f>IFERROR(VLOOKUP(D111,'ВИС-2026'!$E$17:$H$2115,4,0),"")</f>
        <v>шт</v>
      </c>
      <c r="G111" s="428"/>
      <c r="H111" s="554">
        <f>IFERROR(VLOOKUP(D111,'ВИС-2026'!$E$17:$K$2649,7,0),"")</f>
        <v>129.54</v>
      </c>
      <c r="I111" s="554">
        <f t="shared" si="33"/>
        <v>0</v>
      </c>
      <c r="J111" s="554">
        <f t="shared" si="34"/>
        <v>129.54</v>
      </c>
      <c r="K111" s="554">
        <f t="shared" si="35"/>
        <v>0</v>
      </c>
      <c r="L111" s="554">
        <f t="shared" si="36"/>
        <v>0</v>
      </c>
      <c r="M111" s="554">
        <f t="shared" si="37"/>
        <v>0</v>
      </c>
      <c r="N111" s="104"/>
    </row>
    <row r="112" spans="1:14" s="73" customFormat="1">
      <c r="A112" s="147"/>
      <c r="B112" s="188" t="s">
        <v>30</v>
      </c>
      <c r="C112" s="190" t="s">
        <v>23</v>
      </c>
      <c r="D112" s="255">
        <v>11092851001</v>
      </c>
      <c r="E112" s="553" t="str">
        <f>IFERROR(VLOOKUP(D112,'ВИС-2026'!$E$17:$H$2115,2,0),"")</f>
        <v>Тройник с уменьшенным боковым проходом 50-40-50 MX</v>
      </c>
      <c r="F112" s="292" t="str">
        <f>IFERROR(VLOOKUP(D112,'ВИС-2026'!$E$17:$H$2115,4,0),"")</f>
        <v>шт</v>
      </c>
      <c r="G112" s="428"/>
      <c r="H112" s="554">
        <f>IFERROR(VLOOKUP(D112,'ВИС-2026'!$E$17:$K$2649,7,0),"")</f>
        <v>139.91999999999999</v>
      </c>
      <c r="I112" s="554">
        <f t="shared" si="33"/>
        <v>0</v>
      </c>
      <c r="J112" s="554">
        <f t="shared" si="34"/>
        <v>139.91999999999999</v>
      </c>
      <c r="K112" s="554">
        <f t="shared" si="35"/>
        <v>0</v>
      </c>
      <c r="L112" s="554">
        <f t="shared" si="36"/>
        <v>0</v>
      </c>
      <c r="M112" s="554">
        <f t="shared" si="37"/>
        <v>0</v>
      </c>
      <c r="N112" s="104"/>
    </row>
    <row r="113" spans="1:14">
      <c r="A113" s="147"/>
      <c r="B113" s="188" t="s">
        <v>30</v>
      </c>
      <c r="C113" s="190" t="s">
        <v>23</v>
      </c>
      <c r="D113" s="255">
        <v>11092861001</v>
      </c>
      <c r="E113" s="553" t="str">
        <f>IFERROR(VLOOKUP(D113,'ВИС-2026'!$E$17:$H$2115,2,0),"")</f>
        <v>Тройник с уменьшенным боковым проходом 63-25-63 MX</v>
      </c>
      <c r="F113" s="292" t="str">
        <f>IFERROR(VLOOKUP(D113,'ВИС-2026'!$E$17:$H$2115,4,0),"")</f>
        <v>шт</v>
      </c>
      <c r="G113" s="428"/>
      <c r="H113" s="554">
        <f>IFERROR(VLOOKUP(D113,'ВИС-2026'!$E$17:$K$2649,7,0),"")</f>
        <v>139.91999999999999</v>
      </c>
      <c r="I113" s="554">
        <f t="shared" si="33"/>
        <v>0</v>
      </c>
      <c r="J113" s="554">
        <f t="shared" si="34"/>
        <v>139.91999999999999</v>
      </c>
      <c r="K113" s="554">
        <f t="shared" si="35"/>
        <v>0</v>
      </c>
      <c r="L113" s="554">
        <f t="shared" si="36"/>
        <v>0</v>
      </c>
      <c r="M113" s="554">
        <f t="shared" si="37"/>
        <v>0</v>
      </c>
      <c r="N113" s="104"/>
    </row>
    <row r="114" spans="1:14" s="73" customFormat="1">
      <c r="A114" s="147"/>
      <c r="B114" s="188" t="s">
        <v>30</v>
      </c>
      <c r="C114" s="190" t="s">
        <v>23</v>
      </c>
      <c r="D114" s="188">
        <v>11092871001</v>
      </c>
      <c r="E114" s="553" t="str">
        <f>IFERROR(VLOOKUP(D114,'ВИС-2026'!$E$17:$H$2115,2,0),"")</f>
        <v>Тройник с уменьшенным боковым проходом 63-32-63 MX</v>
      </c>
      <c r="F114" s="292" t="str">
        <f>IFERROR(VLOOKUP(D114,'ВИС-2026'!$E$17:$H$2115,4,0),"")</f>
        <v>шт</v>
      </c>
      <c r="G114" s="428"/>
      <c r="H114" s="554">
        <f>IFERROR(VLOOKUP(D114,'ВИС-2026'!$E$17:$K$2649,7,0),"")</f>
        <v>160.33000000000001</v>
      </c>
      <c r="I114" s="554">
        <f t="shared" si="33"/>
        <v>0</v>
      </c>
      <c r="J114" s="554">
        <f t="shared" si="34"/>
        <v>160.33000000000001</v>
      </c>
      <c r="K114" s="554">
        <f t="shared" si="35"/>
        <v>0</v>
      </c>
      <c r="L114" s="554">
        <f t="shared" si="36"/>
        <v>0</v>
      </c>
      <c r="M114" s="554">
        <f t="shared" si="37"/>
        <v>0</v>
      </c>
      <c r="N114" s="104"/>
    </row>
    <row r="115" spans="1:14" s="73" customFormat="1">
      <c r="A115" s="147"/>
      <c r="B115" s="188" t="s">
        <v>30</v>
      </c>
      <c r="C115" s="190" t="s">
        <v>23</v>
      </c>
      <c r="D115" s="255">
        <v>11092881001</v>
      </c>
      <c r="E115" s="553" t="str">
        <f>IFERROR(VLOOKUP(D115,'ВИС-2026'!$E$17:$H$2115,2,0),"")</f>
        <v>Тройник с уменьшенным боковым проходом 63-40-63 MX</v>
      </c>
      <c r="F115" s="292" t="str">
        <f>IFERROR(VLOOKUP(D115,'ВИС-2026'!$E$17:$H$2115,4,0),"")</f>
        <v>шт</v>
      </c>
      <c r="G115" s="428"/>
      <c r="H115" s="554">
        <f>IFERROR(VLOOKUP(D115,'ВИС-2026'!$E$17:$K$2649,7,0),"")</f>
        <v>169.17</v>
      </c>
      <c r="I115" s="554">
        <f t="shared" si="33"/>
        <v>0</v>
      </c>
      <c r="J115" s="554">
        <f t="shared" si="34"/>
        <v>169.17</v>
      </c>
      <c r="K115" s="554">
        <f t="shared" si="35"/>
        <v>0</v>
      </c>
      <c r="L115" s="554">
        <f t="shared" si="36"/>
        <v>0</v>
      </c>
      <c r="M115" s="554">
        <f t="shared" si="37"/>
        <v>0</v>
      </c>
      <c r="N115" s="104"/>
    </row>
    <row r="116" spans="1:14">
      <c r="A116" s="147"/>
      <c r="B116" s="188" t="s">
        <v>30</v>
      </c>
      <c r="C116" s="190" t="s">
        <v>23</v>
      </c>
      <c r="D116" s="255">
        <v>11092891001</v>
      </c>
      <c r="E116" s="553" t="str">
        <f>IFERROR(VLOOKUP(D116,'ВИС-2026'!$E$17:$H$2115,2,0),"")</f>
        <v>Тройник с уменьшенным боковым проходом 63-50-63 MX</v>
      </c>
      <c r="F116" s="292" t="str">
        <f>IFERROR(VLOOKUP(D116,'ВИС-2026'!$E$17:$H$2115,4,0),"")</f>
        <v>шт</v>
      </c>
      <c r="G116" s="428"/>
      <c r="H116" s="554">
        <f>IFERROR(VLOOKUP(D116,'ВИС-2026'!$E$17:$K$2649,7,0),"")</f>
        <v>176.68</v>
      </c>
      <c r="I116" s="554">
        <f t="shared" si="33"/>
        <v>0</v>
      </c>
      <c r="J116" s="554">
        <f t="shared" si="34"/>
        <v>176.68</v>
      </c>
      <c r="K116" s="554">
        <f t="shared" si="35"/>
        <v>0</v>
      </c>
      <c r="L116" s="554">
        <f t="shared" si="36"/>
        <v>0</v>
      </c>
      <c r="M116" s="554">
        <f t="shared" si="37"/>
        <v>0</v>
      </c>
      <c r="N116" s="104"/>
    </row>
    <row r="117" spans="1:14" s="73" customFormat="1">
      <c r="A117" s="147"/>
      <c r="B117" s="240"/>
      <c r="C117" s="238"/>
      <c r="D117" s="188"/>
      <c r="E117" s="553" t="str">
        <f>IFERROR(VLOOKUP(D117,'ВИС-2026'!$E$17:$H$2115,2,0),"")</f>
        <v/>
      </c>
      <c r="F117" s="292" t="str">
        <f>IFERROR(VLOOKUP(D117,'ВИС-2026'!$E$17:$H$2115,5,0),"")</f>
        <v/>
      </c>
      <c r="G117" s="428"/>
      <c r="H117" s="554" t="str">
        <f>IFERROR(VLOOKUP(D117,'ВИС-2026'!$E$17:$K$2649,8,0),"")</f>
        <v/>
      </c>
      <c r="I117" s="554" t="str">
        <f t="shared" si="33"/>
        <v/>
      </c>
      <c r="J117" s="554" t="str">
        <f t="shared" si="34"/>
        <v/>
      </c>
      <c r="K117" s="554" t="str">
        <f t="shared" si="35"/>
        <v/>
      </c>
      <c r="L117" s="554" t="str">
        <f t="shared" si="36"/>
        <v/>
      </c>
      <c r="M117" s="554" t="str">
        <f t="shared" si="37"/>
        <v/>
      </c>
      <c r="N117" s="104"/>
    </row>
    <row r="118" spans="1:14" s="73" customFormat="1" ht="30.6">
      <c r="A118" s="148" t="s">
        <v>25</v>
      </c>
      <c r="B118" s="208" t="s">
        <v>26</v>
      </c>
      <c r="C118" s="190" t="s">
        <v>23</v>
      </c>
      <c r="D118" s="188">
        <v>11600661001</v>
      </c>
      <c r="E118" s="553" t="str">
        <f>IFERROR(VLOOKUP(D118,'ВИС-2026'!$E$17:$H$2115,2,0),"")</f>
        <v>Тройник с уменьшенным боковым проходом 32-25-32 PX</v>
      </c>
      <c r="F118" s="292" t="str">
        <f>IFERROR(VLOOKUP(D118,'ВИС-2026'!$E$17:$H$2115,4,0),"")</f>
        <v>шт</v>
      </c>
      <c r="G118" s="428"/>
      <c r="H118" s="554">
        <f>IFERROR(VLOOKUP(D118,'ВИС-2026'!$E$17:$K$2649,7,0),"")</f>
        <v>18.63</v>
      </c>
      <c r="I118" s="554">
        <f t="shared" si="33"/>
        <v>0</v>
      </c>
      <c r="J118" s="554">
        <f t="shared" si="34"/>
        <v>18.63</v>
      </c>
      <c r="K118" s="554">
        <f t="shared" si="35"/>
        <v>0</v>
      </c>
      <c r="L118" s="554">
        <f t="shared" si="36"/>
        <v>0</v>
      </c>
      <c r="M118" s="554">
        <f t="shared" si="37"/>
        <v>0</v>
      </c>
      <c r="N118" s="104"/>
    </row>
    <row r="119" spans="1:14" s="74" customFormat="1" ht="30.6">
      <c r="A119" s="148" t="s">
        <v>25</v>
      </c>
      <c r="B119" s="208" t="s">
        <v>26</v>
      </c>
      <c r="C119" s="190" t="s">
        <v>23</v>
      </c>
      <c r="D119" s="188">
        <v>11600691001</v>
      </c>
      <c r="E119" s="553" t="str">
        <f>IFERROR(VLOOKUP(D119,'ВИС-2026'!$E$17:$H$2115,2,0),"")</f>
        <v>Тройник с уменьшенным боковым проходом 40-32-40 PX</v>
      </c>
      <c r="F119" s="292" t="str">
        <f>IFERROR(VLOOKUP(D119,'ВИС-2026'!$E$17:$H$2115,4,0),"")</f>
        <v>шт</v>
      </c>
      <c r="G119" s="428"/>
      <c r="H119" s="554">
        <f>IFERROR(VLOOKUP(D119,'ВИС-2026'!$E$17:$K$2649,7,0),"")</f>
        <v>35.31</v>
      </c>
      <c r="I119" s="554">
        <f t="shared" si="33"/>
        <v>0</v>
      </c>
      <c r="J119" s="554">
        <f t="shared" si="34"/>
        <v>35.31</v>
      </c>
      <c r="K119" s="554">
        <f t="shared" si="35"/>
        <v>0</v>
      </c>
      <c r="L119" s="554">
        <f t="shared" si="36"/>
        <v>0</v>
      </c>
      <c r="M119" s="554">
        <f t="shared" si="37"/>
        <v>0</v>
      </c>
      <c r="N119" s="104"/>
    </row>
    <row r="120" spans="1:14">
      <c r="A120" s="147"/>
      <c r="B120" s="240"/>
      <c r="C120" s="247"/>
      <c r="D120" s="188"/>
      <c r="E120" s="553" t="str">
        <f>IFERROR(VLOOKUP(D120,'ВИС-2026'!$E$17:$H$2115,2,0),"")</f>
        <v/>
      </c>
      <c r="F120" s="292" t="str">
        <f>IFERROR(VLOOKUP(D120,'ВИС-2026'!$E$17:$H$2115,5,0),"")</f>
        <v/>
      </c>
      <c r="G120" s="428"/>
      <c r="H120" s="554" t="str">
        <f>IFERROR(VLOOKUP(D120,'ВИС-2026'!$E$17:$K$2649,8,0),"")</f>
        <v/>
      </c>
      <c r="I120" s="554" t="str">
        <f t="shared" si="33"/>
        <v/>
      </c>
      <c r="J120" s="554" t="str">
        <f t="shared" si="34"/>
        <v/>
      </c>
      <c r="K120" s="554" t="str">
        <f t="shared" si="35"/>
        <v/>
      </c>
      <c r="L120" s="554" t="str">
        <f t="shared" si="36"/>
        <v/>
      </c>
      <c r="M120" s="554" t="str">
        <f t="shared" si="37"/>
        <v/>
      </c>
      <c r="N120" s="104"/>
    </row>
    <row r="121" spans="1:14" s="73" customFormat="1" ht="30.6">
      <c r="A121" s="148" t="s">
        <v>25</v>
      </c>
      <c r="B121" s="208" t="s">
        <v>26</v>
      </c>
      <c r="C121" s="238" t="s">
        <v>23</v>
      </c>
      <c r="D121" s="188">
        <v>14562841001</v>
      </c>
      <c r="E121" s="553" t="str">
        <f>IFERROR(VLOOKUP(D121,'ВИС-2026'!$E$17:$H$2115,2,0),"")</f>
        <v>Тройник с уменьшенным боковым проходом 50-32-50 RX+</v>
      </c>
      <c r="F121" s="292" t="str">
        <f>IFERROR(VLOOKUP(D121,'ВИС-2026'!$E$17:$H$2115,4,0),"")</f>
        <v>шт</v>
      </c>
      <c r="G121" s="428"/>
      <c r="H121" s="554">
        <f>IFERROR(VLOOKUP(D121,'ВИС-2026'!$E$17:$K$2649,7,0),"")</f>
        <v>152.5</v>
      </c>
      <c r="I121" s="554">
        <f t="shared" si="33"/>
        <v>0</v>
      </c>
      <c r="J121" s="554">
        <f t="shared" si="34"/>
        <v>152.5</v>
      </c>
      <c r="K121" s="554">
        <f t="shared" si="35"/>
        <v>0</v>
      </c>
      <c r="L121" s="554">
        <f t="shared" si="36"/>
        <v>0</v>
      </c>
      <c r="M121" s="554">
        <f t="shared" si="37"/>
        <v>0</v>
      </c>
      <c r="N121" s="104"/>
    </row>
    <row r="122" spans="1:14" s="73" customFormat="1" ht="30.6">
      <c r="A122" s="148" t="s">
        <v>25</v>
      </c>
      <c r="B122" s="208" t="s">
        <v>26</v>
      </c>
      <c r="C122" s="238" t="s">
        <v>23</v>
      </c>
      <c r="D122" s="188">
        <v>14562861001</v>
      </c>
      <c r="E122" s="553" t="str">
        <f>IFERROR(VLOOKUP(D122,'ВИС-2026'!$E$17:$H$2115,2,0),"")</f>
        <v>Тройник с уменьшенным боковым проходом 63-25-63 RX+</v>
      </c>
      <c r="F122" s="292" t="str">
        <f>IFERROR(VLOOKUP(D122,'ВИС-2026'!$E$17:$H$2115,4,0),"")</f>
        <v>шт</v>
      </c>
      <c r="G122" s="428"/>
      <c r="H122" s="554">
        <f>IFERROR(VLOOKUP(D122,'ВИС-2026'!$E$17:$K$2649,7,0),"")</f>
        <v>167.14</v>
      </c>
      <c r="I122" s="554">
        <f t="shared" si="33"/>
        <v>0</v>
      </c>
      <c r="J122" s="554">
        <f t="shared" si="34"/>
        <v>167.14</v>
      </c>
      <c r="K122" s="554">
        <f t="shared" si="35"/>
        <v>0</v>
      </c>
      <c r="L122" s="554">
        <f t="shared" si="36"/>
        <v>0</v>
      </c>
      <c r="M122" s="554">
        <f t="shared" si="37"/>
        <v>0</v>
      </c>
      <c r="N122" s="104"/>
    </row>
    <row r="123" spans="1:14" s="73" customFormat="1" ht="30.6">
      <c r="A123" s="148" t="s">
        <v>25</v>
      </c>
      <c r="B123" s="208" t="s">
        <v>26</v>
      </c>
      <c r="C123" s="238" t="s">
        <v>23</v>
      </c>
      <c r="D123" s="188">
        <v>14562881001</v>
      </c>
      <c r="E123" s="553" t="str">
        <f>IFERROR(VLOOKUP(D123,'ВИС-2026'!$E$17:$H$2115,2,0),"")</f>
        <v>Тройник с уменьшенным боковым проходом 63-40-63 RX+</v>
      </c>
      <c r="F123" s="292" t="str">
        <f>IFERROR(VLOOKUP(D123,'ВИС-2026'!$E$17:$H$2115,4,0),"")</f>
        <v>шт</v>
      </c>
      <c r="G123" s="428"/>
      <c r="H123" s="554">
        <f>IFERROR(VLOOKUP(D123,'ВИС-2026'!$E$17:$K$2649,7,0),"")</f>
        <v>118.82</v>
      </c>
      <c r="I123" s="554">
        <f t="shared" si="33"/>
        <v>0</v>
      </c>
      <c r="J123" s="554">
        <f t="shared" si="34"/>
        <v>118.82</v>
      </c>
      <c r="K123" s="554">
        <f t="shared" si="35"/>
        <v>0</v>
      </c>
      <c r="L123" s="554">
        <f t="shared" si="36"/>
        <v>0</v>
      </c>
      <c r="M123" s="554">
        <f t="shared" si="37"/>
        <v>0</v>
      </c>
      <c r="N123" s="104"/>
    </row>
    <row r="124" spans="1:14" s="73" customFormat="1" ht="30.6">
      <c r="A124" s="148" t="s">
        <v>25</v>
      </c>
      <c r="B124" s="208" t="s">
        <v>26</v>
      </c>
      <c r="C124" s="238" t="s">
        <v>23</v>
      </c>
      <c r="D124" s="188">
        <v>14562891001</v>
      </c>
      <c r="E124" s="553" t="str">
        <f>IFERROR(VLOOKUP(D124,'ВИС-2026'!$E$17:$H$2115,2,0),"")</f>
        <v>Тройник с уменьшенным боковым проходом 63-50-63 RX+</v>
      </c>
      <c r="F124" s="292" t="str">
        <f>IFERROR(VLOOKUP(D124,'ВИС-2026'!$E$17:$H$2115,4,0),"")</f>
        <v>шт</v>
      </c>
      <c r="G124" s="428"/>
      <c r="H124" s="554">
        <f>IFERROR(VLOOKUP(D124,'ВИС-2026'!$E$17:$K$2649,7,0),"")</f>
        <v>105.02</v>
      </c>
      <c r="I124" s="554">
        <f t="shared" si="33"/>
        <v>0</v>
      </c>
      <c r="J124" s="554">
        <f t="shared" si="34"/>
        <v>105.02</v>
      </c>
      <c r="K124" s="554">
        <f t="shared" si="35"/>
        <v>0</v>
      </c>
      <c r="L124" s="554">
        <f t="shared" si="36"/>
        <v>0</v>
      </c>
      <c r="M124" s="554">
        <f t="shared" si="37"/>
        <v>0</v>
      </c>
      <c r="N124" s="104"/>
    </row>
    <row r="125" spans="1:14" s="73" customFormat="1">
      <c r="A125" s="147"/>
      <c r="B125" s="240"/>
      <c r="C125" s="247"/>
      <c r="D125" s="188"/>
      <c r="E125" s="553" t="str">
        <f>IFERROR(VLOOKUP(D125,'ВИС-2026'!$E$17:$H$2115,2,0),"")</f>
        <v/>
      </c>
      <c r="F125" s="292" t="str">
        <f>IFERROR(VLOOKUP(D125,'ВИС-2026'!$E$17:$H$2115,5,0),"")</f>
        <v/>
      </c>
      <c r="G125" s="428"/>
      <c r="H125" s="554" t="str">
        <f>IFERROR(VLOOKUP(D125,'ВИС-2026'!$E$17:$K$2649,8,0),"")</f>
        <v/>
      </c>
      <c r="I125" s="554" t="str">
        <f t="shared" si="33"/>
        <v/>
      </c>
      <c r="J125" s="554" t="str">
        <f t="shared" si="34"/>
        <v/>
      </c>
      <c r="K125" s="554" t="str">
        <f t="shared" si="35"/>
        <v/>
      </c>
      <c r="L125" s="554" t="str">
        <f t="shared" si="36"/>
        <v/>
      </c>
      <c r="M125" s="554" t="str">
        <f t="shared" si="37"/>
        <v/>
      </c>
      <c r="N125" s="104"/>
    </row>
    <row r="126" spans="1:14" s="73" customFormat="1" ht="30.6">
      <c r="A126" s="148" t="s">
        <v>25</v>
      </c>
      <c r="B126" s="208" t="s">
        <v>26</v>
      </c>
      <c r="C126" s="190" t="s">
        <v>23</v>
      </c>
      <c r="D126" s="188">
        <v>13777311001</v>
      </c>
      <c r="E126" s="553" t="str">
        <f>IFERROR(VLOOKUP(D126,'ВИС-2026'!$E$17:$H$2115,2,0),"")</f>
        <v>Тройник с уменьшенным боковым проходом 25-16-25 PLATINUM RX</v>
      </c>
      <c r="F126" s="292" t="str">
        <f>IFERROR(VLOOKUP(D126,'ВИС-2026'!$E$17:$H$2115,4,0),"")</f>
        <v>шт</v>
      </c>
      <c r="G126" s="428"/>
      <c r="H126" s="554">
        <f>IFERROR(VLOOKUP(D126,'ВИС-2026'!$E$17:$K$2649,7,0),"")</f>
        <v>11.41</v>
      </c>
      <c r="I126" s="554">
        <f t="shared" si="33"/>
        <v>0</v>
      </c>
      <c r="J126" s="554">
        <f t="shared" si="34"/>
        <v>11.41</v>
      </c>
      <c r="K126" s="554">
        <f t="shared" si="35"/>
        <v>0</v>
      </c>
      <c r="L126" s="554">
        <f t="shared" si="36"/>
        <v>0</v>
      </c>
      <c r="M126" s="554">
        <f t="shared" si="37"/>
        <v>0</v>
      </c>
      <c r="N126" s="104"/>
    </row>
    <row r="127" spans="1:14" s="73" customFormat="1" ht="30.6">
      <c r="A127" s="148" t="s">
        <v>25</v>
      </c>
      <c r="B127" s="208" t="s">
        <v>26</v>
      </c>
      <c r="C127" s="190" t="s">
        <v>23</v>
      </c>
      <c r="D127" s="188">
        <v>13777321001</v>
      </c>
      <c r="E127" s="553" t="str">
        <f>IFERROR(VLOOKUP(D127,'ВИС-2026'!$E$17:$H$2115,2,0),"")</f>
        <v>Тройник с уменьшенным боковым проходом 25-20-25 PLATINUM RX</v>
      </c>
      <c r="F127" s="292" t="str">
        <f>IFERROR(VLOOKUP(D127,'ВИС-2026'!$E$17:$H$2115,4,0),"")</f>
        <v>шт</v>
      </c>
      <c r="G127" s="428"/>
      <c r="H127" s="554">
        <f>IFERROR(VLOOKUP(D127,'ВИС-2026'!$E$17:$K$2649,7,0),"")</f>
        <v>11.46</v>
      </c>
      <c r="I127" s="554">
        <f t="shared" si="33"/>
        <v>0</v>
      </c>
      <c r="J127" s="554">
        <f t="shared" si="34"/>
        <v>11.46</v>
      </c>
      <c r="K127" s="554">
        <f t="shared" si="35"/>
        <v>0</v>
      </c>
      <c r="L127" s="554">
        <f t="shared" si="36"/>
        <v>0</v>
      </c>
      <c r="M127" s="554">
        <f t="shared" si="37"/>
        <v>0</v>
      </c>
      <c r="N127" s="104"/>
    </row>
    <row r="128" spans="1:14" s="73" customFormat="1">
      <c r="A128" s="147"/>
      <c r="B128" s="188"/>
      <c r="C128" s="215"/>
      <c r="D128" s="217"/>
      <c r="E128" s="249"/>
      <c r="F128" s="292" t="str">
        <f>IFERROR(VLOOKUP(D128,'ВИС-2026'!$E$17:$H$2115,5,0),"")</f>
        <v/>
      </c>
      <c r="G128" s="428"/>
      <c r="H128" s="554" t="str">
        <f>IFERROR(VLOOKUP(D128,'ВИС-2026'!$E$17:$K$2649,8,0),"")</f>
        <v/>
      </c>
      <c r="I128" s="554" t="str">
        <f t="shared" si="33"/>
        <v/>
      </c>
      <c r="J128" s="554" t="str">
        <f t="shared" si="34"/>
        <v/>
      </c>
      <c r="K128" s="554" t="str">
        <f t="shared" si="35"/>
        <v/>
      </c>
      <c r="L128" s="554" t="str">
        <f t="shared" si="36"/>
        <v/>
      </c>
      <c r="M128" s="554" t="str">
        <f t="shared" si="37"/>
        <v/>
      </c>
      <c r="N128" s="104"/>
    </row>
    <row r="129" spans="1:14" s="73" customFormat="1">
      <c r="A129" s="147"/>
      <c r="B129" s="188" t="s">
        <v>30</v>
      </c>
      <c r="C129" s="190" t="s">
        <v>23</v>
      </c>
      <c r="D129" s="242">
        <v>14570713001</v>
      </c>
      <c r="E129" s="553" t="str">
        <f>IFERROR(VLOOKUP(D129,'ВИС-2026'!$E$17:$H$2115,2,0),"")</f>
        <v>Тройник РЕХАУ с уменьшенным торцевым проходом 20-20-16 RX+</v>
      </c>
      <c r="F129" s="292" t="str">
        <f>IFERROR(VLOOKUP(D129,'ВИС-2026'!$E$17:$H$2115,4,0),"")</f>
        <v>шт</v>
      </c>
      <c r="G129" s="428"/>
      <c r="H129" s="554">
        <f>IFERROR(VLOOKUP(D129,'ВИС-2026'!$E$17:$K$2649,7,0),"")</f>
        <v>15.23</v>
      </c>
      <c r="I129" s="554">
        <f t="shared" si="33"/>
        <v>0</v>
      </c>
      <c r="J129" s="554">
        <f t="shared" si="34"/>
        <v>15.23</v>
      </c>
      <c r="K129" s="554">
        <f t="shared" si="35"/>
        <v>0</v>
      </c>
      <c r="L129" s="554">
        <f t="shared" si="36"/>
        <v>0</v>
      </c>
      <c r="M129" s="554">
        <f t="shared" si="37"/>
        <v>0</v>
      </c>
      <c r="N129" s="104"/>
    </row>
    <row r="130" spans="1:14">
      <c r="A130" s="147"/>
      <c r="B130" s="188" t="s">
        <v>30</v>
      </c>
      <c r="C130" s="190" t="s">
        <v>23</v>
      </c>
      <c r="D130" s="242">
        <v>14570723001</v>
      </c>
      <c r="E130" s="553" t="str">
        <f>IFERROR(VLOOKUP(D130,'ВИС-2026'!$E$17:$H$2115,2,0),"")</f>
        <v>Тройник РЕХАУ с уменьшенным торцевым проходом 25-25-16 RX+</v>
      </c>
      <c r="F130" s="292" t="str">
        <f>IFERROR(VLOOKUP(D130,'ВИС-2026'!$E$17:$H$2115,4,0),"")</f>
        <v>шт</v>
      </c>
      <c r="G130" s="428"/>
      <c r="H130" s="554">
        <f>IFERROR(VLOOKUP(D130,'ВИС-2026'!$E$17:$K$2649,7,0),"")</f>
        <v>22.4</v>
      </c>
      <c r="I130" s="554">
        <f t="shared" si="33"/>
        <v>0</v>
      </c>
      <c r="J130" s="554">
        <f t="shared" si="34"/>
        <v>22.4</v>
      </c>
      <c r="K130" s="554">
        <f t="shared" si="35"/>
        <v>0</v>
      </c>
      <c r="L130" s="554">
        <f t="shared" si="36"/>
        <v>0</v>
      </c>
      <c r="M130" s="554">
        <f t="shared" si="37"/>
        <v>0</v>
      </c>
      <c r="N130" s="104"/>
    </row>
    <row r="131" spans="1:14" s="73" customFormat="1">
      <c r="A131" s="147"/>
      <c r="B131" s="188" t="s">
        <v>30</v>
      </c>
      <c r="C131" s="190" t="s">
        <v>23</v>
      </c>
      <c r="D131" s="242">
        <v>14570733001</v>
      </c>
      <c r="E131" s="553" t="str">
        <f>IFERROR(VLOOKUP(D131,'ВИС-2026'!$E$17:$H$2115,2,0),"")</f>
        <v>Тройник РЕХАУ с уменьшенным торцевым проходом 25-25-20 RX+</v>
      </c>
      <c r="F131" s="292" t="str">
        <f>IFERROR(VLOOKUP(D131,'ВИС-2026'!$E$17:$H$2115,4,0),"")</f>
        <v>шт</v>
      </c>
      <c r="G131" s="428"/>
      <c r="H131" s="554">
        <f>IFERROR(VLOOKUP(D131,'ВИС-2026'!$E$17:$K$2649,7,0),"")</f>
        <v>22.4</v>
      </c>
      <c r="I131" s="554">
        <f t="shared" ref="I131:I133" si="38">IFERROR(H131*G131,"")</f>
        <v>0</v>
      </c>
      <c r="J131" s="554">
        <f t="shared" ref="J131:J133" si="39">IFERROR((IF(H131="","",H131-H131*$D$7)),"")</f>
        <v>22.4</v>
      </c>
      <c r="K131" s="554">
        <f t="shared" ref="K131:K133" si="40">IFERROR(J131*G131, "")</f>
        <v>0</v>
      </c>
      <c r="L131" s="554">
        <f t="shared" ref="L131:L133" si="41">IFERROR(J131*$D$8, "")</f>
        <v>0</v>
      </c>
      <c r="M131" s="554">
        <f t="shared" ref="M131:M133" si="42">IFERROR(L131*G131, "")</f>
        <v>0</v>
      </c>
      <c r="N131" s="104"/>
    </row>
    <row r="132" spans="1:14" s="73" customFormat="1">
      <c r="A132" s="147"/>
      <c r="B132" s="188" t="s">
        <v>30</v>
      </c>
      <c r="C132" s="190" t="s">
        <v>23</v>
      </c>
      <c r="D132" s="242">
        <v>14570743001</v>
      </c>
      <c r="E132" s="553" t="str">
        <f>IFERROR(VLOOKUP(D132,'ВИС-2026'!$E$17:$H$2115,2,0),"")</f>
        <v>Тройник РЕХАУ с уменьшенным торцевым проходом 32-32-20 RX+</v>
      </c>
      <c r="F132" s="292" t="str">
        <f>IFERROR(VLOOKUP(D132,'ВИС-2026'!$E$17:$H$2115,4,0),"")</f>
        <v>шт</v>
      </c>
      <c r="G132" s="428"/>
      <c r="H132" s="554">
        <f>IFERROR(VLOOKUP(D132,'ВИС-2026'!$E$17:$K$2649,7,0),"")</f>
        <v>39.450000000000003</v>
      </c>
      <c r="I132" s="554">
        <f t="shared" si="38"/>
        <v>0</v>
      </c>
      <c r="J132" s="554">
        <f t="shared" si="39"/>
        <v>39.450000000000003</v>
      </c>
      <c r="K132" s="554">
        <f t="shared" si="40"/>
        <v>0</v>
      </c>
      <c r="L132" s="554">
        <f t="shared" si="41"/>
        <v>0</v>
      </c>
      <c r="M132" s="554">
        <f t="shared" si="42"/>
        <v>0</v>
      </c>
      <c r="N132" s="104"/>
    </row>
    <row r="133" spans="1:14" s="73" customFormat="1">
      <c r="A133" s="147"/>
      <c r="B133" s="188" t="s">
        <v>30</v>
      </c>
      <c r="C133" s="190" t="s">
        <v>23</v>
      </c>
      <c r="D133" s="242">
        <v>14570753001</v>
      </c>
      <c r="E133" s="553" t="str">
        <f>IFERROR(VLOOKUP(D133,'ВИС-2026'!$E$17:$H$2115,2,0),"")</f>
        <v>Тройник РЕХАУ с уменьшенным торцевым проходом 32-32-25 RX+</v>
      </c>
      <c r="F133" s="292" t="str">
        <f>IFERROR(VLOOKUP(D133,'ВИС-2026'!$E$17:$H$2115,4,0),"")</f>
        <v>шт</v>
      </c>
      <c r="G133" s="428"/>
      <c r="H133" s="554">
        <f>IFERROR(VLOOKUP(D133,'ВИС-2026'!$E$17:$K$2649,7,0),"")</f>
        <v>39.450000000000003</v>
      </c>
      <c r="I133" s="554">
        <f t="shared" si="38"/>
        <v>0</v>
      </c>
      <c r="J133" s="554">
        <f t="shared" si="39"/>
        <v>39.450000000000003</v>
      </c>
      <c r="K133" s="554">
        <f t="shared" si="40"/>
        <v>0</v>
      </c>
      <c r="L133" s="554">
        <f t="shared" si="41"/>
        <v>0</v>
      </c>
      <c r="M133" s="554">
        <f t="shared" si="42"/>
        <v>0</v>
      </c>
      <c r="N133" s="104"/>
    </row>
    <row r="134" spans="1:14" s="73" customFormat="1">
      <c r="A134" s="147"/>
      <c r="B134" s="188"/>
      <c r="C134" s="215"/>
      <c r="D134" s="217"/>
      <c r="E134" s="249"/>
      <c r="F134" s="292" t="str">
        <f>IFERROR(VLOOKUP(D134,'ВИС-2026'!$E$17:$H$2115,5,0),"")</f>
        <v/>
      </c>
      <c r="G134" s="428"/>
      <c r="H134" s="554" t="str">
        <f>IFERROR(VLOOKUP(D134,'ВИС-2026'!$E$17:$K$2649,8,0),"")</f>
        <v/>
      </c>
      <c r="I134" s="554" t="str">
        <f t="shared" ref="I134:I194" si="43">IFERROR(H134*G134,"")</f>
        <v/>
      </c>
      <c r="J134" s="554" t="str">
        <f t="shared" ref="J134:J194" si="44">IFERROR((IF(H134="","",H134-H134*$D$7)),"")</f>
        <v/>
      </c>
      <c r="K134" s="554" t="str">
        <f t="shared" ref="K134:K194" si="45">IFERROR(J134*G134, "")</f>
        <v/>
      </c>
      <c r="L134" s="554" t="str">
        <f t="shared" ref="L134:L194" si="46">IFERROR(J134*$D$8, "")</f>
        <v/>
      </c>
      <c r="M134" s="554" t="str">
        <f t="shared" ref="M134:M194" si="47">IFERROR(L134*G134, "")</f>
        <v/>
      </c>
      <c r="N134" s="104"/>
    </row>
    <row r="135" spans="1:14">
      <c r="A135" s="147"/>
      <c r="B135" s="188" t="s">
        <v>30</v>
      </c>
      <c r="C135" s="190" t="s">
        <v>23</v>
      </c>
      <c r="D135" s="188">
        <v>11080711001</v>
      </c>
      <c r="E135" s="553" t="str">
        <f>IFERROR(VLOOKUP(D135,'ВИС-2026'!$E$17:$H$2115,2,0),"")</f>
        <v>Тройник с уменьшенным торцевым проходом 20-20-16 MX</v>
      </c>
      <c r="F135" s="292" t="str">
        <f>IFERROR(VLOOKUP(D135,'ВИС-2026'!$E$17:$H$2115,4,0),"")</f>
        <v>шт</v>
      </c>
      <c r="G135" s="428"/>
      <c r="H135" s="554">
        <f>IFERROR(VLOOKUP(D135,'ВИС-2026'!$E$17:$K$2649,7,0),"")</f>
        <v>9.6999999999999993</v>
      </c>
      <c r="I135" s="554">
        <f t="shared" si="43"/>
        <v>0</v>
      </c>
      <c r="J135" s="554">
        <f t="shared" si="44"/>
        <v>9.6999999999999993</v>
      </c>
      <c r="K135" s="554">
        <f t="shared" si="45"/>
        <v>0</v>
      </c>
      <c r="L135" s="554">
        <f t="shared" si="46"/>
        <v>0</v>
      </c>
      <c r="M135" s="554">
        <f t="shared" si="47"/>
        <v>0</v>
      </c>
      <c r="N135" s="104"/>
    </row>
    <row r="136" spans="1:14" s="73" customFormat="1">
      <c r="A136" s="147"/>
      <c r="B136" s="188" t="s">
        <v>30</v>
      </c>
      <c r="C136" s="190" t="s">
        <v>23</v>
      </c>
      <c r="D136" s="246">
        <v>11080721001</v>
      </c>
      <c r="E136" s="553" t="str">
        <f>IFERROR(VLOOKUP(D136,'ВИС-2026'!$E$17:$H$2115,2,0),"")</f>
        <v>Тройник с уменьшенным торцевым проходом 25-25-16 MX</v>
      </c>
      <c r="F136" s="292" t="str">
        <f>IFERROR(VLOOKUP(D136,'ВИС-2026'!$E$17:$H$2115,4,0),"")</f>
        <v>шт</v>
      </c>
      <c r="G136" s="428"/>
      <c r="H136" s="554">
        <f>IFERROR(VLOOKUP(D136,'ВИС-2026'!$E$17:$K$2649,7,0),"")</f>
        <v>13.18</v>
      </c>
      <c r="I136" s="554">
        <f t="shared" si="43"/>
        <v>0</v>
      </c>
      <c r="J136" s="554">
        <f t="shared" si="44"/>
        <v>13.18</v>
      </c>
      <c r="K136" s="554">
        <f t="shared" si="45"/>
        <v>0</v>
      </c>
      <c r="L136" s="554">
        <f t="shared" si="46"/>
        <v>0</v>
      </c>
      <c r="M136" s="554">
        <f t="shared" si="47"/>
        <v>0</v>
      </c>
      <c r="N136" s="104"/>
    </row>
    <row r="137" spans="1:14" s="73" customFormat="1">
      <c r="A137" s="147"/>
      <c r="B137" s="188" t="s">
        <v>30</v>
      </c>
      <c r="C137" s="190" t="s">
        <v>23</v>
      </c>
      <c r="D137" s="188">
        <v>11080731001</v>
      </c>
      <c r="E137" s="553" t="str">
        <f>IFERROR(VLOOKUP(D137,'ВИС-2026'!$E$17:$H$2115,2,0),"")</f>
        <v>Тройник с уменьшенным торцевым проходом 25-25-20 MX</v>
      </c>
      <c r="F137" s="292" t="str">
        <f>IFERROR(VLOOKUP(D137,'ВИС-2026'!$E$17:$H$2115,4,0),"")</f>
        <v>шт</v>
      </c>
      <c r="G137" s="428"/>
      <c r="H137" s="554">
        <f>IFERROR(VLOOKUP(D137,'ВИС-2026'!$E$17:$K$2649,7,0),"")</f>
        <v>13.18</v>
      </c>
      <c r="I137" s="554">
        <f t="shared" si="43"/>
        <v>0</v>
      </c>
      <c r="J137" s="554">
        <f t="shared" si="44"/>
        <v>13.18</v>
      </c>
      <c r="K137" s="554">
        <f t="shared" si="45"/>
        <v>0</v>
      </c>
      <c r="L137" s="554">
        <f t="shared" si="46"/>
        <v>0</v>
      </c>
      <c r="M137" s="554">
        <f t="shared" si="47"/>
        <v>0</v>
      </c>
      <c r="N137" s="104"/>
    </row>
    <row r="138" spans="1:14" s="73" customFormat="1">
      <c r="A138" s="147"/>
      <c r="B138" s="188" t="s">
        <v>30</v>
      </c>
      <c r="C138" s="190" t="s">
        <v>23</v>
      </c>
      <c r="D138" s="256">
        <v>11080741001</v>
      </c>
      <c r="E138" s="553" t="str">
        <f>IFERROR(VLOOKUP(D138,'ВИС-2026'!$E$17:$H$2115,2,0),"")</f>
        <v>Тройник с уменьшенным торцевым проходом 32-32-20 MX</v>
      </c>
      <c r="F138" s="292" t="str">
        <f>IFERROR(VLOOKUP(D138,'ВИС-2026'!$E$17:$H$2115,4,0),"")</f>
        <v>шт</v>
      </c>
      <c r="G138" s="428"/>
      <c r="H138" s="554">
        <f>IFERROR(VLOOKUP(D138,'ВИС-2026'!$E$17:$K$2649,7,0),"")</f>
        <v>23.91</v>
      </c>
      <c r="I138" s="554">
        <f t="shared" si="43"/>
        <v>0</v>
      </c>
      <c r="J138" s="554">
        <f t="shared" si="44"/>
        <v>23.91</v>
      </c>
      <c r="K138" s="554">
        <f t="shared" si="45"/>
        <v>0</v>
      </c>
      <c r="L138" s="554">
        <f t="shared" si="46"/>
        <v>0</v>
      </c>
      <c r="M138" s="554">
        <f t="shared" si="47"/>
        <v>0</v>
      </c>
      <c r="N138" s="104"/>
    </row>
    <row r="139" spans="1:14" s="73" customFormat="1">
      <c r="A139" s="147"/>
      <c r="B139" s="188" t="s">
        <v>30</v>
      </c>
      <c r="C139" s="190" t="s">
        <v>23</v>
      </c>
      <c r="D139" s="256">
        <v>11080751001</v>
      </c>
      <c r="E139" s="553" t="str">
        <f>IFERROR(VLOOKUP(D139,'ВИС-2026'!$E$17:$H$2115,2,0),"")</f>
        <v>Тройник с уменьшенным торцевым проходом 32-32-25 MX</v>
      </c>
      <c r="F139" s="292" t="str">
        <f>IFERROR(VLOOKUP(D139,'ВИС-2026'!$E$17:$H$2115,4,0),"")</f>
        <v>шт</v>
      </c>
      <c r="G139" s="428"/>
      <c r="H139" s="554">
        <f>IFERROR(VLOOKUP(D139,'ВИС-2026'!$E$17:$K$2649,7,0),"")</f>
        <v>23.91</v>
      </c>
      <c r="I139" s="554">
        <f t="shared" si="43"/>
        <v>0</v>
      </c>
      <c r="J139" s="554">
        <f t="shared" si="44"/>
        <v>23.91</v>
      </c>
      <c r="K139" s="554">
        <f t="shared" si="45"/>
        <v>0</v>
      </c>
      <c r="L139" s="554">
        <f t="shared" si="46"/>
        <v>0</v>
      </c>
      <c r="M139" s="554">
        <f t="shared" si="47"/>
        <v>0</v>
      </c>
      <c r="N139" s="104"/>
    </row>
    <row r="140" spans="1:14">
      <c r="A140" s="147"/>
      <c r="B140" s="188"/>
      <c r="C140" s="215"/>
      <c r="D140" s="217"/>
      <c r="E140" s="249"/>
      <c r="F140" s="292" t="str">
        <f>IFERROR(VLOOKUP(D140,'ВИС-2026'!$E$17:$H$2115,5,0),"")</f>
        <v/>
      </c>
      <c r="G140" s="428"/>
      <c r="H140" s="554" t="str">
        <f>IFERROR(VLOOKUP(D140,'ВИС-2026'!$E$17:$K$2649,8,0),"")</f>
        <v/>
      </c>
      <c r="I140" s="554" t="str">
        <f t="shared" si="43"/>
        <v/>
      </c>
      <c r="J140" s="554" t="str">
        <f t="shared" si="44"/>
        <v/>
      </c>
      <c r="K140" s="554" t="str">
        <f t="shared" si="45"/>
        <v/>
      </c>
      <c r="L140" s="554" t="str">
        <f t="shared" si="46"/>
        <v/>
      </c>
      <c r="M140" s="554" t="str">
        <f t="shared" si="47"/>
        <v/>
      </c>
      <c r="N140" s="104"/>
    </row>
    <row r="141" spans="1:14" s="74" customFormat="1">
      <c r="A141" s="147"/>
      <c r="B141" s="188" t="s">
        <v>30</v>
      </c>
      <c r="C141" s="190" t="s">
        <v>23</v>
      </c>
      <c r="D141" s="242">
        <v>14570813001</v>
      </c>
      <c r="E141" s="553" t="str">
        <f>IFERROR(VLOOKUP(D141,'ВИС-2026'!$E$17:$H$2115,2,0),"")</f>
        <v>Тройник РЕХАУ с уменьшенным боковым и торцевым проходами 20-16-16 RX+</v>
      </c>
      <c r="F141" s="292" t="str">
        <f>IFERROR(VLOOKUP(D141,'ВИС-2026'!$E$17:$H$2115,4,0),"")</f>
        <v>шт</v>
      </c>
      <c r="G141" s="428"/>
      <c r="H141" s="554">
        <f>IFERROR(VLOOKUP(D141,'ВИС-2026'!$E$17:$K$2649,7,0),"")</f>
        <v>13.3</v>
      </c>
      <c r="I141" s="554">
        <f t="shared" si="43"/>
        <v>0</v>
      </c>
      <c r="J141" s="554">
        <f t="shared" si="44"/>
        <v>13.3</v>
      </c>
      <c r="K141" s="554">
        <f t="shared" si="45"/>
        <v>0</v>
      </c>
      <c r="L141" s="554">
        <f t="shared" si="46"/>
        <v>0</v>
      </c>
      <c r="M141" s="554">
        <f t="shared" si="47"/>
        <v>0</v>
      </c>
      <c r="N141" s="104"/>
    </row>
    <row r="142" spans="1:14" s="74" customFormat="1">
      <c r="A142" s="147"/>
      <c r="B142" s="188" t="s">
        <v>30</v>
      </c>
      <c r="C142" s="190" t="s">
        <v>23</v>
      </c>
      <c r="D142" s="242">
        <v>14570823001</v>
      </c>
      <c r="E142" s="553" t="str">
        <f>IFERROR(VLOOKUP(D142,'ВИС-2026'!$E$17:$H$2115,2,0),"")</f>
        <v>Тройник РЕХАУ с уменьшенным боковым и торцевым проходами 25-16-16 RX+</v>
      </c>
      <c r="F142" s="292" t="str">
        <f>IFERROR(VLOOKUP(D142,'ВИС-2026'!$E$17:$H$2115,4,0),"")</f>
        <v>шт</v>
      </c>
      <c r="G142" s="428"/>
      <c r="H142" s="554">
        <f>IFERROR(VLOOKUP(D142,'ВИС-2026'!$E$17:$K$2649,7,0),"")</f>
        <v>14.57</v>
      </c>
      <c r="I142" s="554">
        <f t="shared" si="43"/>
        <v>0</v>
      </c>
      <c r="J142" s="554">
        <f t="shared" si="44"/>
        <v>14.57</v>
      </c>
      <c r="K142" s="554">
        <f t="shared" si="45"/>
        <v>0</v>
      </c>
      <c r="L142" s="554">
        <f t="shared" si="46"/>
        <v>0</v>
      </c>
      <c r="M142" s="554">
        <f t="shared" si="47"/>
        <v>0</v>
      </c>
      <c r="N142" s="104"/>
    </row>
    <row r="143" spans="1:14" s="74" customFormat="1">
      <c r="A143" s="150"/>
      <c r="B143" s="188" t="s">
        <v>30</v>
      </c>
      <c r="C143" s="190" t="s">
        <v>23</v>
      </c>
      <c r="D143" s="242">
        <v>14570833001</v>
      </c>
      <c r="E143" s="553" t="str">
        <f>IFERROR(VLOOKUP(D143,'ВИС-2026'!$E$17:$H$2115,2,0),"")</f>
        <v>Тройник РЕХАУ с уменьшенным боковым и торцевым проходами 25-16-20 RX+</v>
      </c>
      <c r="F143" s="292" t="str">
        <f>IFERROR(VLOOKUP(D143,'ВИС-2026'!$E$17:$H$2115,4,0),"")</f>
        <v>шт</v>
      </c>
      <c r="G143" s="428"/>
      <c r="H143" s="554">
        <f>IFERROR(VLOOKUP(D143,'ВИС-2026'!$E$17:$K$2649,7,0),"")</f>
        <v>16.989999999999998</v>
      </c>
      <c r="I143" s="554">
        <f t="shared" si="43"/>
        <v>0</v>
      </c>
      <c r="J143" s="554">
        <f t="shared" si="44"/>
        <v>16.989999999999998</v>
      </c>
      <c r="K143" s="554">
        <f t="shared" si="45"/>
        <v>0</v>
      </c>
      <c r="L143" s="554">
        <f t="shared" si="46"/>
        <v>0</v>
      </c>
      <c r="M143" s="554">
        <f t="shared" si="47"/>
        <v>0</v>
      </c>
      <c r="N143" s="104"/>
    </row>
    <row r="144" spans="1:14" s="74" customFormat="1">
      <c r="A144" s="147"/>
      <c r="B144" s="188" t="s">
        <v>30</v>
      </c>
      <c r="C144" s="190" t="s">
        <v>23</v>
      </c>
      <c r="D144" s="242">
        <v>14570843001</v>
      </c>
      <c r="E144" s="553" t="str">
        <f>IFERROR(VLOOKUP(D144,'ВИС-2026'!$E$17:$H$2115,2,0),"")</f>
        <v>Тройник РЕХАУ с уменьшенным боковым и торцевым проходами 25-20-16 RX+</v>
      </c>
      <c r="F144" s="292" t="str">
        <f>IFERROR(VLOOKUP(D144,'ВИС-2026'!$E$17:$H$2115,4,0),"")</f>
        <v>шт</v>
      </c>
      <c r="G144" s="428"/>
      <c r="H144" s="554">
        <f>IFERROR(VLOOKUP(D144,'ВИС-2026'!$E$17:$K$2649,7,0),"")</f>
        <v>18.64</v>
      </c>
      <c r="I144" s="554">
        <f t="shared" si="43"/>
        <v>0</v>
      </c>
      <c r="J144" s="554">
        <f t="shared" si="44"/>
        <v>18.64</v>
      </c>
      <c r="K144" s="554">
        <f t="shared" si="45"/>
        <v>0</v>
      </c>
      <c r="L144" s="554">
        <f t="shared" si="46"/>
        <v>0</v>
      </c>
      <c r="M144" s="554">
        <f t="shared" si="47"/>
        <v>0</v>
      </c>
      <c r="N144" s="104"/>
    </row>
    <row r="145" spans="1:14" s="74" customFormat="1">
      <c r="A145" s="147"/>
      <c r="B145" s="188" t="s">
        <v>30</v>
      </c>
      <c r="C145" s="190" t="s">
        <v>23</v>
      </c>
      <c r="D145" s="242">
        <v>14570853001</v>
      </c>
      <c r="E145" s="553" t="str">
        <f>IFERROR(VLOOKUP(D145,'ВИС-2026'!$E$17:$H$2115,2,0),"")</f>
        <v>Тройник РЕХАУ с уменьшенным боковым и торцевым проходами 25-20-20 RX+</v>
      </c>
      <c r="F145" s="292" t="str">
        <f>IFERROR(VLOOKUP(D145,'ВИС-2026'!$E$17:$H$2115,4,0),"")</f>
        <v>шт</v>
      </c>
      <c r="G145" s="428"/>
      <c r="H145" s="554">
        <f>IFERROR(VLOOKUP(D145,'ВИС-2026'!$E$17:$K$2649,7,0),"")</f>
        <v>18.64</v>
      </c>
      <c r="I145" s="554">
        <f t="shared" si="43"/>
        <v>0</v>
      </c>
      <c r="J145" s="554">
        <f t="shared" si="44"/>
        <v>18.64</v>
      </c>
      <c r="K145" s="554">
        <f t="shared" si="45"/>
        <v>0</v>
      </c>
      <c r="L145" s="554">
        <f t="shared" si="46"/>
        <v>0</v>
      </c>
      <c r="M145" s="554">
        <f t="shared" si="47"/>
        <v>0</v>
      </c>
      <c r="N145" s="104"/>
    </row>
    <row r="146" spans="1:14" s="74" customFormat="1">
      <c r="A146" s="147"/>
      <c r="B146" s="188" t="s">
        <v>30</v>
      </c>
      <c r="C146" s="190" t="s">
        <v>23</v>
      </c>
      <c r="D146" s="242">
        <v>14570863001</v>
      </c>
      <c r="E146" s="553" t="str">
        <f>IFERROR(VLOOKUP(D146,'ВИС-2026'!$E$17:$H$2115,2,0),"")</f>
        <v>Тройник РЕХАУ с уменьшенным боковым и торцевым проходами 32-20-20 RX+</v>
      </c>
      <c r="F146" s="292" t="str">
        <f>IFERROR(VLOOKUP(D146,'ВИС-2026'!$E$17:$H$2115,4,0),"")</f>
        <v>шт</v>
      </c>
      <c r="G146" s="428"/>
      <c r="H146" s="554">
        <f>IFERROR(VLOOKUP(D146,'ВИС-2026'!$E$17:$K$2649,7,0),"")</f>
        <v>37.54</v>
      </c>
      <c r="I146" s="554">
        <f t="shared" si="43"/>
        <v>0</v>
      </c>
      <c r="J146" s="554">
        <f t="shared" si="44"/>
        <v>37.54</v>
      </c>
      <c r="K146" s="554">
        <f t="shared" si="45"/>
        <v>0</v>
      </c>
      <c r="L146" s="554">
        <f t="shared" si="46"/>
        <v>0</v>
      </c>
      <c r="M146" s="554">
        <f t="shared" si="47"/>
        <v>0</v>
      </c>
      <c r="N146" s="104"/>
    </row>
    <row r="147" spans="1:14">
      <c r="A147" s="147"/>
      <c r="B147" s="188" t="s">
        <v>30</v>
      </c>
      <c r="C147" s="190" t="s">
        <v>23</v>
      </c>
      <c r="D147" s="242">
        <v>14570873001</v>
      </c>
      <c r="E147" s="553" t="str">
        <f>IFERROR(VLOOKUP(D147,'ВИС-2026'!$E$17:$H$2115,2,0),"")</f>
        <v>Тройник РЕХАУ с уменьшенным боковым и торцевым проходами 32-20-25 RX+</v>
      </c>
      <c r="F147" s="292" t="str">
        <f>IFERROR(VLOOKUP(D147,'ВИС-2026'!$E$17:$H$2115,4,0),"")</f>
        <v>шт</v>
      </c>
      <c r="G147" s="428"/>
      <c r="H147" s="554">
        <f>IFERROR(VLOOKUP(D147,'ВИС-2026'!$E$17:$K$2649,7,0),"")</f>
        <v>37.54</v>
      </c>
      <c r="I147" s="554">
        <f t="shared" si="43"/>
        <v>0</v>
      </c>
      <c r="J147" s="554">
        <f t="shared" si="44"/>
        <v>37.54</v>
      </c>
      <c r="K147" s="554">
        <f t="shared" si="45"/>
        <v>0</v>
      </c>
      <c r="L147" s="554">
        <f t="shared" si="46"/>
        <v>0</v>
      </c>
      <c r="M147" s="554">
        <f t="shared" si="47"/>
        <v>0</v>
      </c>
      <c r="N147" s="104"/>
    </row>
    <row r="148" spans="1:14" s="73" customFormat="1">
      <c r="A148" s="147"/>
      <c r="B148" s="188" t="s">
        <v>30</v>
      </c>
      <c r="C148" s="190" t="s">
        <v>23</v>
      </c>
      <c r="D148" s="242">
        <v>14570893001</v>
      </c>
      <c r="E148" s="553" t="str">
        <f>IFERROR(VLOOKUP(D148,'ВИС-2026'!$E$17:$H$2115,2,0),"")</f>
        <v>Тройник РЕХАУ с уменьшенным боковым и торцевым проходами 32-25-20 RX+</v>
      </c>
      <c r="F148" s="292" t="str">
        <f>IFERROR(VLOOKUP(D148,'ВИС-2026'!$E$17:$H$2115,4,0),"")</f>
        <v>шт</v>
      </c>
      <c r="G148" s="428"/>
      <c r="H148" s="554">
        <f>IFERROR(VLOOKUP(D148,'ВИС-2026'!$E$17:$K$2649,7,0),"")</f>
        <v>37.54</v>
      </c>
      <c r="I148" s="554">
        <f t="shared" si="43"/>
        <v>0</v>
      </c>
      <c r="J148" s="554">
        <f t="shared" si="44"/>
        <v>37.54</v>
      </c>
      <c r="K148" s="554">
        <f t="shared" si="45"/>
        <v>0</v>
      </c>
      <c r="L148" s="554">
        <f t="shared" si="46"/>
        <v>0</v>
      </c>
      <c r="M148" s="554">
        <f t="shared" si="47"/>
        <v>0</v>
      </c>
      <c r="N148" s="104"/>
    </row>
    <row r="149" spans="1:14" s="73" customFormat="1">
      <c r="A149" s="147"/>
      <c r="B149" s="188" t="s">
        <v>30</v>
      </c>
      <c r="C149" s="190" t="s">
        <v>23</v>
      </c>
      <c r="D149" s="242">
        <v>14570913001</v>
      </c>
      <c r="E149" s="553" t="str">
        <f>IFERROR(VLOOKUP(D149,'ВИС-2026'!$E$17:$H$2115,2,0),"")</f>
        <v>Тройник РЕХАУ с уменьшенным боковым и торцевым проходами 32-25-25 RX+</v>
      </c>
      <c r="F149" s="292" t="str">
        <f>IFERROR(VLOOKUP(D149,'ВИС-2026'!$E$17:$H$2115,4,0),"")</f>
        <v>шт</v>
      </c>
      <c r="G149" s="428"/>
      <c r="H149" s="554">
        <f>IFERROR(VLOOKUP(D149,'ВИС-2026'!$E$17:$K$2649,7,0),"")</f>
        <v>37.54</v>
      </c>
      <c r="I149" s="554">
        <f t="shared" si="43"/>
        <v>0</v>
      </c>
      <c r="J149" s="554">
        <f t="shared" si="44"/>
        <v>37.54</v>
      </c>
      <c r="K149" s="554">
        <f t="shared" si="45"/>
        <v>0</v>
      </c>
      <c r="L149" s="554">
        <f t="shared" si="46"/>
        <v>0</v>
      </c>
      <c r="M149" s="554">
        <f t="shared" si="47"/>
        <v>0</v>
      </c>
      <c r="N149" s="104"/>
    </row>
    <row r="150" spans="1:14" s="73" customFormat="1">
      <c r="A150" s="147"/>
      <c r="B150" s="188" t="s">
        <v>30</v>
      </c>
      <c r="C150" s="190" t="s">
        <v>23</v>
      </c>
      <c r="D150" s="242">
        <v>14570923001</v>
      </c>
      <c r="E150" s="553" t="str">
        <f>IFERROR(VLOOKUP(D150,'ВИС-2026'!$E$17:$H$2115,2,0),"")</f>
        <v>Тройник РЕХАУ с уменьшенным боковым и торцевым проходами 40-32-32 RX+</v>
      </c>
      <c r="F150" s="292" t="str">
        <f>IFERROR(VLOOKUP(D150,'ВИС-2026'!$E$17:$H$2115,4,0),"")</f>
        <v>шт</v>
      </c>
      <c r="G150" s="428"/>
      <c r="H150" s="554">
        <f>IFERROR(VLOOKUP(D150,'ВИС-2026'!$E$17:$K$2649,7,0),"")</f>
        <v>71.97</v>
      </c>
      <c r="I150" s="554">
        <f t="shared" si="43"/>
        <v>0</v>
      </c>
      <c r="J150" s="554">
        <f t="shared" si="44"/>
        <v>71.97</v>
      </c>
      <c r="K150" s="554">
        <f t="shared" si="45"/>
        <v>0</v>
      </c>
      <c r="L150" s="554">
        <f t="shared" si="46"/>
        <v>0</v>
      </c>
      <c r="M150" s="554">
        <f t="shared" si="47"/>
        <v>0</v>
      </c>
      <c r="N150" s="104"/>
    </row>
    <row r="151" spans="1:14" s="73" customFormat="1">
      <c r="A151" s="147"/>
      <c r="B151" s="188"/>
      <c r="C151" s="215"/>
      <c r="D151" s="217"/>
      <c r="E151" s="249"/>
      <c r="F151" s="292" t="str">
        <f>IFERROR(VLOOKUP(D151,'ВИС-2026'!$E$17:$H$2115,5,0),"")</f>
        <v/>
      </c>
      <c r="G151" s="428"/>
      <c r="H151" s="554" t="str">
        <f>IFERROR(VLOOKUP(D151,'ВИС-2026'!$E$17:$K$2649,8,0),"")</f>
        <v/>
      </c>
      <c r="I151" s="554" t="str">
        <f t="shared" si="43"/>
        <v/>
      </c>
      <c r="J151" s="554" t="str">
        <f t="shared" si="44"/>
        <v/>
      </c>
      <c r="K151" s="554" t="str">
        <f t="shared" si="45"/>
        <v/>
      </c>
      <c r="L151" s="554" t="str">
        <f t="shared" si="46"/>
        <v/>
      </c>
      <c r="M151" s="554" t="str">
        <f t="shared" si="47"/>
        <v/>
      </c>
      <c r="N151" s="104"/>
    </row>
    <row r="152" spans="1:14" s="73" customFormat="1">
      <c r="A152" s="147"/>
      <c r="B152" s="188" t="s">
        <v>30</v>
      </c>
      <c r="C152" s="190" t="s">
        <v>23</v>
      </c>
      <c r="D152" s="188">
        <v>11080811001</v>
      </c>
      <c r="E152" s="553" t="str">
        <f>IFERROR(VLOOKUP(D152,'ВИС-2026'!$E$17:$H$2115,2,0),"")</f>
        <v>Тройник с уменьшенным боковым и торцевым проходами 20-16-16 MX</v>
      </c>
      <c r="F152" s="292" t="str">
        <f>IFERROR(VLOOKUP(D152,'ВИС-2026'!$E$17:$H$2115,4,0),"")</f>
        <v>шт</v>
      </c>
      <c r="G152" s="428"/>
      <c r="H152" s="554">
        <f>IFERROR(VLOOKUP(D152,'ВИС-2026'!$E$17:$K$2649,7,0),"")</f>
        <v>8.4700000000000006</v>
      </c>
      <c r="I152" s="554">
        <f t="shared" si="43"/>
        <v>0</v>
      </c>
      <c r="J152" s="554">
        <f t="shared" si="44"/>
        <v>8.4700000000000006</v>
      </c>
      <c r="K152" s="554">
        <f t="shared" si="45"/>
        <v>0</v>
      </c>
      <c r="L152" s="554">
        <f t="shared" si="46"/>
        <v>0</v>
      </c>
      <c r="M152" s="554">
        <f t="shared" si="47"/>
        <v>0</v>
      </c>
      <c r="N152" s="104"/>
    </row>
    <row r="153" spans="1:14" s="73" customFormat="1">
      <c r="A153" s="147"/>
      <c r="B153" s="188" t="s">
        <v>30</v>
      </c>
      <c r="C153" s="190" t="s">
        <v>23</v>
      </c>
      <c r="D153" s="188">
        <v>11080821001</v>
      </c>
      <c r="E153" s="553" t="str">
        <f>IFERROR(VLOOKUP(D153,'ВИС-2026'!$E$17:$H$2115,2,0),"")</f>
        <v>Тройник с уменьшенным боковым и торцевым проходами 25-16-16 MX</v>
      </c>
      <c r="F153" s="292" t="str">
        <f>IFERROR(VLOOKUP(D153,'ВИС-2026'!$E$17:$H$2115,4,0),"")</f>
        <v>шт</v>
      </c>
      <c r="G153" s="428"/>
      <c r="H153" s="554">
        <f>IFERROR(VLOOKUP(D153,'ВИС-2026'!$E$17:$K$2649,7,0),"")</f>
        <v>8.8699999999999992</v>
      </c>
      <c r="I153" s="554">
        <f t="shared" si="43"/>
        <v>0</v>
      </c>
      <c r="J153" s="554">
        <f t="shared" si="44"/>
        <v>8.8699999999999992</v>
      </c>
      <c r="K153" s="554">
        <f t="shared" si="45"/>
        <v>0</v>
      </c>
      <c r="L153" s="554">
        <f t="shared" si="46"/>
        <v>0</v>
      </c>
      <c r="M153" s="554">
        <f t="shared" si="47"/>
        <v>0</v>
      </c>
      <c r="N153" s="104"/>
    </row>
    <row r="154" spans="1:14" s="73" customFormat="1">
      <c r="A154" s="147"/>
      <c r="B154" s="188" t="s">
        <v>30</v>
      </c>
      <c r="C154" s="190" t="s">
        <v>23</v>
      </c>
      <c r="D154" s="188">
        <v>11080831001</v>
      </c>
      <c r="E154" s="553" t="str">
        <f>IFERROR(VLOOKUP(D154,'ВИС-2026'!$E$17:$H$2115,2,0),"")</f>
        <v>Тройник с уменьшенным боковым и торцевым проходами 25-16-20 MX</v>
      </c>
      <c r="F154" s="292" t="str">
        <f>IFERROR(VLOOKUP(D154,'ВИС-2026'!$E$17:$H$2115,4,0),"")</f>
        <v>шт</v>
      </c>
      <c r="G154" s="428"/>
      <c r="H154" s="554">
        <f>IFERROR(VLOOKUP(D154,'ВИС-2026'!$E$17:$K$2649,7,0),"")</f>
        <v>10.82</v>
      </c>
      <c r="I154" s="554">
        <f t="shared" si="43"/>
        <v>0</v>
      </c>
      <c r="J154" s="554">
        <f t="shared" si="44"/>
        <v>10.82</v>
      </c>
      <c r="K154" s="554">
        <f t="shared" si="45"/>
        <v>0</v>
      </c>
      <c r="L154" s="554">
        <f t="shared" si="46"/>
        <v>0</v>
      </c>
      <c r="M154" s="554">
        <f t="shared" si="47"/>
        <v>0</v>
      </c>
      <c r="N154" s="104"/>
    </row>
    <row r="155" spans="1:14" s="73" customFormat="1">
      <c r="A155" s="147"/>
      <c r="B155" s="188" t="s">
        <v>30</v>
      </c>
      <c r="C155" s="190" t="s">
        <v>23</v>
      </c>
      <c r="D155" s="256">
        <v>11080841001</v>
      </c>
      <c r="E155" s="553" t="str">
        <f>IFERROR(VLOOKUP(D155,'ВИС-2026'!$E$17:$H$2115,2,0),"")</f>
        <v>Тройник с уменьшенным боковым и торцевым проходами 25-20-16 MX</v>
      </c>
      <c r="F155" s="292" t="str">
        <f>IFERROR(VLOOKUP(D155,'ВИС-2026'!$E$17:$H$2115,4,0),"")</f>
        <v>шт</v>
      </c>
      <c r="G155" s="428"/>
      <c r="H155" s="554">
        <f>IFERROR(VLOOKUP(D155,'ВИС-2026'!$E$17:$K$2649,7,0),"")</f>
        <v>11.87</v>
      </c>
      <c r="I155" s="554">
        <f t="shared" si="43"/>
        <v>0</v>
      </c>
      <c r="J155" s="554">
        <f t="shared" si="44"/>
        <v>11.87</v>
      </c>
      <c r="K155" s="554">
        <f t="shared" si="45"/>
        <v>0</v>
      </c>
      <c r="L155" s="554">
        <f t="shared" si="46"/>
        <v>0</v>
      </c>
      <c r="M155" s="554">
        <f t="shared" si="47"/>
        <v>0</v>
      </c>
      <c r="N155" s="104"/>
    </row>
    <row r="156" spans="1:14" s="73" customFormat="1">
      <c r="A156" s="147"/>
      <c r="B156" s="188" t="s">
        <v>30</v>
      </c>
      <c r="C156" s="190" t="s">
        <v>23</v>
      </c>
      <c r="D156" s="188">
        <v>11080851001</v>
      </c>
      <c r="E156" s="553" t="str">
        <f>IFERROR(VLOOKUP(D156,'ВИС-2026'!$E$17:$H$2115,2,0),"")</f>
        <v>Тройник с уменьшенным боковым и торцевым проходами 25-20-20 MX</v>
      </c>
      <c r="F156" s="292" t="str">
        <f>IFERROR(VLOOKUP(D156,'ВИС-2026'!$E$17:$H$2115,4,0),"")</f>
        <v>шт</v>
      </c>
      <c r="G156" s="428"/>
      <c r="H156" s="554">
        <f>IFERROR(VLOOKUP(D156,'ВИС-2026'!$E$17:$K$2649,7,0),"")</f>
        <v>11.87</v>
      </c>
      <c r="I156" s="554">
        <f t="shared" si="43"/>
        <v>0</v>
      </c>
      <c r="J156" s="554">
        <f t="shared" si="44"/>
        <v>11.87</v>
      </c>
      <c r="K156" s="554">
        <f t="shared" si="45"/>
        <v>0</v>
      </c>
      <c r="L156" s="554">
        <f t="shared" si="46"/>
        <v>0</v>
      </c>
      <c r="M156" s="554">
        <f t="shared" si="47"/>
        <v>0</v>
      </c>
      <c r="N156" s="104"/>
    </row>
    <row r="157" spans="1:14">
      <c r="A157" s="147"/>
      <c r="B157" s="188" t="s">
        <v>30</v>
      </c>
      <c r="C157" s="190" t="s">
        <v>23</v>
      </c>
      <c r="D157" s="256">
        <v>11080861001</v>
      </c>
      <c r="E157" s="553" t="str">
        <f>IFERROR(VLOOKUP(D157,'ВИС-2026'!$E$17:$H$2115,2,0),"")</f>
        <v>Тройник с уменьшенным боковым и торцевым проходами 32-20-20 MX</v>
      </c>
      <c r="F157" s="292" t="str">
        <f>IFERROR(VLOOKUP(D157,'ВИС-2026'!$E$17:$H$2115,4,0),"")</f>
        <v>шт</v>
      </c>
      <c r="G157" s="428"/>
      <c r="H157" s="554">
        <f>IFERROR(VLOOKUP(D157,'ВИС-2026'!$E$17:$K$2649,7,0),"")</f>
        <v>23.91</v>
      </c>
      <c r="I157" s="554">
        <f t="shared" si="43"/>
        <v>0</v>
      </c>
      <c r="J157" s="554">
        <f t="shared" si="44"/>
        <v>23.91</v>
      </c>
      <c r="K157" s="554">
        <f t="shared" si="45"/>
        <v>0</v>
      </c>
      <c r="L157" s="554">
        <f t="shared" si="46"/>
        <v>0</v>
      </c>
      <c r="M157" s="554">
        <f t="shared" si="47"/>
        <v>0</v>
      </c>
      <c r="N157" s="104"/>
    </row>
    <row r="158" spans="1:14" s="73" customFormat="1">
      <c r="A158" s="147"/>
      <c r="B158" s="188" t="s">
        <v>30</v>
      </c>
      <c r="C158" s="190" t="s">
        <v>23</v>
      </c>
      <c r="D158" s="255">
        <v>11080871001</v>
      </c>
      <c r="E158" s="553" t="str">
        <f>IFERROR(VLOOKUP(D158,'ВИС-2026'!$E$17:$H$2115,2,0),"")</f>
        <v>Тройник с уменьшенным боковым и торцевым проходами 32-20-25 MX</v>
      </c>
      <c r="F158" s="292" t="str">
        <f>IFERROR(VLOOKUP(D158,'ВИС-2026'!$E$17:$H$2115,4,0),"")</f>
        <v>шт</v>
      </c>
      <c r="G158" s="428"/>
      <c r="H158" s="554">
        <f>IFERROR(VLOOKUP(D158,'ВИС-2026'!$E$17:$K$2649,7,0),"")</f>
        <v>23.91</v>
      </c>
      <c r="I158" s="554">
        <f t="shared" si="43"/>
        <v>0</v>
      </c>
      <c r="J158" s="554">
        <f t="shared" si="44"/>
        <v>23.91</v>
      </c>
      <c r="K158" s="554">
        <f t="shared" si="45"/>
        <v>0</v>
      </c>
      <c r="L158" s="554">
        <f t="shared" si="46"/>
        <v>0</v>
      </c>
      <c r="M158" s="554">
        <f t="shared" si="47"/>
        <v>0</v>
      </c>
      <c r="N158" s="104"/>
    </row>
    <row r="159" spans="1:14" s="73" customFormat="1">
      <c r="A159" s="147"/>
      <c r="B159" s="188" t="s">
        <v>30</v>
      </c>
      <c r="C159" s="190" t="s">
        <v>23</v>
      </c>
      <c r="D159" s="255">
        <v>11080891001</v>
      </c>
      <c r="E159" s="553" t="str">
        <f>IFERROR(VLOOKUP(D159,'ВИС-2026'!$E$17:$H$2115,2,0),"")</f>
        <v>Тройник с уменьшенным боковым и торцевым проходами 32-25-20 MX</v>
      </c>
      <c r="F159" s="292" t="str">
        <f>IFERROR(VLOOKUP(D159,'ВИС-2026'!$E$17:$H$2115,4,0),"")</f>
        <v>шт</v>
      </c>
      <c r="G159" s="428"/>
      <c r="H159" s="554">
        <f>IFERROR(VLOOKUP(D159,'ВИС-2026'!$E$17:$K$2649,7,0),"")</f>
        <v>23.91</v>
      </c>
      <c r="I159" s="554">
        <f t="shared" si="43"/>
        <v>0</v>
      </c>
      <c r="J159" s="554">
        <f t="shared" si="44"/>
        <v>23.91</v>
      </c>
      <c r="K159" s="554">
        <f t="shared" si="45"/>
        <v>0</v>
      </c>
      <c r="L159" s="554">
        <f t="shared" si="46"/>
        <v>0</v>
      </c>
      <c r="M159" s="554">
        <f t="shared" si="47"/>
        <v>0</v>
      </c>
      <c r="N159" s="104"/>
    </row>
    <row r="160" spans="1:14" s="73" customFormat="1">
      <c r="A160" s="147"/>
      <c r="B160" s="188" t="s">
        <v>30</v>
      </c>
      <c r="C160" s="190" t="s">
        <v>23</v>
      </c>
      <c r="D160" s="255">
        <v>11080911001</v>
      </c>
      <c r="E160" s="553" t="str">
        <f>IFERROR(VLOOKUP(D160,'ВИС-2026'!$E$17:$H$2115,2,0),"")</f>
        <v>Тройник с уменьшенным боковым и торцевым проходами 32-25-25 MX</v>
      </c>
      <c r="F160" s="292" t="str">
        <f>IFERROR(VLOOKUP(D160,'ВИС-2026'!$E$17:$H$2115,4,0),"")</f>
        <v>шт</v>
      </c>
      <c r="G160" s="428"/>
      <c r="H160" s="554">
        <f>IFERROR(VLOOKUP(D160,'ВИС-2026'!$E$17:$K$2649,7,0),"")</f>
        <v>23.91</v>
      </c>
      <c r="I160" s="554">
        <f t="shared" si="43"/>
        <v>0</v>
      </c>
      <c r="J160" s="554">
        <f t="shared" si="44"/>
        <v>23.91</v>
      </c>
      <c r="K160" s="554">
        <f t="shared" si="45"/>
        <v>0</v>
      </c>
      <c r="L160" s="554">
        <f t="shared" si="46"/>
        <v>0</v>
      </c>
      <c r="M160" s="554">
        <f t="shared" si="47"/>
        <v>0</v>
      </c>
      <c r="N160" s="104"/>
    </row>
    <row r="161" spans="1:14" s="73" customFormat="1">
      <c r="A161" s="147"/>
      <c r="B161" s="188" t="s">
        <v>30</v>
      </c>
      <c r="C161" s="190" t="s">
        <v>23</v>
      </c>
      <c r="D161" s="188">
        <v>11080921001</v>
      </c>
      <c r="E161" s="553" t="str">
        <f>IFERROR(VLOOKUP(D161,'ВИС-2026'!$E$17:$H$2115,2,0),"")</f>
        <v>Тройник с уменьшенным боковым и торцевым проходами 40-32-32 MX</v>
      </c>
      <c r="F161" s="292" t="str">
        <f>IFERROR(VLOOKUP(D161,'ВИС-2026'!$E$17:$H$2115,4,0),"")</f>
        <v>шт</v>
      </c>
      <c r="G161" s="428"/>
      <c r="H161" s="554">
        <f>IFERROR(VLOOKUP(D161,'ВИС-2026'!$E$17:$K$2649,7,0),"")</f>
        <v>49.63</v>
      </c>
      <c r="I161" s="554">
        <f t="shared" si="43"/>
        <v>0</v>
      </c>
      <c r="J161" s="554">
        <f t="shared" si="44"/>
        <v>49.63</v>
      </c>
      <c r="K161" s="554">
        <f t="shared" si="45"/>
        <v>0</v>
      </c>
      <c r="L161" s="554">
        <f t="shared" si="46"/>
        <v>0</v>
      </c>
      <c r="M161" s="554">
        <f t="shared" si="47"/>
        <v>0</v>
      </c>
      <c r="N161" s="104"/>
    </row>
    <row r="162" spans="1:14" s="73" customFormat="1">
      <c r="A162" s="147"/>
      <c r="B162" s="188" t="s">
        <v>30</v>
      </c>
      <c r="C162" s="190" t="s">
        <v>23</v>
      </c>
      <c r="D162" s="256">
        <v>11092901001</v>
      </c>
      <c r="E162" s="553" t="str">
        <f>IFERROR(VLOOKUP(D162,'ВИС-2026'!$E$17:$H$2115,2,0),"")</f>
        <v>Тройник с уменьшенным боковым и торцевым проходами 50-32-40 MX</v>
      </c>
      <c r="F162" s="292" t="str">
        <f>IFERROR(VLOOKUP(D162,'ВИС-2026'!$E$17:$H$2115,4,0),"")</f>
        <v>шт</v>
      </c>
      <c r="G162" s="428"/>
      <c r="H162" s="554">
        <f>IFERROR(VLOOKUP(D162,'ВИС-2026'!$E$17:$K$2649,7,0),"")</f>
        <v>139.82</v>
      </c>
      <c r="I162" s="554">
        <f t="shared" si="43"/>
        <v>0</v>
      </c>
      <c r="J162" s="554">
        <f t="shared" si="44"/>
        <v>139.82</v>
      </c>
      <c r="K162" s="554">
        <f t="shared" si="45"/>
        <v>0</v>
      </c>
      <c r="L162" s="554">
        <f t="shared" si="46"/>
        <v>0</v>
      </c>
      <c r="M162" s="554">
        <f t="shared" si="47"/>
        <v>0</v>
      </c>
      <c r="N162" s="104"/>
    </row>
    <row r="163" spans="1:14" s="73" customFormat="1">
      <c r="A163" s="147"/>
      <c r="B163" s="188"/>
      <c r="C163" s="215"/>
      <c r="D163" s="217"/>
      <c r="E163" s="249"/>
      <c r="F163" s="292" t="str">
        <f>IFERROR(VLOOKUP(D163,'ВИС-2026'!$E$17:$H$2115,5,0),"")</f>
        <v/>
      </c>
      <c r="G163" s="428"/>
      <c r="H163" s="554" t="str">
        <f>IFERROR(VLOOKUP(D163,'ВИС-2026'!$E$17:$K$2649,8,0),"")</f>
        <v/>
      </c>
      <c r="I163" s="554" t="str">
        <f t="shared" si="43"/>
        <v/>
      </c>
      <c r="J163" s="554" t="str">
        <f t="shared" si="44"/>
        <v/>
      </c>
      <c r="K163" s="554" t="str">
        <f t="shared" si="45"/>
        <v/>
      </c>
      <c r="L163" s="554" t="str">
        <f t="shared" si="46"/>
        <v/>
      </c>
      <c r="M163" s="554" t="str">
        <f t="shared" si="47"/>
        <v/>
      </c>
      <c r="N163" s="104"/>
    </row>
    <row r="164" spans="1:14" s="73" customFormat="1" ht="30.6">
      <c r="A164" s="148" t="s">
        <v>25</v>
      </c>
      <c r="B164" s="208" t="s">
        <v>26</v>
      </c>
      <c r="C164" s="190" t="s">
        <v>23</v>
      </c>
      <c r="D164" s="188">
        <v>11600711001</v>
      </c>
      <c r="E164" s="553" t="str">
        <f>IFERROR(VLOOKUP(D164,'ВИС-2026'!$E$17:$H$2115,2,0),"")</f>
        <v>Тройник с уменьшенным торцевым проходом 20-20-16 PX</v>
      </c>
      <c r="F164" s="292" t="str">
        <f>IFERROR(VLOOKUP(D164,'ВИС-2026'!$E$17:$H$2115,4,0),"")</f>
        <v>шт</v>
      </c>
      <c r="G164" s="428"/>
      <c r="H164" s="554">
        <f>IFERROR(VLOOKUP(D164,'ВИС-2026'!$E$17:$K$2649,7,0),"")</f>
        <v>5.88</v>
      </c>
      <c r="I164" s="554">
        <f t="shared" si="43"/>
        <v>0</v>
      </c>
      <c r="J164" s="554">
        <f t="shared" si="44"/>
        <v>5.88</v>
      </c>
      <c r="K164" s="554">
        <f t="shared" si="45"/>
        <v>0</v>
      </c>
      <c r="L164" s="554">
        <f t="shared" si="46"/>
        <v>0</v>
      </c>
      <c r="M164" s="554">
        <f t="shared" si="47"/>
        <v>0</v>
      </c>
      <c r="N164" s="104"/>
    </row>
    <row r="165" spans="1:14" s="73" customFormat="1" ht="30.6">
      <c r="A165" s="148" t="s">
        <v>25</v>
      </c>
      <c r="B165" s="208" t="s">
        <v>26</v>
      </c>
      <c r="C165" s="190" t="s">
        <v>23</v>
      </c>
      <c r="D165" s="188">
        <v>11600731001</v>
      </c>
      <c r="E165" s="553" t="str">
        <f>IFERROR(VLOOKUP(D165,'ВИС-2026'!$E$17:$H$2115,2,0),"")</f>
        <v>Тройник с уменьшенным торцевым проходом 25-25-20 PX</v>
      </c>
      <c r="F165" s="292" t="str">
        <f>IFERROR(VLOOKUP(D165,'ВИС-2026'!$E$17:$H$2115,4,0),"")</f>
        <v>шт</v>
      </c>
      <c r="G165" s="428"/>
      <c r="H165" s="554">
        <f>IFERROR(VLOOKUP(D165,'ВИС-2026'!$E$17:$K$2649,7,0),"")</f>
        <v>4.38</v>
      </c>
      <c r="I165" s="554">
        <f t="shared" si="43"/>
        <v>0</v>
      </c>
      <c r="J165" s="554">
        <f t="shared" si="44"/>
        <v>4.38</v>
      </c>
      <c r="K165" s="554">
        <f t="shared" si="45"/>
        <v>0</v>
      </c>
      <c r="L165" s="554">
        <f t="shared" si="46"/>
        <v>0</v>
      </c>
      <c r="M165" s="554">
        <f t="shared" si="47"/>
        <v>0</v>
      </c>
      <c r="N165" s="104"/>
    </row>
    <row r="166" spans="1:14" s="73" customFormat="1" ht="30.6">
      <c r="A166" s="148" t="s">
        <v>25</v>
      </c>
      <c r="B166" s="208" t="s">
        <v>26</v>
      </c>
      <c r="C166" s="190" t="s">
        <v>23</v>
      </c>
      <c r="D166" s="188">
        <v>11600741001</v>
      </c>
      <c r="E166" s="553" t="str">
        <f>IFERROR(VLOOKUP(D166,'ВИС-2026'!$E$17:$H$2115,2,0),"")</f>
        <v>Тройник с уменьшенным торцевым проходом 32-32-20 PX</v>
      </c>
      <c r="F166" s="292" t="str">
        <f>IFERROR(VLOOKUP(D166,'ВИС-2026'!$E$17:$H$2115,4,0),"")</f>
        <v>шт</v>
      </c>
      <c r="G166" s="428"/>
      <c r="H166" s="554">
        <f>IFERROR(VLOOKUP(D166,'ВИС-2026'!$E$17:$K$2649,7,0),"")</f>
        <v>7.81</v>
      </c>
      <c r="I166" s="554">
        <f t="shared" si="43"/>
        <v>0</v>
      </c>
      <c r="J166" s="554">
        <f t="shared" si="44"/>
        <v>7.81</v>
      </c>
      <c r="K166" s="554">
        <f t="shared" si="45"/>
        <v>0</v>
      </c>
      <c r="L166" s="554">
        <f t="shared" si="46"/>
        <v>0</v>
      </c>
      <c r="M166" s="554">
        <f t="shared" si="47"/>
        <v>0</v>
      </c>
      <c r="N166" s="104"/>
    </row>
    <row r="167" spans="1:14" s="73" customFormat="1">
      <c r="A167" s="147"/>
      <c r="B167" s="260"/>
      <c r="C167" s="215"/>
      <c r="D167" s="217"/>
      <c r="E167" s="218"/>
      <c r="F167" s="292" t="str">
        <f>IFERROR(VLOOKUP(D167,'ВИС-2026'!$E$17:$H$2115,5,0),"")</f>
        <v/>
      </c>
      <c r="G167" s="428"/>
      <c r="H167" s="554" t="str">
        <f>IFERROR(VLOOKUP(D167,'ВИС-2026'!$E$17:$K$2649,8,0),"")</f>
        <v/>
      </c>
      <c r="I167" s="554" t="str">
        <f t="shared" si="43"/>
        <v/>
      </c>
      <c r="J167" s="554" t="str">
        <f t="shared" si="44"/>
        <v/>
      </c>
      <c r="K167" s="554" t="str">
        <f t="shared" si="45"/>
        <v/>
      </c>
      <c r="L167" s="554" t="str">
        <f t="shared" si="46"/>
        <v/>
      </c>
      <c r="M167" s="554" t="str">
        <f t="shared" si="47"/>
        <v/>
      </c>
      <c r="N167" s="104"/>
    </row>
    <row r="168" spans="1:14" s="73" customFormat="1" ht="30.6">
      <c r="A168" s="148" t="s">
        <v>25</v>
      </c>
      <c r="B168" s="208" t="s">
        <v>26</v>
      </c>
      <c r="C168" s="190" t="s">
        <v>23</v>
      </c>
      <c r="D168" s="261">
        <v>13777401001</v>
      </c>
      <c r="E168" s="553" t="str">
        <f>IFERROR(VLOOKUP(D168,'ВИС-2026'!$E$17:$H$2115,2,0),"")</f>
        <v>Тройник с уменьшенным торцевым проходом 25-25-16 PLATINUM RX</v>
      </c>
      <c r="F168" s="292" t="str">
        <f>IFERROR(VLOOKUP(D168,'ВИС-2026'!$E$17:$H$2115,4,0),"")</f>
        <v>шт</v>
      </c>
      <c r="G168" s="428"/>
      <c r="H168" s="554">
        <f>IFERROR(VLOOKUP(D168,'ВИС-2026'!$E$17:$K$2649,7,0),"")</f>
        <v>11.25</v>
      </c>
      <c r="I168" s="554">
        <f t="shared" si="43"/>
        <v>0</v>
      </c>
      <c r="J168" s="554">
        <f t="shared" si="44"/>
        <v>11.25</v>
      </c>
      <c r="K168" s="554">
        <f t="shared" si="45"/>
        <v>0</v>
      </c>
      <c r="L168" s="554">
        <f t="shared" si="46"/>
        <v>0</v>
      </c>
      <c r="M168" s="554">
        <f t="shared" si="47"/>
        <v>0</v>
      </c>
      <c r="N168" s="104"/>
    </row>
    <row r="169" spans="1:14" s="73" customFormat="1">
      <c r="A169" s="147"/>
      <c r="B169" s="188"/>
      <c r="C169" s="215"/>
      <c r="D169" s="262"/>
      <c r="E169" s="249"/>
      <c r="F169" s="292" t="str">
        <f>IFERROR(VLOOKUP(D169,'ВИС-2026'!$E$17:$H$2115,5,0),"")</f>
        <v/>
      </c>
      <c r="G169" s="428"/>
      <c r="H169" s="554" t="str">
        <f>IFERROR(VLOOKUP(D169,'ВИС-2026'!$E$17:$K$2649,8,0),"")</f>
        <v/>
      </c>
      <c r="I169" s="554" t="str">
        <f t="shared" si="43"/>
        <v/>
      </c>
      <c r="J169" s="554" t="str">
        <f t="shared" si="44"/>
        <v/>
      </c>
      <c r="K169" s="554" t="str">
        <f t="shared" si="45"/>
        <v/>
      </c>
      <c r="L169" s="554" t="str">
        <f t="shared" si="46"/>
        <v/>
      </c>
      <c r="M169" s="554" t="str">
        <f t="shared" si="47"/>
        <v/>
      </c>
      <c r="N169" s="104"/>
    </row>
    <row r="170" spans="1:14" s="73" customFormat="1" ht="30.6">
      <c r="A170" s="148" t="s">
        <v>25</v>
      </c>
      <c r="B170" s="208" t="s">
        <v>26</v>
      </c>
      <c r="C170" s="190" t="s">
        <v>23</v>
      </c>
      <c r="D170" s="188">
        <v>11600821001</v>
      </c>
      <c r="E170" s="553" t="str">
        <f>IFERROR(VLOOKUP(D170,'ВИС-2026'!$E$17:$H$2115,2,0),"")</f>
        <v>Тройник с уменьшенным боковым и торцевым проходами 25-16-16 PX</v>
      </c>
      <c r="F170" s="292" t="str">
        <f>IFERROR(VLOOKUP(D170,'ВИС-2026'!$E$17:$H$2115,4,0),"")</f>
        <v>шт</v>
      </c>
      <c r="G170" s="428"/>
      <c r="H170" s="554">
        <f>IFERROR(VLOOKUP(D170,'ВИС-2026'!$E$17:$K$2649,7,0),"")</f>
        <v>2.68</v>
      </c>
      <c r="I170" s="554">
        <f t="shared" si="43"/>
        <v>0</v>
      </c>
      <c r="J170" s="554">
        <f t="shared" si="44"/>
        <v>2.68</v>
      </c>
      <c r="K170" s="554">
        <f t="shared" si="45"/>
        <v>0</v>
      </c>
      <c r="L170" s="554">
        <f t="shared" si="46"/>
        <v>0</v>
      </c>
      <c r="M170" s="554">
        <f t="shared" si="47"/>
        <v>0</v>
      </c>
      <c r="N170" s="104"/>
    </row>
    <row r="171" spans="1:14" s="73" customFormat="1" ht="30.6">
      <c r="A171" s="148" t="s">
        <v>25</v>
      </c>
      <c r="B171" s="208" t="s">
        <v>26</v>
      </c>
      <c r="C171" s="190" t="s">
        <v>23</v>
      </c>
      <c r="D171" s="188">
        <v>11600861001</v>
      </c>
      <c r="E171" s="553" t="str">
        <f>IFERROR(VLOOKUP(D171,'ВИС-2026'!$E$17:$H$2115,2,0),"")</f>
        <v>Тройник с уменьшенным боковым и торцевым проходами 32-20-20 PX</v>
      </c>
      <c r="F171" s="292" t="str">
        <f>IFERROR(VLOOKUP(D171,'ВИС-2026'!$E$17:$H$2115,4,0),"")</f>
        <v>шт</v>
      </c>
      <c r="G171" s="428"/>
      <c r="H171" s="554">
        <f>IFERROR(VLOOKUP(D171,'ВИС-2026'!$E$17:$K$2649,7,0),"")</f>
        <v>12.6</v>
      </c>
      <c r="I171" s="554">
        <f t="shared" si="43"/>
        <v>0</v>
      </c>
      <c r="J171" s="554">
        <f t="shared" si="44"/>
        <v>12.6</v>
      </c>
      <c r="K171" s="554">
        <f t="shared" si="45"/>
        <v>0</v>
      </c>
      <c r="L171" s="554">
        <f t="shared" si="46"/>
        <v>0</v>
      </c>
      <c r="M171" s="554">
        <f t="shared" si="47"/>
        <v>0</v>
      </c>
      <c r="N171" s="104"/>
    </row>
    <row r="172" spans="1:14" s="73" customFormat="1" ht="30.6">
      <c r="A172" s="148" t="s">
        <v>25</v>
      </c>
      <c r="B172" s="208" t="s">
        <v>26</v>
      </c>
      <c r="C172" s="190" t="s">
        <v>23</v>
      </c>
      <c r="D172" s="188">
        <v>11600871001</v>
      </c>
      <c r="E172" s="553" t="str">
        <f>IFERROR(VLOOKUP(D172,'ВИС-2026'!$E$17:$H$2115,2,0),"")</f>
        <v>Тройник с уменьшенным боковым и торцевым проходами 32-20-25 PX</v>
      </c>
      <c r="F172" s="292" t="str">
        <f>IFERROR(VLOOKUP(D172,'ВИС-2026'!$E$17:$H$2115,4,0),"")</f>
        <v>шт</v>
      </c>
      <c r="G172" s="428"/>
      <c r="H172" s="554">
        <f>IFERROR(VLOOKUP(D172,'ВИС-2026'!$E$17:$K$2649,7,0),"")</f>
        <v>12.93</v>
      </c>
      <c r="I172" s="554">
        <f t="shared" si="43"/>
        <v>0</v>
      </c>
      <c r="J172" s="554">
        <f t="shared" si="44"/>
        <v>12.93</v>
      </c>
      <c r="K172" s="554">
        <f t="shared" si="45"/>
        <v>0</v>
      </c>
      <c r="L172" s="554">
        <f t="shared" si="46"/>
        <v>0</v>
      </c>
      <c r="M172" s="554">
        <f t="shared" si="47"/>
        <v>0</v>
      </c>
      <c r="N172" s="104"/>
    </row>
    <row r="173" spans="1:14" s="73" customFormat="1" ht="30.6">
      <c r="A173" s="148" t="s">
        <v>25</v>
      </c>
      <c r="B173" s="208" t="s">
        <v>26</v>
      </c>
      <c r="C173" s="190" t="s">
        <v>23</v>
      </c>
      <c r="D173" s="188">
        <v>11600891001</v>
      </c>
      <c r="E173" s="553" t="str">
        <f>IFERROR(VLOOKUP(D173,'ВИС-2026'!$E$17:$H$2115,2,0),"")</f>
        <v>Тройник с уменьшенным боковым и торцевым проходами 32-25-20 PX</v>
      </c>
      <c r="F173" s="292" t="str">
        <f>IFERROR(VLOOKUP(D173,'ВИС-2026'!$E$17:$H$2115,4,0),"")</f>
        <v>шт</v>
      </c>
      <c r="G173" s="428"/>
      <c r="H173" s="554">
        <f>IFERROR(VLOOKUP(D173,'ВИС-2026'!$E$17:$K$2649,7,0),"")</f>
        <v>6.61</v>
      </c>
      <c r="I173" s="554">
        <f t="shared" si="43"/>
        <v>0</v>
      </c>
      <c r="J173" s="554">
        <f t="shared" si="44"/>
        <v>6.61</v>
      </c>
      <c r="K173" s="554">
        <f t="shared" si="45"/>
        <v>0</v>
      </c>
      <c r="L173" s="554">
        <f t="shared" si="46"/>
        <v>0</v>
      </c>
      <c r="M173" s="554">
        <f t="shared" si="47"/>
        <v>0</v>
      </c>
      <c r="N173" s="104"/>
    </row>
    <row r="174" spans="1:14">
      <c r="A174" s="147"/>
      <c r="B174" s="240"/>
      <c r="C174" s="247"/>
      <c r="D174" s="188"/>
      <c r="E174" s="210"/>
      <c r="F174" s="292" t="str">
        <f>IFERROR(VLOOKUP(D174,'ВИС-2026'!$E$17:$H$2115,5,0),"")</f>
        <v/>
      </c>
      <c r="G174" s="428"/>
      <c r="H174" s="554" t="str">
        <f>IFERROR(VLOOKUP(D174,'ВИС-2026'!$E$17:$K$2649,8,0),"")</f>
        <v/>
      </c>
      <c r="I174" s="554" t="str">
        <f t="shared" si="43"/>
        <v/>
      </c>
      <c r="J174" s="554" t="str">
        <f t="shared" si="44"/>
        <v/>
      </c>
      <c r="K174" s="554" t="str">
        <f t="shared" si="45"/>
        <v/>
      </c>
      <c r="L174" s="554" t="str">
        <f t="shared" si="46"/>
        <v/>
      </c>
      <c r="M174" s="554" t="str">
        <f t="shared" si="47"/>
        <v/>
      </c>
      <c r="N174" s="104"/>
    </row>
    <row r="175" spans="1:14" s="73" customFormat="1" ht="30.6">
      <c r="A175" s="148" t="s">
        <v>25</v>
      </c>
      <c r="B175" s="208" t="s">
        <v>26</v>
      </c>
      <c r="C175" s="238" t="s">
        <v>23</v>
      </c>
      <c r="D175" s="188">
        <v>14562901001</v>
      </c>
      <c r="E175" s="553" t="str">
        <f>IFERROR(VLOOKUP(D175,'ВИС-2026'!$E$17:$H$2115,2,0),"")</f>
        <v>Тройник с уменьшенным боковым и торцевым проходами 50-32-40 RX+</v>
      </c>
      <c r="F175" s="292" t="str">
        <f>IFERROR(VLOOKUP(D175,'ВИС-2026'!$E$17:$H$2115,4,0),"")</f>
        <v>шт</v>
      </c>
      <c r="G175" s="428"/>
      <c r="H175" s="554">
        <f>IFERROR(VLOOKUP(D175,'ВИС-2026'!$E$17:$K$2649,7,0),"")</f>
        <v>168.36</v>
      </c>
      <c r="I175" s="554">
        <f t="shared" si="43"/>
        <v>0</v>
      </c>
      <c r="J175" s="554">
        <f t="shared" si="44"/>
        <v>168.36</v>
      </c>
      <c r="K175" s="554">
        <f t="shared" si="45"/>
        <v>0</v>
      </c>
      <c r="L175" s="554">
        <f t="shared" si="46"/>
        <v>0</v>
      </c>
      <c r="M175" s="554">
        <f t="shared" si="47"/>
        <v>0</v>
      </c>
      <c r="N175" s="104"/>
    </row>
    <row r="176" spans="1:14" s="73" customFormat="1">
      <c r="A176" s="147"/>
      <c r="B176" s="240"/>
      <c r="C176" s="247"/>
      <c r="D176" s="188"/>
      <c r="E176" s="210"/>
      <c r="F176" s="292" t="str">
        <f>IFERROR(VLOOKUP(D176,'ВИС-2026'!$E$17:$H$2115,5,0),"")</f>
        <v/>
      </c>
      <c r="G176" s="428"/>
      <c r="H176" s="554" t="str">
        <f>IFERROR(VLOOKUP(D176,'ВИС-2026'!$E$17:$K$2649,8,0),"")</f>
        <v/>
      </c>
      <c r="I176" s="554" t="str">
        <f t="shared" si="43"/>
        <v/>
      </c>
      <c r="J176" s="554" t="str">
        <f t="shared" si="44"/>
        <v/>
      </c>
      <c r="K176" s="554" t="str">
        <f t="shared" si="45"/>
        <v/>
      </c>
      <c r="L176" s="554" t="str">
        <f t="shared" si="46"/>
        <v/>
      </c>
      <c r="M176" s="554" t="str">
        <f t="shared" si="47"/>
        <v/>
      </c>
      <c r="N176" s="104"/>
    </row>
    <row r="177" spans="1:14" s="73" customFormat="1" ht="30.6">
      <c r="A177" s="148" t="s">
        <v>25</v>
      </c>
      <c r="B177" s="208" t="s">
        <v>26</v>
      </c>
      <c r="C177" s="190" t="s">
        <v>23</v>
      </c>
      <c r="D177" s="188">
        <v>13777421001</v>
      </c>
      <c r="E177" s="553" t="str">
        <f>IFERROR(VLOOKUP(D177,'ВИС-2026'!$E$17:$H$2115,2,0),"")</f>
        <v>Тройник с уменьшенным боковым и торцевым проходами 25-16-16 PLATINUM RX</v>
      </c>
      <c r="F177" s="292" t="str">
        <f>IFERROR(VLOOKUP(D177,'ВИС-2026'!$E$17:$H$2115,4,0),"")</f>
        <v>шт</v>
      </c>
      <c r="G177" s="428"/>
      <c r="H177" s="554">
        <f>IFERROR(VLOOKUP(D177,'ВИС-2026'!$E$17:$K$2649,7,0),"")</f>
        <v>8.17</v>
      </c>
      <c r="I177" s="554">
        <f t="shared" si="43"/>
        <v>0</v>
      </c>
      <c r="J177" s="554">
        <f t="shared" si="44"/>
        <v>8.17</v>
      </c>
      <c r="K177" s="554">
        <f t="shared" si="45"/>
        <v>0</v>
      </c>
      <c r="L177" s="554">
        <f t="shared" si="46"/>
        <v>0</v>
      </c>
      <c r="M177" s="554">
        <f t="shared" si="47"/>
        <v>0</v>
      </c>
      <c r="N177" s="104"/>
    </row>
    <row r="178" spans="1:14" s="73" customFormat="1" ht="30.6">
      <c r="A178" s="148" t="s">
        <v>25</v>
      </c>
      <c r="B178" s="208" t="s">
        <v>26</v>
      </c>
      <c r="C178" s="190" t="s">
        <v>23</v>
      </c>
      <c r="D178" s="188">
        <v>13777431001</v>
      </c>
      <c r="E178" s="553" t="str">
        <f>IFERROR(VLOOKUP(D178,'ВИС-2026'!$E$17:$H$2115,2,0),"")</f>
        <v>Тройник с уменьшенным боковым и торцевым проходами 25-16-20 PLATINUM RX</v>
      </c>
      <c r="F178" s="292" t="str">
        <f>IFERROR(VLOOKUP(D178,'ВИС-2026'!$E$17:$H$2115,4,0),"")</f>
        <v>шт</v>
      </c>
      <c r="G178" s="428"/>
      <c r="H178" s="554">
        <f>IFERROR(VLOOKUP(D178,'ВИС-2026'!$E$17:$K$2649,7,0),"")</f>
        <v>9.39</v>
      </c>
      <c r="I178" s="554">
        <f t="shared" si="43"/>
        <v>0</v>
      </c>
      <c r="J178" s="554">
        <f t="shared" si="44"/>
        <v>9.39</v>
      </c>
      <c r="K178" s="554">
        <f t="shared" si="45"/>
        <v>0</v>
      </c>
      <c r="L178" s="554">
        <f t="shared" si="46"/>
        <v>0</v>
      </c>
      <c r="M178" s="554">
        <f t="shared" si="47"/>
        <v>0</v>
      </c>
      <c r="N178" s="104"/>
    </row>
    <row r="179" spans="1:14" s="73" customFormat="1" ht="30.6">
      <c r="A179" s="148" t="s">
        <v>25</v>
      </c>
      <c r="B179" s="208" t="s">
        <v>26</v>
      </c>
      <c r="C179" s="190" t="s">
        <v>23</v>
      </c>
      <c r="D179" s="188">
        <v>13777441001</v>
      </c>
      <c r="E179" s="553" t="str">
        <f>IFERROR(VLOOKUP(D179,'ВИС-2026'!$E$17:$H$2115,2,0),"")</f>
        <v>Тройник с уменьшенным боковым и торцевым проходами 25-20-20 PLATINUM RX</v>
      </c>
      <c r="F179" s="292" t="str">
        <f>IFERROR(VLOOKUP(D179,'ВИС-2026'!$E$17:$H$2115,4,0),"")</f>
        <v>шт</v>
      </c>
      <c r="G179" s="428"/>
      <c r="H179" s="554">
        <f>IFERROR(VLOOKUP(D179,'ВИС-2026'!$E$17:$K$2649,7,0),"")</f>
        <v>9.93</v>
      </c>
      <c r="I179" s="554">
        <f t="shared" si="43"/>
        <v>0</v>
      </c>
      <c r="J179" s="554">
        <f t="shared" si="44"/>
        <v>9.93</v>
      </c>
      <c r="K179" s="554">
        <f t="shared" si="45"/>
        <v>0</v>
      </c>
      <c r="L179" s="554">
        <f t="shared" si="46"/>
        <v>0</v>
      </c>
      <c r="M179" s="554">
        <f t="shared" si="47"/>
        <v>0</v>
      </c>
      <c r="N179" s="104"/>
    </row>
    <row r="180" spans="1:14" s="73" customFormat="1" ht="30.6">
      <c r="A180" s="148" t="s">
        <v>25</v>
      </c>
      <c r="B180" s="208" t="s">
        <v>26</v>
      </c>
      <c r="C180" s="190" t="s">
        <v>23</v>
      </c>
      <c r="D180" s="188">
        <v>13777461001</v>
      </c>
      <c r="E180" s="553" t="str">
        <f>IFERROR(VLOOKUP(D180,'ВИС-2026'!$E$17:$H$2115,2,0),"")</f>
        <v>Тройник с уменьшенным боковым и торцевым проходами 32-25-25 PLATINUM RX</v>
      </c>
      <c r="F180" s="292" t="str">
        <f>IFERROR(VLOOKUP(D180,'ВИС-2026'!$E$17:$H$2115,4,0),"")</f>
        <v>шт</v>
      </c>
      <c r="G180" s="428"/>
      <c r="H180" s="554">
        <f>IFERROR(VLOOKUP(D180,'ВИС-2026'!$E$17:$K$2649,7,0),"")</f>
        <v>16.760000000000002</v>
      </c>
      <c r="I180" s="554">
        <f t="shared" si="43"/>
        <v>0</v>
      </c>
      <c r="J180" s="554">
        <f t="shared" si="44"/>
        <v>16.760000000000002</v>
      </c>
      <c r="K180" s="554">
        <f t="shared" si="45"/>
        <v>0</v>
      </c>
      <c r="L180" s="554">
        <f t="shared" si="46"/>
        <v>0</v>
      </c>
      <c r="M180" s="554">
        <f t="shared" si="47"/>
        <v>0</v>
      </c>
      <c r="N180" s="104"/>
    </row>
    <row r="181" spans="1:14" s="73" customFormat="1">
      <c r="A181" s="147"/>
      <c r="B181" s="188"/>
      <c r="C181" s="215"/>
      <c r="D181" s="217"/>
      <c r="E181" s="218"/>
      <c r="F181" s="292" t="str">
        <f>IFERROR(VLOOKUP(D181,'ВИС-2026'!$E$17:$H$2115,5,0),"")</f>
        <v/>
      </c>
      <c r="G181" s="428"/>
      <c r="H181" s="554" t="str">
        <f>IFERROR(VLOOKUP(D181,'ВИС-2026'!$E$17:$K$2649,8,0),"")</f>
        <v/>
      </c>
      <c r="I181" s="554" t="str">
        <f t="shared" si="43"/>
        <v/>
      </c>
      <c r="J181" s="554" t="str">
        <f t="shared" si="44"/>
        <v/>
      </c>
      <c r="K181" s="554" t="str">
        <f t="shared" si="45"/>
        <v/>
      </c>
      <c r="L181" s="554" t="str">
        <f t="shared" si="46"/>
        <v/>
      </c>
      <c r="M181" s="554" t="str">
        <f t="shared" si="47"/>
        <v/>
      </c>
      <c r="N181" s="104"/>
    </row>
    <row r="182" spans="1:14">
      <c r="A182" s="147"/>
      <c r="B182" s="188" t="s">
        <v>30</v>
      </c>
      <c r="C182" s="190" t="s">
        <v>23</v>
      </c>
      <c r="D182" s="242">
        <v>14571013001</v>
      </c>
      <c r="E182" s="553" t="str">
        <f>IFERROR(VLOOKUP(D182,'ВИС-2026'!$E$17:$H$2115,2,0),"")</f>
        <v>Тройник РЕХАУ с увеличенным боковым проходом 16-20-16 RX+</v>
      </c>
      <c r="F182" s="292" t="str">
        <f>IFERROR(VLOOKUP(D182,'ВИС-2026'!$E$17:$H$2115,4,0),"")</f>
        <v>шт</v>
      </c>
      <c r="G182" s="428"/>
      <c r="H182" s="554">
        <f>IFERROR(VLOOKUP(D182,'ВИС-2026'!$E$17:$K$2649,7,0),"")</f>
        <v>12.27</v>
      </c>
      <c r="I182" s="554">
        <f t="shared" si="43"/>
        <v>0</v>
      </c>
      <c r="J182" s="554">
        <f t="shared" si="44"/>
        <v>12.27</v>
      </c>
      <c r="K182" s="554">
        <f t="shared" si="45"/>
        <v>0</v>
      </c>
      <c r="L182" s="554">
        <f t="shared" si="46"/>
        <v>0</v>
      </c>
      <c r="M182" s="554">
        <f t="shared" si="47"/>
        <v>0</v>
      </c>
      <c r="N182" s="104"/>
    </row>
    <row r="183" spans="1:14" s="73" customFormat="1">
      <c r="A183" s="147"/>
      <c r="B183" s="188" t="s">
        <v>30</v>
      </c>
      <c r="C183" s="190" t="s">
        <v>23</v>
      </c>
      <c r="D183" s="242">
        <v>14571023001</v>
      </c>
      <c r="E183" s="553" t="str">
        <f>IFERROR(VLOOKUP(D183,'ВИС-2026'!$E$17:$H$2115,2,0),"")</f>
        <v>Тройник РЕХАУ с увеличенным боковым проходом 16-25-16 RX+</v>
      </c>
      <c r="F183" s="292" t="str">
        <f>IFERROR(VLOOKUP(D183,'ВИС-2026'!$E$17:$H$2115,4,0),"")</f>
        <v>шт</v>
      </c>
      <c r="G183" s="428"/>
      <c r="H183" s="554">
        <f>IFERROR(VLOOKUP(D183,'ВИС-2026'!$E$17:$K$2649,7,0),"")</f>
        <v>18.68</v>
      </c>
      <c r="I183" s="554">
        <f t="shared" si="43"/>
        <v>0</v>
      </c>
      <c r="J183" s="554">
        <f t="shared" si="44"/>
        <v>18.68</v>
      </c>
      <c r="K183" s="554">
        <f t="shared" si="45"/>
        <v>0</v>
      </c>
      <c r="L183" s="554">
        <f t="shared" si="46"/>
        <v>0</v>
      </c>
      <c r="M183" s="554">
        <f t="shared" si="47"/>
        <v>0</v>
      </c>
      <c r="N183" s="104"/>
    </row>
    <row r="184" spans="1:14" s="73" customFormat="1">
      <c r="A184" s="147"/>
      <c r="B184" s="188" t="s">
        <v>30</v>
      </c>
      <c r="C184" s="190" t="s">
        <v>23</v>
      </c>
      <c r="D184" s="242">
        <v>14571033001</v>
      </c>
      <c r="E184" s="553" t="str">
        <f>IFERROR(VLOOKUP(D184,'ВИС-2026'!$E$17:$H$2115,2,0),"")</f>
        <v>Тройник РЕХАУ с увеличенным боковым проходом 20-25-16 RX+</v>
      </c>
      <c r="F184" s="292" t="str">
        <f>IFERROR(VLOOKUP(D184,'ВИС-2026'!$E$17:$H$2115,4,0),"")</f>
        <v>шт</v>
      </c>
      <c r="G184" s="428"/>
      <c r="H184" s="554">
        <f>IFERROR(VLOOKUP(D184,'ВИС-2026'!$E$17:$K$2649,7,0),"")</f>
        <v>18.68</v>
      </c>
      <c r="I184" s="554">
        <f t="shared" si="43"/>
        <v>0</v>
      </c>
      <c r="J184" s="554">
        <f t="shared" si="44"/>
        <v>18.68</v>
      </c>
      <c r="K184" s="554">
        <f t="shared" si="45"/>
        <v>0</v>
      </c>
      <c r="L184" s="554">
        <f t="shared" si="46"/>
        <v>0</v>
      </c>
      <c r="M184" s="554">
        <f t="shared" si="47"/>
        <v>0</v>
      </c>
      <c r="N184" s="104"/>
    </row>
    <row r="185" spans="1:14" s="73" customFormat="1">
      <c r="A185" s="147"/>
      <c r="B185" s="188" t="s">
        <v>30</v>
      </c>
      <c r="C185" s="190" t="s">
        <v>23</v>
      </c>
      <c r="D185" s="242">
        <v>14571043001</v>
      </c>
      <c r="E185" s="553" t="str">
        <f>IFERROR(VLOOKUP(D185,'ВИС-2026'!$E$17:$H$2115,2,0),"")</f>
        <v>Тройник РЕХАУ с увеличенным боковым проходом 20-25-20 RX+</v>
      </c>
      <c r="F185" s="292" t="str">
        <f>IFERROR(VLOOKUP(D185,'ВИС-2026'!$E$17:$H$2115,4,0),"")</f>
        <v>шт</v>
      </c>
      <c r="G185" s="428"/>
      <c r="H185" s="554">
        <f>IFERROR(VLOOKUP(D185,'ВИС-2026'!$E$17:$K$2649,7,0),"")</f>
        <v>18.68</v>
      </c>
      <c r="I185" s="554">
        <f t="shared" si="43"/>
        <v>0</v>
      </c>
      <c r="J185" s="554">
        <f t="shared" si="44"/>
        <v>18.68</v>
      </c>
      <c r="K185" s="554">
        <f t="shared" si="45"/>
        <v>0</v>
      </c>
      <c r="L185" s="554">
        <f t="shared" si="46"/>
        <v>0</v>
      </c>
      <c r="M185" s="554">
        <f t="shared" si="47"/>
        <v>0</v>
      </c>
      <c r="N185" s="104"/>
    </row>
    <row r="186" spans="1:14" s="73" customFormat="1">
      <c r="A186" s="150"/>
      <c r="B186" s="188" t="s">
        <v>30</v>
      </c>
      <c r="C186" s="190" t="s">
        <v>23</v>
      </c>
      <c r="D186" s="242">
        <v>14571063001</v>
      </c>
      <c r="E186" s="553" t="str">
        <f>IFERROR(VLOOKUP(D186,'ВИС-2026'!$E$17:$H$2115,2,0),"")</f>
        <v>Тройник РЕХАУ с увеличенным боковым проходом 25-32-25 RX+</v>
      </c>
      <c r="F186" s="292" t="str">
        <f>IFERROR(VLOOKUP(D186,'ВИС-2026'!$E$17:$H$2115,4,0),"")</f>
        <v>шт</v>
      </c>
      <c r="G186" s="428"/>
      <c r="H186" s="554">
        <f>IFERROR(VLOOKUP(D186,'ВИС-2026'!$E$17:$K$2649,7,0),"")</f>
        <v>37.54</v>
      </c>
      <c r="I186" s="554">
        <f t="shared" si="43"/>
        <v>0</v>
      </c>
      <c r="J186" s="554">
        <f t="shared" si="44"/>
        <v>37.54</v>
      </c>
      <c r="K186" s="554">
        <f t="shared" si="45"/>
        <v>0</v>
      </c>
      <c r="L186" s="554">
        <f t="shared" si="46"/>
        <v>0</v>
      </c>
      <c r="M186" s="554">
        <f t="shared" si="47"/>
        <v>0</v>
      </c>
      <c r="N186" s="104"/>
    </row>
    <row r="187" spans="1:14" s="73" customFormat="1">
      <c r="A187" s="147"/>
      <c r="B187" s="188"/>
      <c r="C187" s="215"/>
      <c r="D187" s="217"/>
      <c r="E187" s="218"/>
      <c r="F187" s="292" t="str">
        <f>IFERROR(VLOOKUP(D187,'ВИС-2026'!$E$17:$H$2115,5,0),"")</f>
        <v/>
      </c>
      <c r="G187" s="428"/>
      <c r="H187" s="554" t="str">
        <f>IFERROR(VLOOKUP(D187,'ВИС-2026'!$E$17:$K$2649,8,0),"")</f>
        <v/>
      </c>
      <c r="I187" s="554" t="str">
        <f t="shared" si="43"/>
        <v/>
      </c>
      <c r="J187" s="554" t="str">
        <f t="shared" si="44"/>
        <v/>
      </c>
      <c r="K187" s="554" t="str">
        <f t="shared" si="45"/>
        <v/>
      </c>
      <c r="L187" s="554" t="str">
        <f t="shared" si="46"/>
        <v/>
      </c>
      <c r="M187" s="554" t="str">
        <f t="shared" si="47"/>
        <v/>
      </c>
      <c r="N187" s="104"/>
    </row>
    <row r="188" spans="1:14" s="73" customFormat="1">
      <c r="A188" s="147"/>
      <c r="B188" s="188" t="s">
        <v>30</v>
      </c>
      <c r="C188" s="190" t="s">
        <v>23</v>
      </c>
      <c r="D188" s="188">
        <v>11081011001</v>
      </c>
      <c r="E188" s="553" t="str">
        <f>IFERROR(VLOOKUP(D188,'ВИС-2026'!$E$17:$H$2115,2,0),"")</f>
        <v>Тройник с увеличенным боковым проходом 16-20-16 MX</v>
      </c>
      <c r="F188" s="292" t="str">
        <f>IFERROR(VLOOKUP(D188,'ВИС-2026'!$E$17:$H$2115,4,0),"")</f>
        <v>шт</v>
      </c>
      <c r="G188" s="428"/>
      <c r="H188" s="554">
        <f>IFERROR(VLOOKUP(D188,'ВИС-2026'!$E$17:$K$2649,7,0),"")</f>
        <v>7.82</v>
      </c>
      <c r="I188" s="554">
        <f t="shared" si="43"/>
        <v>0</v>
      </c>
      <c r="J188" s="554">
        <f t="shared" si="44"/>
        <v>7.82</v>
      </c>
      <c r="K188" s="554">
        <f t="shared" si="45"/>
        <v>0</v>
      </c>
      <c r="L188" s="554">
        <f t="shared" si="46"/>
        <v>0</v>
      </c>
      <c r="M188" s="554">
        <f t="shared" si="47"/>
        <v>0</v>
      </c>
      <c r="N188" s="104"/>
    </row>
    <row r="189" spans="1:14" s="73" customFormat="1">
      <c r="A189" s="147"/>
      <c r="B189" s="188" t="s">
        <v>30</v>
      </c>
      <c r="C189" s="190" t="s">
        <v>23</v>
      </c>
      <c r="D189" s="255">
        <v>11081021001</v>
      </c>
      <c r="E189" s="553" t="str">
        <f>IFERROR(VLOOKUP(D189,'ВИС-2026'!$E$17:$H$2115,2,0),"")</f>
        <v>Тройник с увеличенным боковым проходом 16-25-16 MX</v>
      </c>
      <c r="F189" s="292" t="str">
        <f>IFERROR(VLOOKUP(D189,'ВИС-2026'!$E$17:$H$2115,4,0),"")</f>
        <v>шт</v>
      </c>
      <c r="G189" s="428"/>
      <c r="H189" s="554">
        <f>IFERROR(VLOOKUP(D189,'ВИС-2026'!$E$17:$K$2649,7,0),"")</f>
        <v>11.68</v>
      </c>
      <c r="I189" s="554">
        <f t="shared" si="43"/>
        <v>0</v>
      </c>
      <c r="J189" s="554">
        <f t="shared" si="44"/>
        <v>11.68</v>
      </c>
      <c r="K189" s="554">
        <f t="shared" si="45"/>
        <v>0</v>
      </c>
      <c r="L189" s="554">
        <f t="shared" si="46"/>
        <v>0</v>
      </c>
      <c r="M189" s="554">
        <f t="shared" si="47"/>
        <v>0</v>
      </c>
      <c r="N189" s="104"/>
    </row>
    <row r="190" spans="1:14" s="73" customFormat="1">
      <c r="A190" s="147"/>
      <c r="B190" s="188" t="s">
        <v>30</v>
      </c>
      <c r="C190" s="190" t="s">
        <v>23</v>
      </c>
      <c r="D190" s="256">
        <v>11081031001</v>
      </c>
      <c r="E190" s="553" t="str">
        <f>IFERROR(VLOOKUP(D190,'ВИС-2026'!$E$17:$H$2115,2,0),"")</f>
        <v>Тройник с увеличенным боковым проходом 20-25-16 MX</v>
      </c>
      <c r="F190" s="292" t="str">
        <f>IFERROR(VLOOKUP(D190,'ВИС-2026'!$E$17:$H$2115,4,0),"")</f>
        <v>шт</v>
      </c>
      <c r="G190" s="428"/>
      <c r="H190" s="554">
        <f>IFERROR(VLOOKUP(D190,'ВИС-2026'!$E$17:$K$2649,7,0),"")</f>
        <v>11.68</v>
      </c>
      <c r="I190" s="554">
        <f t="shared" si="43"/>
        <v>0</v>
      </c>
      <c r="J190" s="554">
        <f t="shared" si="44"/>
        <v>11.68</v>
      </c>
      <c r="K190" s="554">
        <f t="shared" si="45"/>
        <v>0</v>
      </c>
      <c r="L190" s="554">
        <f t="shared" si="46"/>
        <v>0</v>
      </c>
      <c r="M190" s="554">
        <f t="shared" si="47"/>
        <v>0</v>
      </c>
      <c r="N190" s="104"/>
    </row>
    <row r="191" spans="1:14" s="73" customFormat="1">
      <c r="A191" s="147"/>
      <c r="B191" s="188" t="s">
        <v>30</v>
      </c>
      <c r="C191" s="190" t="s">
        <v>23</v>
      </c>
      <c r="D191" s="188">
        <v>11081041001</v>
      </c>
      <c r="E191" s="553" t="str">
        <f>IFERROR(VLOOKUP(D191,'ВИС-2026'!$E$17:$H$2115,2,0),"")</f>
        <v>Тройник с увеличенным боковым проходом 20-25-20 MX</v>
      </c>
      <c r="F191" s="292" t="str">
        <f>IFERROR(VLOOKUP(D191,'ВИС-2026'!$E$17:$H$2115,4,0),"")</f>
        <v>шт</v>
      </c>
      <c r="G191" s="428"/>
      <c r="H191" s="554">
        <f>IFERROR(VLOOKUP(D191,'ВИС-2026'!$E$17:$K$2649,7,0),"")</f>
        <v>11.68</v>
      </c>
      <c r="I191" s="554">
        <f t="shared" si="43"/>
        <v>0</v>
      </c>
      <c r="J191" s="554">
        <f t="shared" si="44"/>
        <v>11.68</v>
      </c>
      <c r="K191" s="554">
        <f t="shared" si="45"/>
        <v>0</v>
      </c>
      <c r="L191" s="554">
        <f t="shared" si="46"/>
        <v>0</v>
      </c>
      <c r="M191" s="554">
        <f t="shared" si="47"/>
        <v>0</v>
      </c>
      <c r="N191" s="104"/>
    </row>
    <row r="192" spans="1:14">
      <c r="A192" s="147"/>
      <c r="B192" s="188" t="s">
        <v>30</v>
      </c>
      <c r="C192" s="190" t="s">
        <v>23</v>
      </c>
      <c r="D192" s="246">
        <v>11081061001</v>
      </c>
      <c r="E192" s="553" t="str">
        <f>IFERROR(VLOOKUP(D192,'ВИС-2026'!$E$17:$H$2115,2,0),"")</f>
        <v>Тройник с увеличенным боковым проходом 25-32-25 MX</v>
      </c>
      <c r="F192" s="292" t="str">
        <f>IFERROR(VLOOKUP(D192,'ВИС-2026'!$E$17:$H$2115,4,0),"")</f>
        <v>шт</v>
      </c>
      <c r="G192" s="428"/>
      <c r="H192" s="554">
        <f>IFERROR(VLOOKUP(D192,'ВИС-2026'!$E$17:$K$2649,7,0),"")</f>
        <v>23.91</v>
      </c>
      <c r="I192" s="554">
        <f t="shared" si="43"/>
        <v>0</v>
      </c>
      <c r="J192" s="554">
        <f t="shared" si="44"/>
        <v>23.91</v>
      </c>
      <c r="K192" s="554">
        <f t="shared" si="45"/>
        <v>0</v>
      </c>
      <c r="L192" s="554">
        <f t="shared" si="46"/>
        <v>0</v>
      </c>
      <c r="M192" s="554">
        <f t="shared" si="47"/>
        <v>0</v>
      </c>
      <c r="N192" s="104"/>
    </row>
    <row r="193" spans="1:14" s="73" customFormat="1">
      <c r="A193" s="147"/>
      <c r="B193" s="188"/>
      <c r="C193" s="190"/>
      <c r="D193" s="259"/>
      <c r="E193" s="243"/>
      <c r="F193" s="292" t="str">
        <f>IFERROR(VLOOKUP(D193,'ВИС-2026'!$E$17:$H$2115,5,0),"")</f>
        <v/>
      </c>
      <c r="G193" s="428"/>
      <c r="H193" s="554" t="str">
        <f>IFERROR(VLOOKUP(D193,'ВИС-2026'!$E$17:$K$2649,8,0),"")</f>
        <v/>
      </c>
      <c r="I193" s="554" t="str">
        <f t="shared" si="43"/>
        <v/>
      </c>
      <c r="J193" s="554" t="str">
        <f t="shared" si="44"/>
        <v/>
      </c>
      <c r="K193" s="554" t="str">
        <f t="shared" si="45"/>
        <v/>
      </c>
      <c r="L193" s="554" t="str">
        <f t="shared" si="46"/>
        <v/>
      </c>
      <c r="M193" s="554" t="str">
        <f t="shared" si="47"/>
        <v/>
      </c>
      <c r="N193" s="104"/>
    </row>
    <row r="194" spans="1:14" s="73" customFormat="1" ht="30.6">
      <c r="A194" s="148" t="s">
        <v>25</v>
      </c>
      <c r="B194" s="208" t="s">
        <v>26</v>
      </c>
      <c r="C194" s="190" t="s">
        <v>23</v>
      </c>
      <c r="D194" s="188">
        <v>11601031001</v>
      </c>
      <c r="E194" s="553" t="str">
        <f>IFERROR(VLOOKUP(D194,'ВИС-2026'!$E$17:$H$2115,2,0),"")</f>
        <v>Тройник с увеличенным боковым проходом 20-25-16 PX</v>
      </c>
      <c r="F194" s="292" t="str">
        <f>IFERROR(VLOOKUP(D194,'ВИС-2026'!$E$17:$H$2115,4,0),"")</f>
        <v>шт</v>
      </c>
      <c r="G194" s="428"/>
      <c r="H194" s="554">
        <f>IFERROR(VLOOKUP(D194,'ВИС-2026'!$E$17:$K$2649,7,0),"")</f>
        <v>8.75</v>
      </c>
      <c r="I194" s="554">
        <f t="shared" si="43"/>
        <v>0</v>
      </c>
      <c r="J194" s="554">
        <f t="shared" si="44"/>
        <v>8.75</v>
      </c>
      <c r="K194" s="554">
        <f t="shared" si="45"/>
        <v>0</v>
      </c>
      <c r="L194" s="554">
        <f t="shared" si="46"/>
        <v>0</v>
      </c>
      <c r="M194" s="554">
        <f t="shared" si="47"/>
        <v>0</v>
      </c>
      <c r="N194" s="104"/>
    </row>
    <row r="195" spans="1:14" s="73" customFormat="1" ht="30.6">
      <c r="A195" s="148" t="s">
        <v>25</v>
      </c>
      <c r="B195" s="208" t="s">
        <v>26</v>
      </c>
      <c r="C195" s="190" t="s">
        <v>23</v>
      </c>
      <c r="D195" s="188">
        <v>11601041001</v>
      </c>
      <c r="E195" s="553" t="str">
        <f>IFERROR(VLOOKUP(D195,'ВИС-2026'!$E$17:$H$2115,2,0),"")</f>
        <v>Тройник с увеличенным боковым проходом 20-25-20 PX</v>
      </c>
      <c r="F195" s="292" t="str">
        <f>IFERROR(VLOOKUP(D195,'ВИС-2026'!$E$17:$H$2115,4,0),"")</f>
        <v>шт</v>
      </c>
      <c r="G195" s="428"/>
      <c r="H195" s="554">
        <f>IFERROR(VLOOKUP(D195,'ВИС-2026'!$E$17:$K$2649,7,0),"")</f>
        <v>4.53</v>
      </c>
      <c r="I195" s="554">
        <f t="shared" ref="I195" si="48">IFERROR(H195*G195,"")</f>
        <v>0</v>
      </c>
      <c r="J195" s="554">
        <f t="shared" ref="J195" si="49">IFERROR((IF(H195="","",H195-H195*$D$7)),"")</f>
        <v>4.53</v>
      </c>
      <c r="K195" s="554">
        <f t="shared" ref="K195" si="50">IFERROR(J195*G195, "")</f>
        <v>0</v>
      </c>
      <c r="L195" s="554">
        <f t="shared" ref="L195" si="51">IFERROR(J195*$D$8, "")</f>
        <v>0</v>
      </c>
      <c r="M195" s="554">
        <f t="shared" ref="M195" si="52">IFERROR(L195*G195, "")</f>
        <v>0</v>
      </c>
      <c r="N195" s="104"/>
    </row>
    <row r="196" spans="1:14" s="73" customFormat="1">
      <c r="A196" s="147"/>
      <c r="B196" s="260"/>
      <c r="C196" s="215"/>
      <c r="D196" s="217"/>
      <c r="E196" s="218"/>
      <c r="F196" s="292" t="str">
        <f>IFERROR(VLOOKUP(D196,'ВИС-2026'!$E$17:$H$2115,5,0),"")</f>
        <v/>
      </c>
      <c r="G196" s="428"/>
      <c r="H196" s="554" t="str">
        <f>IFERROR(VLOOKUP(D196,'ВИС-2026'!$E$17:$K$2649,8,0),"")</f>
        <v/>
      </c>
      <c r="I196" s="554" t="str">
        <f t="shared" ref="I196:I258" si="53">IFERROR(H196*G196,"")</f>
        <v/>
      </c>
      <c r="J196" s="554" t="str">
        <f t="shared" ref="J196:J258" si="54">IFERROR((IF(H196="","",H196-H196*$D$7)),"")</f>
        <v/>
      </c>
      <c r="K196" s="554" t="str">
        <f t="shared" ref="K196:K258" si="55">IFERROR(J196*G196, "")</f>
        <v/>
      </c>
      <c r="L196" s="554" t="str">
        <f t="shared" ref="L196:L258" si="56">IFERROR(J196*$D$8, "")</f>
        <v/>
      </c>
      <c r="M196" s="554" t="str">
        <f t="shared" ref="M196:M258" si="57">IFERROR(L196*G196, "")</f>
        <v/>
      </c>
      <c r="N196" s="104"/>
    </row>
    <row r="197" spans="1:14" s="73" customFormat="1">
      <c r="A197" s="147"/>
      <c r="B197" s="188" t="s">
        <v>30</v>
      </c>
      <c r="C197" s="190" t="s">
        <v>23</v>
      </c>
      <c r="D197" s="242">
        <v>14562913001</v>
      </c>
      <c r="E197" s="553" t="str">
        <f>IFERROR(VLOOKUP(D197,'ВИС-2026'!$E$17:$H$2115,2,0),"")</f>
        <v>Тройник РЕХАУ настенный с внутренней резьбой 16-Rp1/2-16 RX+</v>
      </c>
      <c r="F197" s="292" t="str">
        <f>IFERROR(VLOOKUP(D197,'ВИС-2026'!$E$17:$H$2115,4,0),"")</f>
        <v>шт</v>
      </c>
      <c r="G197" s="428"/>
      <c r="H197" s="554">
        <f>IFERROR(VLOOKUP(D197,'ВИС-2026'!$E$17:$K$2649,7,0),"")</f>
        <v>21.42</v>
      </c>
      <c r="I197" s="554">
        <f t="shared" si="53"/>
        <v>0</v>
      </c>
      <c r="J197" s="554">
        <f t="shared" si="54"/>
        <v>21.42</v>
      </c>
      <c r="K197" s="554">
        <f t="shared" si="55"/>
        <v>0</v>
      </c>
      <c r="L197" s="554">
        <f t="shared" si="56"/>
        <v>0</v>
      </c>
      <c r="M197" s="554">
        <f t="shared" si="57"/>
        <v>0</v>
      </c>
      <c r="N197" s="104"/>
    </row>
    <row r="198" spans="1:14" s="73" customFormat="1">
      <c r="A198" s="147"/>
      <c r="B198" s="188" t="s">
        <v>30</v>
      </c>
      <c r="C198" s="190" t="s">
        <v>23</v>
      </c>
      <c r="D198" s="242">
        <v>14562943001</v>
      </c>
      <c r="E198" s="553" t="str">
        <f>IFERROR(VLOOKUP(D198,'ВИС-2026'!$E$17:$H$2115,2,0),"")</f>
        <v>Тройник РЕХАУ настенный с внутренней резьбой 20-Rp1/2-20 RX+</v>
      </c>
      <c r="F198" s="292" t="str">
        <f>IFERROR(VLOOKUP(D198,'ВИС-2026'!$E$17:$H$2115,4,0),"")</f>
        <v>шт</v>
      </c>
      <c r="G198" s="428"/>
      <c r="H198" s="554">
        <f>IFERROR(VLOOKUP(D198,'ВИС-2026'!$E$17:$K$2649,7,0),"")</f>
        <v>22.25</v>
      </c>
      <c r="I198" s="554">
        <f t="shared" si="53"/>
        <v>0</v>
      </c>
      <c r="J198" s="554">
        <f t="shared" si="54"/>
        <v>22.25</v>
      </c>
      <c r="K198" s="554">
        <f t="shared" si="55"/>
        <v>0</v>
      </c>
      <c r="L198" s="554">
        <f t="shared" si="56"/>
        <v>0</v>
      </c>
      <c r="M198" s="554">
        <f t="shared" si="57"/>
        <v>0</v>
      </c>
      <c r="N198" s="104"/>
    </row>
    <row r="199" spans="1:14" s="73" customFormat="1">
      <c r="A199" s="147"/>
      <c r="B199" s="188"/>
      <c r="C199" s="215"/>
      <c r="D199" s="217"/>
      <c r="E199" s="218"/>
      <c r="F199" s="292" t="str">
        <f>IFERROR(VLOOKUP(D199,'ВИС-2026'!$E$17:$H$2115,5,0),"")</f>
        <v/>
      </c>
      <c r="G199" s="428"/>
      <c r="H199" s="554" t="str">
        <f>IFERROR(VLOOKUP(D199,'ВИС-2026'!$E$17:$K$2649,8,0),"")</f>
        <v/>
      </c>
      <c r="I199" s="554" t="str">
        <f t="shared" si="53"/>
        <v/>
      </c>
      <c r="J199" s="554" t="str">
        <f t="shared" si="54"/>
        <v/>
      </c>
      <c r="K199" s="554" t="str">
        <f t="shared" si="55"/>
        <v/>
      </c>
      <c r="L199" s="554" t="str">
        <f t="shared" si="56"/>
        <v/>
      </c>
      <c r="M199" s="554" t="str">
        <f t="shared" si="57"/>
        <v/>
      </c>
      <c r="N199" s="104"/>
    </row>
    <row r="200" spans="1:14" s="73" customFormat="1">
      <c r="A200" s="147"/>
      <c r="B200" s="188" t="s">
        <v>30</v>
      </c>
      <c r="C200" s="190" t="s">
        <v>23</v>
      </c>
      <c r="D200" s="188">
        <v>11092911001</v>
      </c>
      <c r="E200" s="553" t="str">
        <f>IFERROR(VLOOKUP(D200,'ВИС-2026'!$E$17:$H$2115,2,0),"")</f>
        <v>Тройник настенный с внутренней резьбой 16-Rp1/2-16 MX</v>
      </c>
      <c r="F200" s="292" t="str">
        <f>IFERROR(VLOOKUP(D200,'ВИС-2026'!$E$17:$H$2115,4,0),"")</f>
        <v>шт</v>
      </c>
      <c r="G200" s="428"/>
      <c r="H200" s="554">
        <f>IFERROR(VLOOKUP(D200,'ВИС-2026'!$E$17:$K$2649,7,0),"")</f>
        <v>18.43</v>
      </c>
      <c r="I200" s="554">
        <f t="shared" si="53"/>
        <v>0</v>
      </c>
      <c r="J200" s="554">
        <f t="shared" si="54"/>
        <v>18.43</v>
      </c>
      <c r="K200" s="554">
        <f t="shared" si="55"/>
        <v>0</v>
      </c>
      <c r="L200" s="554">
        <f t="shared" si="56"/>
        <v>0</v>
      </c>
      <c r="M200" s="554">
        <f t="shared" si="57"/>
        <v>0</v>
      </c>
      <c r="N200" s="104"/>
    </row>
    <row r="201" spans="1:14">
      <c r="A201" s="147"/>
      <c r="B201" s="188" t="s">
        <v>30</v>
      </c>
      <c r="C201" s="190" t="s">
        <v>23</v>
      </c>
      <c r="D201" s="188">
        <v>11092941001</v>
      </c>
      <c r="E201" s="553" t="str">
        <f>IFERROR(VLOOKUP(D201,'ВИС-2026'!$E$17:$H$2115,2,0),"")</f>
        <v>Тройник настенный с внутренней резьбой 20-Rp1/2-20 MX</v>
      </c>
      <c r="F201" s="292" t="str">
        <f>IFERROR(VLOOKUP(D201,'ВИС-2026'!$E$17:$H$2115,4,0),"")</f>
        <v>шт</v>
      </c>
      <c r="G201" s="428"/>
      <c r="H201" s="554">
        <f>IFERROR(VLOOKUP(D201,'ВИС-2026'!$E$17:$K$2649,7,0),"")</f>
        <v>19.45</v>
      </c>
      <c r="I201" s="554">
        <f t="shared" si="53"/>
        <v>0</v>
      </c>
      <c r="J201" s="554">
        <f t="shared" si="54"/>
        <v>19.45</v>
      </c>
      <c r="K201" s="554">
        <f t="shared" si="55"/>
        <v>0</v>
      </c>
      <c r="L201" s="554">
        <f t="shared" si="56"/>
        <v>0</v>
      </c>
      <c r="M201" s="554">
        <f t="shared" si="57"/>
        <v>0</v>
      </c>
      <c r="N201" s="104"/>
    </row>
    <row r="202" spans="1:14" s="73" customFormat="1">
      <c r="A202" s="147"/>
      <c r="B202" s="188"/>
      <c r="C202" s="215"/>
      <c r="D202" s="217"/>
      <c r="E202" s="218"/>
      <c r="F202" s="292" t="str">
        <f>IFERROR(VLOOKUP(D202,'ВИС-2026'!$E$17:$H$2115,5,0),"")</f>
        <v/>
      </c>
      <c r="G202" s="428"/>
      <c r="H202" s="554" t="str">
        <f>IFERROR(VLOOKUP(D202,'ВИС-2026'!$E$17:$K$2649,8,0),"")</f>
        <v/>
      </c>
      <c r="I202" s="554" t="str">
        <f t="shared" si="53"/>
        <v/>
      </c>
      <c r="J202" s="554" t="str">
        <f t="shared" si="54"/>
        <v/>
      </c>
      <c r="K202" s="554" t="str">
        <f t="shared" si="55"/>
        <v/>
      </c>
      <c r="L202" s="554" t="str">
        <f t="shared" si="56"/>
        <v/>
      </c>
      <c r="M202" s="554" t="str">
        <f t="shared" si="57"/>
        <v/>
      </c>
      <c r="N202" s="104"/>
    </row>
    <row r="203" spans="1:14" s="73" customFormat="1">
      <c r="A203" s="147"/>
      <c r="B203" s="188" t="s">
        <v>30</v>
      </c>
      <c r="C203" s="190" t="s">
        <v>23</v>
      </c>
      <c r="D203" s="242">
        <v>14564143001</v>
      </c>
      <c r="E203" s="553" t="str">
        <f>IFERROR(VLOOKUP(D203,'ВИС-2026'!$E$17:$H$2115,2,0),"")</f>
        <v>Тройник РЕХАУ с внутр. резьбой на боков. проходе 25-Rp 1/2-25 RX+</v>
      </c>
      <c r="F203" s="292" t="str">
        <f>IFERROR(VLOOKUP(D203,'ВИС-2026'!$E$17:$H$2115,4,0),"")</f>
        <v>шт</v>
      </c>
      <c r="G203" s="428"/>
      <c r="H203" s="554">
        <f>IFERROR(VLOOKUP(D203,'ВИС-2026'!$E$17:$K$2649,7,0),"")</f>
        <v>26.73</v>
      </c>
      <c r="I203" s="554">
        <f t="shared" si="53"/>
        <v>0</v>
      </c>
      <c r="J203" s="554">
        <f t="shared" si="54"/>
        <v>26.73</v>
      </c>
      <c r="K203" s="554">
        <f t="shared" si="55"/>
        <v>0</v>
      </c>
      <c r="L203" s="554">
        <f t="shared" si="56"/>
        <v>0</v>
      </c>
      <c r="M203" s="554">
        <f t="shared" si="57"/>
        <v>0</v>
      </c>
      <c r="N203" s="104"/>
    </row>
    <row r="204" spans="1:14" s="73" customFormat="1">
      <c r="A204" s="147"/>
      <c r="B204" s="188" t="s">
        <v>30</v>
      </c>
      <c r="C204" s="190" t="s">
        <v>23</v>
      </c>
      <c r="D204" s="242">
        <v>14562963001</v>
      </c>
      <c r="E204" s="553" t="str">
        <f>IFERROR(VLOOKUP(D204,'ВИС-2026'!$E$17:$H$2115,2,0),"")</f>
        <v>Тройник РЕХАУ с внутр. резьбой на боков. проходе 25-Rp 3/4-25 RX+</v>
      </c>
      <c r="F204" s="292" t="str">
        <f>IFERROR(VLOOKUP(D204,'ВИС-2026'!$E$17:$H$2115,4,0),"")</f>
        <v>шт</v>
      </c>
      <c r="G204" s="428"/>
      <c r="H204" s="554">
        <f>IFERROR(VLOOKUP(D204,'ВИС-2026'!$E$17:$K$2649,7,0),"")</f>
        <v>26.73</v>
      </c>
      <c r="I204" s="554">
        <f t="shared" si="53"/>
        <v>0</v>
      </c>
      <c r="J204" s="554">
        <f t="shared" si="54"/>
        <v>26.73</v>
      </c>
      <c r="K204" s="554">
        <f t="shared" si="55"/>
        <v>0</v>
      </c>
      <c r="L204" s="554">
        <f t="shared" si="56"/>
        <v>0</v>
      </c>
      <c r="M204" s="554">
        <f t="shared" si="57"/>
        <v>0</v>
      </c>
      <c r="N204" s="104"/>
    </row>
    <row r="205" spans="1:14" s="73" customFormat="1">
      <c r="A205" s="147"/>
      <c r="B205" s="188" t="s">
        <v>30</v>
      </c>
      <c r="C205" s="190" t="s">
        <v>23</v>
      </c>
      <c r="D205" s="242">
        <v>14562973001</v>
      </c>
      <c r="E205" s="553" t="str">
        <f>IFERROR(VLOOKUP(D205,'ВИС-2026'!$E$17:$H$2115,2,0),"")</f>
        <v>Тройник РЕХАУ с внутр. резьбой на боков. проходе 32-Rp 3/4-32 RX+</v>
      </c>
      <c r="F205" s="292" t="str">
        <f>IFERROR(VLOOKUP(D205,'ВИС-2026'!$E$17:$H$2115,4,0),"")</f>
        <v>шт</v>
      </c>
      <c r="G205" s="428"/>
      <c r="H205" s="554">
        <f>IFERROR(VLOOKUP(D205,'ВИС-2026'!$E$17:$K$2649,7,0),"")</f>
        <v>58.36</v>
      </c>
      <c r="I205" s="554">
        <f t="shared" si="53"/>
        <v>0</v>
      </c>
      <c r="J205" s="554">
        <f t="shared" si="54"/>
        <v>58.36</v>
      </c>
      <c r="K205" s="554">
        <f t="shared" si="55"/>
        <v>0</v>
      </c>
      <c r="L205" s="554">
        <f t="shared" si="56"/>
        <v>0</v>
      </c>
      <c r="M205" s="554">
        <f t="shared" si="57"/>
        <v>0</v>
      </c>
      <c r="N205" s="104"/>
    </row>
    <row r="206" spans="1:14" s="73" customFormat="1">
      <c r="A206" s="147"/>
      <c r="B206" s="188" t="s">
        <v>30</v>
      </c>
      <c r="C206" s="190" t="s">
        <v>23</v>
      </c>
      <c r="D206" s="242">
        <v>14563003001</v>
      </c>
      <c r="E206" s="553" t="str">
        <f>IFERROR(VLOOKUP(D206,'ВИС-2026'!$E$17:$H$2115,2,0),"")</f>
        <v>Тройник РЕХАУ с внутр. резьбой на боков. проходе 40-Rp 1-40 RX+</v>
      </c>
      <c r="F206" s="292" t="str">
        <f>IFERROR(VLOOKUP(D206,'ВИС-2026'!$E$17:$H$2115,4,0),"")</f>
        <v>шт</v>
      </c>
      <c r="G206" s="428"/>
      <c r="H206" s="554">
        <f>IFERROR(VLOOKUP(D206,'ВИС-2026'!$E$17:$K$2649,7,0),"")</f>
        <v>76.47</v>
      </c>
      <c r="I206" s="554">
        <f t="shared" si="53"/>
        <v>0</v>
      </c>
      <c r="J206" s="554">
        <f t="shared" si="54"/>
        <v>76.47</v>
      </c>
      <c r="K206" s="554">
        <f t="shared" si="55"/>
        <v>0</v>
      </c>
      <c r="L206" s="554">
        <f t="shared" si="56"/>
        <v>0</v>
      </c>
      <c r="M206" s="554">
        <f t="shared" si="57"/>
        <v>0</v>
      </c>
      <c r="N206" s="104"/>
    </row>
    <row r="207" spans="1:14" s="73" customFormat="1">
      <c r="A207" s="147"/>
      <c r="B207" s="240"/>
      <c r="C207" s="238"/>
      <c r="D207" s="188"/>
      <c r="E207" s="210"/>
      <c r="F207" s="292" t="str">
        <f>IFERROR(VLOOKUP(D207,'ВИС-2026'!$E$17:$H$2115,5,0),"")</f>
        <v/>
      </c>
      <c r="G207" s="428"/>
      <c r="H207" s="554" t="str">
        <f>IFERROR(VLOOKUP(D207,'ВИС-2026'!$E$17:$K$2649,8,0),"")</f>
        <v/>
      </c>
      <c r="I207" s="554" t="str">
        <f t="shared" si="53"/>
        <v/>
      </c>
      <c r="J207" s="554" t="str">
        <f t="shared" si="54"/>
        <v/>
      </c>
      <c r="K207" s="554" t="str">
        <f t="shared" si="55"/>
        <v/>
      </c>
      <c r="L207" s="554" t="str">
        <f t="shared" si="56"/>
        <v/>
      </c>
      <c r="M207" s="554" t="str">
        <f t="shared" si="57"/>
        <v/>
      </c>
      <c r="N207" s="104"/>
    </row>
    <row r="208" spans="1:14" s="73" customFormat="1">
      <c r="A208" s="147"/>
      <c r="B208" s="188" t="s">
        <v>30</v>
      </c>
      <c r="C208" s="190" t="s">
        <v>23</v>
      </c>
      <c r="D208" s="256">
        <v>11092961001</v>
      </c>
      <c r="E208" s="553" t="str">
        <f>IFERROR(VLOOKUP(D208,'ВИС-2026'!$E$17:$H$2115,2,0),"")</f>
        <v>Тройник с внутр. резьбой на боков. проходе 25-Rp 3/4-25 MX</v>
      </c>
      <c r="F208" s="292" t="str">
        <f>IFERROR(VLOOKUP(D208,'ВИС-2026'!$E$17:$H$2115,4,0),"")</f>
        <v>шт</v>
      </c>
      <c r="G208" s="428"/>
      <c r="H208" s="554">
        <f>IFERROR(VLOOKUP(D208,'ВИС-2026'!$E$17:$K$2649,7,0),"")</f>
        <v>20.69</v>
      </c>
      <c r="I208" s="554">
        <f t="shared" si="53"/>
        <v>0</v>
      </c>
      <c r="J208" s="554">
        <f t="shared" si="54"/>
        <v>20.69</v>
      </c>
      <c r="K208" s="554">
        <f t="shared" si="55"/>
        <v>0</v>
      </c>
      <c r="L208" s="554">
        <f t="shared" si="56"/>
        <v>0</v>
      </c>
      <c r="M208" s="554">
        <f t="shared" si="57"/>
        <v>0</v>
      </c>
      <c r="N208" s="104"/>
    </row>
    <row r="209" spans="1:14" s="73" customFormat="1">
      <c r="A209" s="147"/>
      <c r="B209" s="188" t="s">
        <v>30</v>
      </c>
      <c r="C209" s="190" t="s">
        <v>23</v>
      </c>
      <c r="D209" s="256">
        <v>11092971001</v>
      </c>
      <c r="E209" s="553" t="str">
        <f>IFERROR(VLOOKUP(D209,'ВИС-2026'!$E$17:$H$2115,2,0),"")</f>
        <v>Тройник с внутр. резьбой на боков. проходе 32-Rp 3/4-32 MX</v>
      </c>
      <c r="F209" s="292" t="str">
        <f>IFERROR(VLOOKUP(D209,'ВИС-2026'!$E$17:$H$2115,4,0),"")</f>
        <v>шт</v>
      </c>
      <c r="G209" s="428"/>
      <c r="H209" s="554">
        <f>IFERROR(VLOOKUP(D209,'ВИС-2026'!$E$17:$K$2649,7,0),"")</f>
        <v>43.51</v>
      </c>
      <c r="I209" s="554">
        <f t="shared" si="53"/>
        <v>0</v>
      </c>
      <c r="J209" s="554">
        <f t="shared" si="54"/>
        <v>43.51</v>
      </c>
      <c r="K209" s="554">
        <f t="shared" si="55"/>
        <v>0</v>
      </c>
      <c r="L209" s="554">
        <f t="shared" si="56"/>
        <v>0</v>
      </c>
      <c r="M209" s="554">
        <f t="shared" si="57"/>
        <v>0</v>
      </c>
      <c r="N209" s="104"/>
    </row>
    <row r="210" spans="1:14" s="74" customFormat="1">
      <c r="A210" s="147"/>
      <c r="B210" s="188" t="s">
        <v>30</v>
      </c>
      <c r="C210" s="190" t="s">
        <v>23</v>
      </c>
      <c r="D210" s="256">
        <v>11093001001</v>
      </c>
      <c r="E210" s="553" t="str">
        <f>IFERROR(VLOOKUP(D210,'ВИС-2026'!$E$17:$H$2115,2,0),"")</f>
        <v>Тройник с внутр. резьбой на боков. проходе 40-Rp 1-40 MX</v>
      </c>
      <c r="F210" s="292" t="str">
        <f>IFERROR(VLOOKUP(D210,'ВИС-2026'!$E$17:$H$2115,4,0),"")</f>
        <v>шт</v>
      </c>
      <c r="G210" s="428"/>
      <c r="H210" s="554">
        <f>IFERROR(VLOOKUP(D210,'ВИС-2026'!$E$17:$K$2649,7,0),"")</f>
        <v>60.27</v>
      </c>
      <c r="I210" s="554">
        <f t="shared" si="53"/>
        <v>0</v>
      </c>
      <c r="J210" s="554">
        <f t="shared" si="54"/>
        <v>60.27</v>
      </c>
      <c r="K210" s="554">
        <f t="shared" si="55"/>
        <v>0</v>
      </c>
      <c r="L210" s="554">
        <f t="shared" si="56"/>
        <v>0</v>
      </c>
      <c r="M210" s="554">
        <f t="shared" si="57"/>
        <v>0</v>
      </c>
      <c r="N210" s="104"/>
    </row>
    <row r="211" spans="1:14" s="73" customFormat="1">
      <c r="A211" s="147"/>
      <c r="B211" s="240"/>
      <c r="C211" s="238"/>
      <c r="D211" s="188"/>
      <c r="E211" s="210"/>
      <c r="F211" s="292" t="str">
        <f>IFERROR(VLOOKUP(D211,'ВИС-2026'!$E$17:$H$2115,5,0),"")</f>
        <v/>
      </c>
      <c r="G211" s="428"/>
      <c r="H211" s="554" t="str">
        <f>IFERROR(VLOOKUP(D211,'ВИС-2026'!$E$17:$K$2649,8,0),"")</f>
        <v/>
      </c>
      <c r="I211" s="554" t="str">
        <f t="shared" si="53"/>
        <v/>
      </c>
      <c r="J211" s="554" t="str">
        <f t="shared" si="54"/>
        <v/>
      </c>
      <c r="K211" s="554" t="str">
        <f t="shared" si="55"/>
        <v/>
      </c>
      <c r="L211" s="554" t="str">
        <f t="shared" si="56"/>
        <v/>
      </c>
      <c r="M211" s="554" t="str">
        <f t="shared" si="57"/>
        <v/>
      </c>
      <c r="N211" s="104"/>
    </row>
    <row r="212" spans="1:14" s="73" customFormat="1" ht="30.6">
      <c r="A212" s="148" t="s">
        <v>25</v>
      </c>
      <c r="B212" s="208" t="s">
        <v>26</v>
      </c>
      <c r="C212" s="238" t="s">
        <v>23</v>
      </c>
      <c r="D212" s="188">
        <v>14562971001</v>
      </c>
      <c r="E212" s="553" t="str">
        <f>IFERROR(VLOOKUP(D212,'ВИС-2026'!$E$17:$H$2115,2,0),"")</f>
        <v>Тройник с внутр. резьбой на боков. проходе 32-Rp 3/4-32 RX+</v>
      </c>
      <c r="F212" s="292" t="str">
        <f>IFERROR(VLOOKUP(D212,'ВИС-2026'!$E$17:$H$2115,4,0),"")</f>
        <v>шт</v>
      </c>
      <c r="G212" s="428"/>
      <c r="H212" s="554">
        <f>IFERROR(VLOOKUP(D212,'ВИС-2026'!$E$17:$K$2649,7,0),"")</f>
        <v>26.13</v>
      </c>
      <c r="I212" s="554">
        <f t="shared" si="53"/>
        <v>0</v>
      </c>
      <c r="J212" s="554">
        <f t="shared" si="54"/>
        <v>26.13</v>
      </c>
      <c r="K212" s="554">
        <f t="shared" si="55"/>
        <v>0</v>
      </c>
      <c r="L212" s="554">
        <f t="shared" si="56"/>
        <v>0</v>
      </c>
      <c r="M212" s="554">
        <f t="shared" si="57"/>
        <v>0</v>
      </c>
      <c r="N212" s="104"/>
    </row>
    <row r="213" spans="1:14" s="73" customFormat="1">
      <c r="A213" s="147"/>
      <c r="B213" s="240"/>
      <c r="C213" s="247"/>
      <c r="D213" s="188"/>
      <c r="E213" s="210"/>
      <c r="F213" s="292" t="str">
        <f>IFERROR(VLOOKUP(D213,'ВИС-2026'!$E$17:$H$2115,5,0),"")</f>
        <v/>
      </c>
      <c r="G213" s="428"/>
      <c r="H213" s="554" t="str">
        <f>IFERROR(VLOOKUP(D213,'ВИС-2026'!$E$17:$K$2649,8,0),"")</f>
        <v/>
      </c>
      <c r="I213" s="554" t="str">
        <f t="shared" si="53"/>
        <v/>
      </c>
      <c r="J213" s="554" t="str">
        <f t="shared" si="54"/>
        <v/>
      </c>
      <c r="K213" s="554" t="str">
        <f t="shared" si="55"/>
        <v/>
      </c>
      <c r="L213" s="554" t="str">
        <f t="shared" si="56"/>
        <v/>
      </c>
      <c r="M213" s="554" t="str">
        <f t="shared" si="57"/>
        <v/>
      </c>
      <c r="N213" s="104"/>
    </row>
    <row r="214" spans="1:14">
      <c r="A214" s="147"/>
      <c r="B214" s="188" t="s">
        <v>30</v>
      </c>
      <c r="C214" s="190" t="s">
        <v>23</v>
      </c>
      <c r="D214" s="242">
        <v>14570113001</v>
      </c>
      <c r="E214" s="553" t="str">
        <f>IFERROR(VLOOKUP(D214,'ВИС-2026'!$E$17:$H$2115,2,0),"")</f>
        <v>Муфта РЕХАУ соединительная равнопроходная 16 RX+</v>
      </c>
      <c r="F214" s="292" t="str">
        <f>IFERROR(VLOOKUP(D214,'ВИС-2026'!$E$17:$H$2115,4,0),"")</f>
        <v>шт</v>
      </c>
      <c r="G214" s="428"/>
      <c r="H214" s="554">
        <f>IFERROR(VLOOKUP(D214,'ВИС-2026'!$E$17:$K$2649,7,0),"")</f>
        <v>4.9400000000000004</v>
      </c>
      <c r="I214" s="554">
        <f t="shared" si="53"/>
        <v>0</v>
      </c>
      <c r="J214" s="554">
        <f t="shared" si="54"/>
        <v>4.9400000000000004</v>
      </c>
      <c r="K214" s="554">
        <f t="shared" si="55"/>
        <v>0</v>
      </c>
      <c r="L214" s="554">
        <f t="shared" si="56"/>
        <v>0</v>
      </c>
      <c r="M214" s="554">
        <f t="shared" si="57"/>
        <v>0</v>
      </c>
      <c r="N214" s="104"/>
    </row>
    <row r="215" spans="1:14" s="73" customFormat="1">
      <c r="A215" s="147"/>
      <c r="B215" s="188" t="s">
        <v>30</v>
      </c>
      <c r="C215" s="190" t="s">
        <v>23</v>
      </c>
      <c r="D215" s="242">
        <v>14570123001</v>
      </c>
      <c r="E215" s="553" t="str">
        <f>IFERROR(VLOOKUP(D215,'ВИС-2026'!$E$17:$H$2115,2,0),"")</f>
        <v>Муфта РЕХАУ соединительная равнопроходная 20 RX+</v>
      </c>
      <c r="F215" s="292" t="str">
        <f>IFERROR(VLOOKUP(D215,'ВИС-2026'!$E$17:$H$2115,4,0),"")</f>
        <v>шт</v>
      </c>
      <c r="G215" s="428"/>
      <c r="H215" s="554">
        <f>IFERROR(VLOOKUP(D215,'ВИС-2026'!$E$17:$K$2649,7,0),"")</f>
        <v>7.32</v>
      </c>
      <c r="I215" s="554">
        <f t="shared" si="53"/>
        <v>0</v>
      </c>
      <c r="J215" s="554">
        <f t="shared" si="54"/>
        <v>7.32</v>
      </c>
      <c r="K215" s="554">
        <f t="shared" si="55"/>
        <v>0</v>
      </c>
      <c r="L215" s="554">
        <f t="shared" si="56"/>
        <v>0</v>
      </c>
      <c r="M215" s="554">
        <f t="shared" si="57"/>
        <v>0</v>
      </c>
      <c r="N215" s="104"/>
    </row>
    <row r="216" spans="1:14" s="73" customFormat="1">
      <c r="A216" s="147"/>
      <c r="B216" s="188" t="s">
        <v>30</v>
      </c>
      <c r="C216" s="190" t="s">
        <v>23</v>
      </c>
      <c r="D216" s="242">
        <v>14570133001</v>
      </c>
      <c r="E216" s="553" t="str">
        <f>IFERROR(VLOOKUP(D216,'ВИС-2026'!$E$17:$H$2115,2,0),"")</f>
        <v>Муфта РЕХАУ соединительная равнопроходная 25 RX+</v>
      </c>
      <c r="F216" s="292" t="str">
        <f>IFERROR(VLOOKUP(D216,'ВИС-2026'!$E$17:$H$2115,4,0),"")</f>
        <v>шт</v>
      </c>
      <c r="G216" s="428"/>
      <c r="H216" s="554">
        <f>IFERROR(VLOOKUP(D216,'ВИС-2026'!$E$17:$K$2649,7,0),"")</f>
        <v>12.29</v>
      </c>
      <c r="I216" s="554">
        <f t="shared" si="53"/>
        <v>0</v>
      </c>
      <c r="J216" s="554">
        <f t="shared" si="54"/>
        <v>12.29</v>
      </c>
      <c r="K216" s="554">
        <f t="shared" si="55"/>
        <v>0</v>
      </c>
      <c r="L216" s="554">
        <f t="shared" si="56"/>
        <v>0</v>
      </c>
      <c r="M216" s="554">
        <f t="shared" si="57"/>
        <v>0</v>
      </c>
      <c r="N216" s="104"/>
    </row>
    <row r="217" spans="1:14">
      <c r="A217" s="147"/>
      <c r="B217" s="188" t="s">
        <v>30</v>
      </c>
      <c r="C217" s="190" t="s">
        <v>23</v>
      </c>
      <c r="D217" s="242">
        <v>14570143001</v>
      </c>
      <c r="E217" s="553" t="str">
        <f>IFERROR(VLOOKUP(D217,'ВИС-2026'!$E$17:$H$2115,2,0),"")</f>
        <v>Муфта РЕХАУ соединительная равнопроходная 32 RX+</v>
      </c>
      <c r="F217" s="292" t="str">
        <f>IFERROR(VLOOKUP(D217,'ВИС-2026'!$E$17:$H$2115,4,0),"")</f>
        <v>шт</v>
      </c>
      <c r="G217" s="428"/>
      <c r="H217" s="554">
        <f>IFERROR(VLOOKUP(D217,'ВИС-2026'!$E$17:$K$2649,7,0),"")</f>
        <v>21.45</v>
      </c>
      <c r="I217" s="554">
        <f t="shared" si="53"/>
        <v>0</v>
      </c>
      <c r="J217" s="554">
        <f t="shared" si="54"/>
        <v>21.45</v>
      </c>
      <c r="K217" s="554">
        <f t="shared" si="55"/>
        <v>0</v>
      </c>
      <c r="L217" s="554">
        <f t="shared" si="56"/>
        <v>0</v>
      </c>
      <c r="M217" s="554">
        <f t="shared" si="57"/>
        <v>0</v>
      </c>
      <c r="N217" s="104"/>
    </row>
    <row r="218" spans="1:14" s="73" customFormat="1">
      <c r="A218" s="150"/>
      <c r="B218" s="188" t="s">
        <v>30</v>
      </c>
      <c r="C218" s="190" t="s">
        <v>23</v>
      </c>
      <c r="D218" s="242">
        <v>14570153001</v>
      </c>
      <c r="E218" s="553" t="str">
        <f>IFERROR(VLOOKUP(D218,'ВИС-2026'!$E$17:$H$2115,2,0),"")</f>
        <v>Муфта РЕХАУ соединительная равнопроходная 40 RX+</v>
      </c>
      <c r="F218" s="292" t="str">
        <f>IFERROR(VLOOKUP(D218,'ВИС-2026'!$E$17:$H$2115,4,0),"")</f>
        <v>шт</v>
      </c>
      <c r="G218" s="428"/>
      <c r="H218" s="554">
        <f>IFERROR(VLOOKUP(D218,'ВИС-2026'!$E$17:$K$2649,7,0),"")</f>
        <v>46.54</v>
      </c>
      <c r="I218" s="554">
        <f t="shared" si="53"/>
        <v>0</v>
      </c>
      <c r="J218" s="554">
        <f t="shared" si="54"/>
        <v>46.54</v>
      </c>
      <c r="K218" s="554">
        <f t="shared" si="55"/>
        <v>0</v>
      </c>
      <c r="L218" s="554">
        <f t="shared" si="56"/>
        <v>0</v>
      </c>
      <c r="M218" s="554">
        <f t="shared" si="57"/>
        <v>0</v>
      </c>
      <c r="N218" s="104"/>
    </row>
    <row r="219" spans="1:14">
      <c r="A219" s="147"/>
      <c r="B219" s="240"/>
      <c r="C219" s="247"/>
      <c r="D219" s="188"/>
      <c r="E219" s="210"/>
      <c r="F219" s="292" t="str">
        <f>IFERROR(VLOOKUP(D219,'ВИС-2026'!$E$17:$H$2115,5,0),"")</f>
        <v/>
      </c>
      <c r="G219" s="428"/>
      <c r="H219" s="554" t="str">
        <f>IFERROR(VLOOKUP(D219,'ВИС-2026'!$E$17:$K$2649,8,0),"")</f>
        <v/>
      </c>
      <c r="I219" s="554" t="str">
        <f t="shared" si="53"/>
        <v/>
      </c>
      <c r="J219" s="554" t="str">
        <f t="shared" si="54"/>
        <v/>
      </c>
      <c r="K219" s="554" t="str">
        <f t="shared" si="55"/>
        <v/>
      </c>
      <c r="L219" s="554" t="str">
        <f t="shared" si="56"/>
        <v/>
      </c>
      <c r="M219" s="554" t="str">
        <f t="shared" si="57"/>
        <v/>
      </c>
      <c r="N219" s="104"/>
    </row>
    <row r="220" spans="1:14" s="73" customFormat="1">
      <c r="A220" s="147"/>
      <c r="B220" s="188" t="s">
        <v>30</v>
      </c>
      <c r="C220" s="190" t="s">
        <v>23</v>
      </c>
      <c r="D220" s="188">
        <v>11080111001</v>
      </c>
      <c r="E220" s="553" t="str">
        <f>IFERROR(VLOOKUP(D220,'ВИС-2026'!$E$17:$H$2115,2,0),"")</f>
        <v>Муфта соединительная равнопроходная 16 MX</v>
      </c>
      <c r="F220" s="292" t="str">
        <f>IFERROR(VLOOKUP(D220,'ВИС-2026'!$E$17:$H$2115,4,0),"")</f>
        <v>шт</v>
      </c>
      <c r="G220" s="428"/>
      <c r="H220" s="554">
        <f>IFERROR(VLOOKUP(D220,'ВИС-2026'!$E$17:$K$2649,7,0),"")</f>
        <v>3.15</v>
      </c>
      <c r="I220" s="554">
        <f t="shared" si="53"/>
        <v>0</v>
      </c>
      <c r="J220" s="554">
        <f t="shared" si="54"/>
        <v>3.15</v>
      </c>
      <c r="K220" s="554">
        <f t="shared" si="55"/>
        <v>0</v>
      </c>
      <c r="L220" s="554">
        <f t="shared" si="56"/>
        <v>0</v>
      </c>
      <c r="M220" s="554">
        <f t="shared" si="57"/>
        <v>0</v>
      </c>
      <c r="N220" s="104"/>
    </row>
    <row r="221" spans="1:14" s="73" customFormat="1">
      <c r="A221" s="147"/>
      <c r="B221" s="188" t="s">
        <v>30</v>
      </c>
      <c r="C221" s="190" t="s">
        <v>23</v>
      </c>
      <c r="D221" s="188">
        <v>11080121001</v>
      </c>
      <c r="E221" s="553" t="str">
        <f>IFERROR(VLOOKUP(D221,'ВИС-2026'!$E$17:$H$2115,2,0),"")</f>
        <v>Муфта соединительная равнопроходная 20 MX</v>
      </c>
      <c r="F221" s="292" t="str">
        <f>IFERROR(VLOOKUP(D221,'ВИС-2026'!$E$17:$H$2115,4,0),"")</f>
        <v>шт</v>
      </c>
      <c r="G221" s="428"/>
      <c r="H221" s="554">
        <f>IFERROR(VLOOKUP(D221,'ВИС-2026'!$E$17:$K$2649,7,0),"")</f>
        <v>4.66</v>
      </c>
      <c r="I221" s="554">
        <f t="shared" si="53"/>
        <v>0</v>
      </c>
      <c r="J221" s="554">
        <f t="shared" si="54"/>
        <v>4.66</v>
      </c>
      <c r="K221" s="554">
        <f t="shared" si="55"/>
        <v>0</v>
      </c>
      <c r="L221" s="554">
        <f t="shared" si="56"/>
        <v>0</v>
      </c>
      <c r="M221" s="554">
        <f t="shared" si="57"/>
        <v>0</v>
      </c>
      <c r="N221" s="104"/>
    </row>
    <row r="222" spans="1:14">
      <c r="A222" s="147"/>
      <c r="B222" s="188" t="s">
        <v>30</v>
      </c>
      <c r="C222" s="190" t="s">
        <v>23</v>
      </c>
      <c r="D222" s="188">
        <v>11080131001</v>
      </c>
      <c r="E222" s="553" t="str">
        <f>IFERROR(VLOOKUP(D222,'ВИС-2026'!$E$17:$H$2115,2,0),"")</f>
        <v>Муфта соединительная равнопроходная 25 MX</v>
      </c>
      <c r="F222" s="292" t="str">
        <f>IFERROR(VLOOKUP(D222,'ВИС-2026'!$E$17:$H$2115,4,0),"")</f>
        <v>шт</v>
      </c>
      <c r="G222" s="428"/>
      <c r="H222" s="554">
        <f>IFERROR(VLOOKUP(D222,'ВИС-2026'!$E$17:$K$2649,7,0),"")</f>
        <v>7.42</v>
      </c>
      <c r="I222" s="554">
        <f t="shared" si="53"/>
        <v>0</v>
      </c>
      <c r="J222" s="554">
        <f t="shared" si="54"/>
        <v>7.42</v>
      </c>
      <c r="K222" s="554">
        <f t="shared" si="55"/>
        <v>0</v>
      </c>
      <c r="L222" s="554">
        <f t="shared" si="56"/>
        <v>0</v>
      </c>
      <c r="M222" s="554">
        <f t="shared" si="57"/>
        <v>0</v>
      </c>
      <c r="N222" s="104"/>
    </row>
    <row r="223" spans="1:14" s="73" customFormat="1">
      <c r="A223" s="147"/>
      <c r="B223" s="188" t="s">
        <v>30</v>
      </c>
      <c r="C223" s="190" t="s">
        <v>23</v>
      </c>
      <c r="D223" s="188">
        <v>11080141001</v>
      </c>
      <c r="E223" s="553" t="str">
        <f>IFERROR(VLOOKUP(D223,'ВИС-2026'!$E$17:$H$2115,2,0),"")</f>
        <v>Муфта соединительная равнопроходная 32 MX</v>
      </c>
      <c r="F223" s="292" t="str">
        <f>IFERROR(VLOOKUP(D223,'ВИС-2026'!$E$17:$H$2115,4,0),"")</f>
        <v>шт</v>
      </c>
      <c r="G223" s="428"/>
      <c r="H223" s="554">
        <f>IFERROR(VLOOKUP(D223,'ВИС-2026'!$E$17:$K$2649,7,0),"")</f>
        <v>13.66</v>
      </c>
      <c r="I223" s="554">
        <f t="shared" si="53"/>
        <v>0</v>
      </c>
      <c r="J223" s="554">
        <f t="shared" si="54"/>
        <v>13.66</v>
      </c>
      <c r="K223" s="554">
        <f t="shared" si="55"/>
        <v>0</v>
      </c>
      <c r="L223" s="554">
        <f t="shared" si="56"/>
        <v>0</v>
      </c>
      <c r="M223" s="554">
        <f t="shared" si="57"/>
        <v>0</v>
      </c>
      <c r="N223" s="104"/>
    </row>
    <row r="224" spans="1:14" s="73" customFormat="1">
      <c r="A224" s="147"/>
      <c r="B224" s="188" t="s">
        <v>30</v>
      </c>
      <c r="C224" s="190" t="s">
        <v>23</v>
      </c>
      <c r="D224" s="188">
        <v>11080151001</v>
      </c>
      <c r="E224" s="553" t="str">
        <f>IFERROR(VLOOKUP(D224,'ВИС-2026'!$E$17:$H$2115,2,0),"")</f>
        <v>Муфта соединительная равнопроходная 40 MX</v>
      </c>
      <c r="F224" s="292" t="str">
        <f>IFERROR(VLOOKUP(D224,'ВИС-2026'!$E$17:$H$2115,4,0),"")</f>
        <v>шт</v>
      </c>
      <c r="G224" s="428"/>
      <c r="H224" s="554">
        <f>IFERROR(VLOOKUP(D224,'ВИС-2026'!$E$17:$K$2649,7,0),"")</f>
        <v>29.65</v>
      </c>
      <c r="I224" s="554">
        <f t="shared" si="53"/>
        <v>0</v>
      </c>
      <c r="J224" s="554">
        <f t="shared" si="54"/>
        <v>29.65</v>
      </c>
      <c r="K224" s="554">
        <f t="shared" si="55"/>
        <v>0</v>
      </c>
      <c r="L224" s="554">
        <f t="shared" si="56"/>
        <v>0</v>
      </c>
      <c r="M224" s="554">
        <f t="shared" si="57"/>
        <v>0</v>
      </c>
      <c r="N224" s="104"/>
    </row>
    <row r="225" spans="1:14" s="73" customFormat="1">
      <c r="A225" s="147"/>
      <c r="B225" s="188" t="s">
        <v>30</v>
      </c>
      <c r="C225" s="190" t="s">
        <v>23</v>
      </c>
      <c r="D225" s="246">
        <v>11093021001</v>
      </c>
      <c r="E225" s="553" t="str">
        <f>IFERROR(VLOOKUP(D225,'ВИС-2026'!$E$17:$H$2115,2,0),"")</f>
        <v>Муфта соединительная равнопроходная 50 MX</v>
      </c>
      <c r="F225" s="292" t="str">
        <f>IFERROR(VLOOKUP(D225,'ВИС-2026'!$E$17:$H$2115,4,0),"")</f>
        <v>шт</v>
      </c>
      <c r="G225" s="428"/>
      <c r="H225" s="554">
        <f>IFERROR(VLOOKUP(D225,'ВИС-2026'!$E$17:$K$2649,7,0),"")</f>
        <v>62.76</v>
      </c>
      <c r="I225" s="554">
        <f t="shared" si="53"/>
        <v>0</v>
      </c>
      <c r="J225" s="554">
        <f t="shared" si="54"/>
        <v>62.76</v>
      </c>
      <c r="K225" s="554">
        <f t="shared" si="55"/>
        <v>0</v>
      </c>
      <c r="L225" s="554">
        <f t="shared" si="56"/>
        <v>0</v>
      </c>
      <c r="M225" s="554">
        <f t="shared" si="57"/>
        <v>0</v>
      </c>
      <c r="N225" s="104"/>
    </row>
    <row r="226" spans="1:14" s="73" customFormat="1">
      <c r="A226" s="147"/>
      <c r="B226" s="188" t="s">
        <v>30</v>
      </c>
      <c r="C226" s="190" t="s">
        <v>23</v>
      </c>
      <c r="D226" s="246">
        <v>11093031001</v>
      </c>
      <c r="E226" s="553" t="str">
        <f>IFERROR(VLOOKUP(D226,'ВИС-2026'!$E$17:$H$2115,2,0),"")</f>
        <v>Муфта соединительная равнопроходная 63 MX</v>
      </c>
      <c r="F226" s="292" t="str">
        <f>IFERROR(VLOOKUP(D226,'ВИС-2026'!$E$17:$H$2115,4,0),"")</f>
        <v>шт</v>
      </c>
      <c r="G226" s="428"/>
      <c r="H226" s="554">
        <f>IFERROR(VLOOKUP(D226,'ВИС-2026'!$E$17:$K$2649,7,0),"")</f>
        <v>95.87</v>
      </c>
      <c r="I226" s="554">
        <f t="shared" si="53"/>
        <v>0</v>
      </c>
      <c r="J226" s="554">
        <f t="shared" si="54"/>
        <v>95.87</v>
      </c>
      <c r="K226" s="554">
        <f t="shared" si="55"/>
        <v>0</v>
      </c>
      <c r="L226" s="554">
        <f t="shared" si="56"/>
        <v>0</v>
      </c>
      <c r="M226" s="554">
        <f t="shared" si="57"/>
        <v>0</v>
      </c>
      <c r="N226" s="104"/>
    </row>
    <row r="227" spans="1:14" s="73" customFormat="1">
      <c r="A227" s="147"/>
      <c r="B227" s="240"/>
      <c r="C227" s="247"/>
      <c r="D227" s="188"/>
      <c r="E227" s="210"/>
      <c r="F227" s="292" t="str">
        <f>IFERROR(VLOOKUP(D227,'ВИС-2026'!$E$17:$H$2115,5,0),"")</f>
        <v/>
      </c>
      <c r="G227" s="428"/>
      <c r="H227" s="554" t="str">
        <f>IFERROR(VLOOKUP(D227,'ВИС-2026'!$E$17:$K$2649,8,0),"")</f>
        <v/>
      </c>
      <c r="I227" s="554" t="str">
        <f t="shared" si="53"/>
        <v/>
      </c>
      <c r="J227" s="554" t="str">
        <f t="shared" si="54"/>
        <v/>
      </c>
      <c r="K227" s="554" t="str">
        <f t="shared" si="55"/>
        <v/>
      </c>
      <c r="L227" s="554" t="str">
        <f t="shared" si="56"/>
        <v/>
      </c>
      <c r="M227" s="554" t="str">
        <f t="shared" si="57"/>
        <v/>
      </c>
      <c r="N227" s="104"/>
    </row>
    <row r="228" spans="1:14" s="74" customFormat="1" ht="30.6">
      <c r="A228" s="148" t="s">
        <v>25</v>
      </c>
      <c r="B228" s="208" t="s">
        <v>26</v>
      </c>
      <c r="C228" s="190" t="s">
        <v>23</v>
      </c>
      <c r="D228" s="188">
        <v>11600131001</v>
      </c>
      <c r="E228" s="553" t="str">
        <f>IFERROR(VLOOKUP(D228,'ВИС-2026'!$E$17:$H$2115,2,0),"")</f>
        <v>Муфта соединительная равнопроходная 25 PX</v>
      </c>
      <c r="F228" s="292" t="str">
        <f>IFERROR(VLOOKUP(D228,'ВИС-2026'!$E$17:$H$2115,4,0),"")</f>
        <v>шт</v>
      </c>
      <c r="G228" s="428"/>
      <c r="H228" s="554">
        <f>IFERROR(VLOOKUP(D228,'ВИС-2026'!$E$17:$K$2649,7,0),"")</f>
        <v>6.98</v>
      </c>
      <c r="I228" s="554">
        <f t="shared" si="53"/>
        <v>0</v>
      </c>
      <c r="J228" s="554">
        <f t="shared" si="54"/>
        <v>6.98</v>
      </c>
      <c r="K228" s="554">
        <f t="shared" si="55"/>
        <v>0</v>
      </c>
      <c r="L228" s="554">
        <f t="shared" si="56"/>
        <v>0</v>
      </c>
      <c r="M228" s="554">
        <f t="shared" si="57"/>
        <v>0</v>
      </c>
      <c r="N228" s="104"/>
    </row>
    <row r="229" spans="1:14" ht="30.6">
      <c r="A229" s="148" t="s">
        <v>25</v>
      </c>
      <c r="B229" s="208" t="s">
        <v>26</v>
      </c>
      <c r="C229" s="238" t="s">
        <v>23</v>
      </c>
      <c r="D229" s="188">
        <v>14563031001</v>
      </c>
      <c r="E229" s="553" t="str">
        <f>IFERROR(VLOOKUP(D229,'ВИС-2026'!$E$17:$H$2115,2,0),"")</f>
        <v>Муфта соединительная равнопроходная 63 RX +</v>
      </c>
      <c r="F229" s="292" t="str">
        <f>IFERROR(VLOOKUP(D229,'ВИС-2026'!$E$17:$H$2115,4,0),"")</f>
        <v>шт</v>
      </c>
      <c r="G229" s="428"/>
      <c r="H229" s="554">
        <f>IFERROR(VLOOKUP(D229,'ВИС-2026'!$E$17:$K$2649,7,0),"")</f>
        <v>113.36</v>
      </c>
      <c r="I229" s="554">
        <f t="shared" si="53"/>
        <v>0</v>
      </c>
      <c r="J229" s="554">
        <f t="shared" si="54"/>
        <v>113.36</v>
      </c>
      <c r="K229" s="554">
        <f t="shared" si="55"/>
        <v>0</v>
      </c>
      <c r="L229" s="554">
        <f t="shared" si="56"/>
        <v>0</v>
      </c>
      <c r="M229" s="554">
        <f t="shared" si="57"/>
        <v>0</v>
      </c>
      <c r="N229" s="104"/>
    </row>
    <row r="230" spans="1:14">
      <c r="A230" s="147"/>
      <c r="B230" s="240"/>
      <c r="C230" s="247"/>
      <c r="D230" s="188"/>
      <c r="E230" s="210"/>
      <c r="F230" s="292" t="str">
        <f>IFERROR(VLOOKUP(D230,'ВИС-2026'!$E$17:$H$2115,5,0),"")</f>
        <v/>
      </c>
      <c r="G230" s="428"/>
      <c r="H230" s="554" t="str">
        <f>IFERROR(VLOOKUP(D230,'ВИС-2026'!$E$17:$K$2649,8,0),"")</f>
        <v/>
      </c>
      <c r="I230" s="554" t="str">
        <f t="shared" si="53"/>
        <v/>
      </c>
      <c r="J230" s="554" t="str">
        <f t="shared" si="54"/>
        <v/>
      </c>
      <c r="K230" s="554" t="str">
        <f t="shared" si="55"/>
        <v/>
      </c>
      <c r="L230" s="554" t="str">
        <f t="shared" si="56"/>
        <v/>
      </c>
      <c r="M230" s="554" t="str">
        <f t="shared" si="57"/>
        <v/>
      </c>
      <c r="N230" s="104"/>
    </row>
    <row r="231" spans="1:14" ht="30.6">
      <c r="A231" s="148" t="s">
        <v>25</v>
      </c>
      <c r="B231" s="208" t="s">
        <v>26</v>
      </c>
      <c r="C231" s="190" t="s">
        <v>23</v>
      </c>
      <c r="D231" s="188">
        <v>13777141001</v>
      </c>
      <c r="E231" s="553" t="str">
        <f>IFERROR(VLOOKUP(D231,'ВИС-2026'!$E$17:$H$2115,2,0),"")</f>
        <v>Муфта соединительная равнопроходная 25 PLATINUM RX</v>
      </c>
      <c r="F231" s="292" t="str">
        <f>IFERROR(VLOOKUP(D231,'ВИС-2026'!$E$17:$H$2115,4,0),"")</f>
        <v>шт</v>
      </c>
      <c r="G231" s="428"/>
      <c r="H231" s="554">
        <f>IFERROR(VLOOKUP(D231,'ВИС-2026'!$E$17:$K$2649,7,0),"")</f>
        <v>5.19</v>
      </c>
      <c r="I231" s="554">
        <f t="shared" si="53"/>
        <v>0</v>
      </c>
      <c r="J231" s="554">
        <f t="shared" si="54"/>
        <v>5.19</v>
      </c>
      <c r="K231" s="554">
        <f t="shared" si="55"/>
        <v>0</v>
      </c>
      <c r="L231" s="554">
        <f t="shared" si="56"/>
        <v>0</v>
      </c>
      <c r="M231" s="554">
        <f t="shared" si="57"/>
        <v>0</v>
      </c>
      <c r="N231" s="104"/>
    </row>
    <row r="232" spans="1:14">
      <c r="A232" s="147"/>
      <c r="B232" s="188"/>
      <c r="C232" s="215"/>
      <c r="D232" s="217"/>
      <c r="E232" s="218"/>
      <c r="F232" s="292" t="str">
        <f>IFERROR(VLOOKUP(D232,'ВИС-2026'!$E$17:$H$2115,5,0),"")</f>
        <v/>
      </c>
      <c r="G232" s="428"/>
      <c r="H232" s="554" t="str">
        <f>IFERROR(VLOOKUP(D232,'ВИС-2026'!$E$17:$K$2649,8,0),"")</f>
        <v/>
      </c>
      <c r="I232" s="554" t="str">
        <f t="shared" si="53"/>
        <v/>
      </c>
      <c r="J232" s="554" t="str">
        <f t="shared" si="54"/>
        <v/>
      </c>
      <c r="K232" s="554" t="str">
        <f t="shared" si="55"/>
        <v/>
      </c>
      <c r="L232" s="554" t="str">
        <f t="shared" si="56"/>
        <v/>
      </c>
      <c r="M232" s="554" t="str">
        <f t="shared" si="57"/>
        <v/>
      </c>
      <c r="N232" s="104"/>
    </row>
    <row r="233" spans="1:14">
      <c r="A233" s="147"/>
      <c r="B233" s="188" t="s">
        <v>30</v>
      </c>
      <c r="C233" s="190" t="s">
        <v>23</v>
      </c>
      <c r="D233" s="242">
        <v>14570413001</v>
      </c>
      <c r="E233" s="553" t="str">
        <f>IFERROR(VLOOKUP(D233,'ВИС-2026'!$E$17:$H$2115,2,0),"")</f>
        <v>Муфта РЕХАУ соединительная переходная 20-16 RX+</v>
      </c>
      <c r="F233" s="292" t="str">
        <f>IFERROR(VLOOKUP(D233,'ВИС-2026'!$E$17:$H$2115,4,0),"")</f>
        <v>шт</v>
      </c>
      <c r="G233" s="428"/>
      <c r="H233" s="554">
        <f>IFERROR(VLOOKUP(D233,'ВИС-2026'!$E$17:$K$2649,7,0),"")</f>
        <v>7.02</v>
      </c>
      <c r="I233" s="554">
        <f t="shared" si="53"/>
        <v>0</v>
      </c>
      <c r="J233" s="554">
        <f t="shared" si="54"/>
        <v>7.02</v>
      </c>
      <c r="K233" s="554">
        <f t="shared" si="55"/>
        <v>0</v>
      </c>
      <c r="L233" s="554">
        <f t="shared" si="56"/>
        <v>0</v>
      </c>
      <c r="M233" s="554">
        <f t="shared" si="57"/>
        <v>0</v>
      </c>
      <c r="N233" s="104"/>
    </row>
    <row r="234" spans="1:14">
      <c r="A234" s="150"/>
      <c r="B234" s="188" t="s">
        <v>30</v>
      </c>
      <c r="C234" s="190" t="s">
        <v>23</v>
      </c>
      <c r="D234" s="242">
        <v>14570423001</v>
      </c>
      <c r="E234" s="553" t="str">
        <f>IFERROR(VLOOKUP(D234,'ВИС-2026'!$E$17:$H$2115,2,0),"")</f>
        <v>Муфта РЕХАУ соединительная переходная 25-16 RX+</v>
      </c>
      <c r="F234" s="292" t="str">
        <f>IFERROR(VLOOKUP(D234,'ВИС-2026'!$E$17:$H$2115,4,0),"")</f>
        <v>шт</v>
      </c>
      <c r="G234" s="428"/>
      <c r="H234" s="554">
        <f>IFERROR(VLOOKUP(D234,'ВИС-2026'!$E$17:$K$2649,7,0),"")</f>
        <v>9.8699999999999992</v>
      </c>
      <c r="I234" s="554">
        <f t="shared" si="53"/>
        <v>0</v>
      </c>
      <c r="J234" s="554">
        <f t="shared" si="54"/>
        <v>9.8699999999999992</v>
      </c>
      <c r="K234" s="554">
        <f t="shared" si="55"/>
        <v>0</v>
      </c>
      <c r="L234" s="554">
        <f t="shared" si="56"/>
        <v>0</v>
      </c>
      <c r="M234" s="554">
        <f t="shared" si="57"/>
        <v>0</v>
      </c>
      <c r="N234" s="104"/>
    </row>
    <row r="235" spans="1:14">
      <c r="A235" s="147"/>
      <c r="B235" s="188" t="s">
        <v>30</v>
      </c>
      <c r="C235" s="190" t="s">
        <v>23</v>
      </c>
      <c r="D235" s="242">
        <v>14570433001</v>
      </c>
      <c r="E235" s="553" t="str">
        <f>IFERROR(VLOOKUP(D235,'ВИС-2026'!$E$17:$H$2115,2,0),"")</f>
        <v>Муфта РЕХАУ соединительная переходная 25-20 RX+</v>
      </c>
      <c r="F235" s="292" t="str">
        <f>IFERROR(VLOOKUP(D235,'ВИС-2026'!$E$17:$H$2115,4,0),"")</f>
        <v>шт</v>
      </c>
      <c r="G235" s="428"/>
      <c r="H235" s="554">
        <f>IFERROR(VLOOKUP(D235,'ВИС-2026'!$E$17:$K$2649,7,0),"")</f>
        <v>10.97</v>
      </c>
      <c r="I235" s="554">
        <f t="shared" si="53"/>
        <v>0</v>
      </c>
      <c r="J235" s="554">
        <f t="shared" si="54"/>
        <v>10.97</v>
      </c>
      <c r="K235" s="554">
        <f t="shared" si="55"/>
        <v>0</v>
      </c>
      <c r="L235" s="554">
        <f t="shared" si="56"/>
        <v>0</v>
      </c>
      <c r="M235" s="554">
        <f t="shared" si="57"/>
        <v>0</v>
      </c>
      <c r="N235" s="104"/>
    </row>
    <row r="236" spans="1:14" s="73" customFormat="1">
      <c r="A236" s="150"/>
      <c r="B236" s="188" t="s">
        <v>30</v>
      </c>
      <c r="C236" s="190" t="s">
        <v>23</v>
      </c>
      <c r="D236" s="242">
        <v>14570443001</v>
      </c>
      <c r="E236" s="553" t="str">
        <f>IFERROR(VLOOKUP(D236,'ВИС-2026'!$E$17:$H$2115,2,0),"")</f>
        <v>Муфта РЕХАУ соединительная переходная 32-25 RX+</v>
      </c>
      <c r="F236" s="292" t="str">
        <f>IFERROR(VLOOKUP(D236,'ВИС-2026'!$E$17:$H$2115,4,0),"")</f>
        <v>шт</v>
      </c>
      <c r="G236" s="428"/>
      <c r="H236" s="554">
        <f>IFERROR(VLOOKUP(D236,'ВИС-2026'!$E$17:$K$2649,7,0),"")</f>
        <v>18.690000000000001</v>
      </c>
      <c r="I236" s="554">
        <f t="shared" si="53"/>
        <v>0</v>
      </c>
      <c r="J236" s="554">
        <f t="shared" si="54"/>
        <v>18.690000000000001</v>
      </c>
      <c r="K236" s="554">
        <f t="shared" si="55"/>
        <v>0</v>
      </c>
      <c r="L236" s="554">
        <f t="shared" si="56"/>
        <v>0</v>
      </c>
      <c r="M236" s="554">
        <f t="shared" si="57"/>
        <v>0</v>
      </c>
      <c r="N236" s="104"/>
    </row>
    <row r="237" spans="1:14" s="73" customFormat="1">
      <c r="A237" s="147"/>
      <c r="B237" s="188" t="s">
        <v>30</v>
      </c>
      <c r="C237" s="190" t="s">
        <v>23</v>
      </c>
      <c r="D237" s="242">
        <v>14573953001</v>
      </c>
      <c r="E237" s="553" t="str">
        <f>IFERROR(VLOOKUP(D237,'ВИС-2026'!$E$17:$H$2115,2,0),"")</f>
        <v>Муфта РЕХАУ соединительная переходная 40-25 RX+</v>
      </c>
      <c r="F237" s="292" t="str">
        <f>IFERROR(VLOOKUP(D237,'ВИС-2026'!$E$17:$H$2115,4,0),"")</f>
        <v>шт</v>
      </c>
      <c r="G237" s="428"/>
      <c r="H237" s="554">
        <f>IFERROR(VLOOKUP(D237,'ВИС-2026'!$E$17:$K$2649,7,0),"")</f>
        <v>48.75</v>
      </c>
      <c r="I237" s="554">
        <f t="shared" si="53"/>
        <v>0</v>
      </c>
      <c r="J237" s="554">
        <f t="shared" si="54"/>
        <v>48.75</v>
      </c>
      <c r="K237" s="554">
        <f t="shared" si="55"/>
        <v>0</v>
      </c>
      <c r="L237" s="554">
        <f t="shared" si="56"/>
        <v>0</v>
      </c>
      <c r="M237" s="554">
        <f t="shared" si="57"/>
        <v>0</v>
      </c>
      <c r="N237" s="104"/>
    </row>
    <row r="238" spans="1:14">
      <c r="A238" s="150"/>
      <c r="B238" s="188" t="s">
        <v>30</v>
      </c>
      <c r="C238" s="190" t="s">
        <v>23</v>
      </c>
      <c r="D238" s="242">
        <v>14570473001</v>
      </c>
      <c r="E238" s="553" t="str">
        <f>IFERROR(VLOOKUP(D238,'ВИС-2026'!$E$17:$H$2115,2,0),"")</f>
        <v>Муфта РЕХАУ соединительная переходная 40-32 RX+</v>
      </c>
      <c r="F238" s="292" t="str">
        <f>IFERROR(VLOOKUP(D238,'ВИС-2026'!$E$17:$H$2115,4,0),"")</f>
        <v>шт</v>
      </c>
      <c r="G238" s="428"/>
      <c r="H238" s="554">
        <f>IFERROR(VLOOKUP(D238,'ВИС-2026'!$E$17:$K$2649,7,0),"")</f>
        <v>60.67</v>
      </c>
      <c r="I238" s="554">
        <f t="shared" si="53"/>
        <v>0</v>
      </c>
      <c r="J238" s="554">
        <f t="shared" si="54"/>
        <v>60.67</v>
      </c>
      <c r="K238" s="554">
        <f t="shared" si="55"/>
        <v>0</v>
      </c>
      <c r="L238" s="554">
        <f t="shared" si="56"/>
        <v>0</v>
      </c>
      <c r="M238" s="554">
        <f t="shared" si="57"/>
        <v>0</v>
      </c>
      <c r="N238" s="104"/>
    </row>
    <row r="239" spans="1:14">
      <c r="A239" s="147"/>
      <c r="B239" s="188"/>
      <c r="C239" s="215"/>
      <c r="D239" s="217"/>
      <c r="E239" s="218"/>
      <c r="F239" s="292" t="str">
        <f>IFERROR(VLOOKUP(D239,'ВИС-2026'!$E$17:$H$2115,5,0),"")</f>
        <v/>
      </c>
      <c r="G239" s="428"/>
      <c r="H239" s="554" t="str">
        <f>IFERROR(VLOOKUP(D239,'ВИС-2026'!$E$17:$K$2649,8,0),"")</f>
        <v/>
      </c>
      <c r="I239" s="554" t="str">
        <f t="shared" si="53"/>
        <v/>
      </c>
      <c r="J239" s="554" t="str">
        <f t="shared" si="54"/>
        <v/>
      </c>
      <c r="K239" s="554" t="str">
        <f t="shared" si="55"/>
        <v/>
      </c>
      <c r="L239" s="554" t="str">
        <f t="shared" si="56"/>
        <v/>
      </c>
      <c r="M239" s="554" t="str">
        <f t="shared" si="57"/>
        <v/>
      </c>
      <c r="N239" s="104"/>
    </row>
    <row r="240" spans="1:14">
      <c r="A240" s="147"/>
      <c r="B240" s="188" t="s">
        <v>30</v>
      </c>
      <c r="C240" s="190" t="s">
        <v>23</v>
      </c>
      <c r="D240" s="188">
        <v>11080411001</v>
      </c>
      <c r="E240" s="553" t="str">
        <f>IFERROR(VLOOKUP(D240,'ВИС-2026'!$E$17:$H$2115,2,0),"")</f>
        <v>Муфта соединительная переходная 20-16 MX</v>
      </c>
      <c r="F240" s="292" t="str">
        <f>IFERROR(VLOOKUP(D240,'ВИС-2026'!$E$17:$H$2115,4,0),"")</f>
        <v>шт</v>
      </c>
      <c r="G240" s="428"/>
      <c r="H240" s="554">
        <f>IFERROR(VLOOKUP(D240,'ВИС-2026'!$E$17:$K$2649,7,0),"")</f>
        <v>3.94</v>
      </c>
      <c r="I240" s="554">
        <f t="shared" si="53"/>
        <v>0</v>
      </c>
      <c r="J240" s="554">
        <f t="shared" si="54"/>
        <v>3.94</v>
      </c>
      <c r="K240" s="554">
        <f t="shared" si="55"/>
        <v>0</v>
      </c>
      <c r="L240" s="554">
        <f t="shared" si="56"/>
        <v>0</v>
      </c>
      <c r="M240" s="554">
        <f t="shared" si="57"/>
        <v>0</v>
      </c>
      <c r="N240" s="104"/>
    </row>
    <row r="241" spans="1:14">
      <c r="A241" s="147"/>
      <c r="B241" s="188" t="s">
        <v>30</v>
      </c>
      <c r="C241" s="190" t="s">
        <v>23</v>
      </c>
      <c r="D241" s="188">
        <v>11080421001</v>
      </c>
      <c r="E241" s="553" t="str">
        <f>IFERROR(VLOOKUP(D241,'ВИС-2026'!$E$17:$H$2115,2,0),"")</f>
        <v>Муфта соединительная переходная 25-16 MX</v>
      </c>
      <c r="F241" s="292" t="str">
        <f>IFERROR(VLOOKUP(D241,'ВИС-2026'!$E$17:$H$2115,4,0),"")</f>
        <v>шт</v>
      </c>
      <c r="G241" s="428"/>
      <c r="H241" s="554">
        <f>IFERROR(VLOOKUP(D241,'ВИС-2026'!$E$17:$K$2649,7,0),"")</f>
        <v>6.28</v>
      </c>
      <c r="I241" s="554">
        <f t="shared" si="53"/>
        <v>0</v>
      </c>
      <c r="J241" s="554">
        <f t="shared" si="54"/>
        <v>6.28</v>
      </c>
      <c r="K241" s="554">
        <f t="shared" si="55"/>
        <v>0</v>
      </c>
      <c r="L241" s="554">
        <f t="shared" si="56"/>
        <v>0</v>
      </c>
      <c r="M241" s="554">
        <f t="shared" si="57"/>
        <v>0</v>
      </c>
      <c r="N241" s="104"/>
    </row>
    <row r="242" spans="1:14">
      <c r="A242" s="147"/>
      <c r="B242" s="188" t="s">
        <v>30</v>
      </c>
      <c r="C242" s="190" t="s">
        <v>23</v>
      </c>
      <c r="D242" s="188">
        <v>11080431001</v>
      </c>
      <c r="E242" s="553" t="str">
        <f>IFERROR(VLOOKUP(D242,'ВИС-2026'!$E$17:$H$2115,2,0),"")</f>
        <v>Муфта соединительная переходная 25-20 MX</v>
      </c>
      <c r="F242" s="292" t="str">
        <f>IFERROR(VLOOKUP(D242,'ВИС-2026'!$E$17:$H$2115,4,0),"")</f>
        <v>шт</v>
      </c>
      <c r="G242" s="428"/>
      <c r="H242" s="554">
        <f>IFERROR(VLOOKUP(D242,'ВИС-2026'!$E$17:$K$2649,7,0),"")</f>
        <v>6.28</v>
      </c>
      <c r="I242" s="554">
        <f t="shared" si="53"/>
        <v>0</v>
      </c>
      <c r="J242" s="554">
        <f t="shared" si="54"/>
        <v>6.28</v>
      </c>
      <c r="K242" s="554">
        <f t="shared" si="55"/>
        <v>0</v>
      </c>
      <c r="L242" s="554">
        <f t="shared" si="56"/>
        <v>0</v>
      </c>
      <c r="M242" s="554">
        <f t="shared" si="57"/>
        <v>0</v>
      </c>
      <c r="N242" s="104"/>
    </row>
    <row r="243" spans="1:14">
      <c r="A243" s="147"/>
      <c r="B243" s="188" t="s">
        <v>30</v>
      </c>
      <c r="C243" s="190" t="s">
        <v>23</v>
      </c>
      <c r="D243" s="188">
        <v>11080441001</v>
      </c>
      <c r="E243" s="553" t="str">
        <f>IFERROR(VLOOKUP(D243,'ВИС-2026'!$E$17:$H$2115,2,0),"")</f>
        <v>Муфта соединительная переходная 32-25 MX</v>
      </c>
      <c r="F243" s="292" t="str">
        <f>IFERROR(VLOOKUP(D243,'ВИС-2026'!$E$17:$H$2115,4,0),"")</f>
        <v>шт</v>
      </c>
      <c r="G243" s="428"/>
      <c r="H243" s="554">
        <f>IFERROR(VLOOKUP(D243,'ВИС-2026'!$E$17:$K$2649,7,0),"")</f>
        <v>11.91</v>
      </c>
      <c r="I243" s="554">
        <f t="shared" si="53"/>
        <v>0</v>
      </c>
      <c r="J243" s="554">
        <f t="shared" si="54"/>
        <v>11.91</v>
      </c>
      <c r="K243" s="554">
        <f t="shared" si="55"/>
        <v>0</v>
      </c>
      <c r="L243" s="554">
        <f t="shared" si="56"/>
        <v>0</v>
      </c>
      <c r="M243" s="554">
        <f t="shared" si="57"/>
        <v>0</v>
      </c>
      <c r="N243" s="104"/>
    </row>
    <row r="244" spans="1:14">
      <c r="A244" s="147"/>
      <c r="B244" s="188" t="s">
        <v>30</v>
      </c>
      <c r="C244" s="190" t="s">
        <v>23</v>
      </c>
      <c r="D244" s="188">
        <v>11093951001</v>
      </c>
      <c r="E244" s="553" t="str">
        <f>IFERROR(VLOOKUP(D244,'ВИС-2026'!$E$17:$H$2115,2,0),"")</f>
        <v>Муфта соединительная переходная 40-25 MX</v>
      </c>
      <c r="F244" s="292" t="str">
        <f>IFERROR(VLOOKUP(D244,'ВИС-2026'!$E$17:$H$2115,4,0),"")</f>
        <v>шт</v>
      </c>
      <c r="G244" s="428"/>
      <c r="H244" s="554">
        <f>IFERROR(VLOOKUP(D244,'ВИС-2026'!$E$17:$K$2649,7,0),"")</f>
        <v>36.11</v>
      </c>
      <c r="I244" s="554">
        <f t="shared" si="53"/>
        <v>0</v>
      </c>
      <c r="J244" s="554">
        <f t="shared" si="54"/>
        <v>36.11</v>
      </c>
      <c r="K244" s="554">
        <f t="shared" si="55"/>
        <v>0</v>
      </c>
      <c r="L244" s="554">
        <f t="shared" si="56"/>
        <v>0</v>
      </c>
      <c r="M244" s="554">
        <f t="shared" si="57"/>
        <v>0</v>
      </c>
      <c r="N244" s="104"/>
    </row>
    <row r="245" spans="1:14">
      <c r="A245" s="147"/>
      <c r="B245" s="188" t="s">
        <v>30</v>
      </c>
      <c r="C245" s="190" t="s">
        <v>23</v>
      </c>
      <c r="D245" s="188">
        <v>11080471001</v>
      </c>
      <c r="E245" s="553" t="str">
        <f>IFERROR(VLOOKUP(D245,'ВИС-2026'!$E$17:$H$2115,2,0),"")</f>
        <v>Муфта соединительная переходная 40-32 MX</v>
      </c>
      <c r="F245" s="292" t="str">
        <f>IFERROR(VLOOKUP(D245,'ВИС-2026'!$E$17:$H$2115,4,0),"")</f>
        <v>шт</v>
      </c>
      <c r="G245" s="428"/>
      <c r="H245" s="554">
        <f>IFERROR(VLOOKUP(D245,'ВИС-2026'!$E$17:$K$2649,7,0),"")</f>
        <v>44.94</v>
      </c>
      <c r="I245" s="554">
        <f t="shared" si="53"/>
        <v>0</v>
      </c>
      <c r="J245" s="554">
        <f t="shared" si="54"/>
        <v>44.94</v>
      </c>
      <c r="K245" s="554">
        <f t="shared" si="55"/>
        <v>0</v>
      </c>
      <c r="L245" s="554">
        <f t="shared" si="56"/>
        <v>0</v>
      </c>
      <c r="M245" s="554">
        <f t="shared" si="57"/>
        <v>0</v>
      </c>
      <c r="N245" s="104"/>
    </row>
    <row r="246" spans="1:14">
      <c r="A246" s="147"/>
      <c r="B246" s="188" t="s">
        <v>30</v>
      </c>
      <c r="C246" s="190" t="s">
        <v>23</v>
      </c>
      <c r="D246" s="188">
        <v>11093041001</v>
      </c>
      <c r="E246" s="553" t="str">
        <f>IFERROR(VLOOKUP(D246,'ВИС-2026'!$E$17:$H$2115,2,0),"")</f>
        <v>Муфта соединительная переходная 50-32 MX</v>
      </c>
      <c r="F246" s="292" t="str">
        <f>IFERROR(VLOOKUP(D246,'ВИС-2026'!$E$17:$H$2115,4,0),"")</f>
        <v>шт</v>
      </c>
      <c r="G246" s="428"/>
      <c r="H246" s="554">
        <f>IFERROR(VLOOKUP(D246,'ВИС-2026'!$E$17:$K$2649,7,0),"")</f>
        <v>70.39</v>
      </c>
      <c r="I246" s="554">
        <f t="shared" si="53"/>
        <v>0</v>
      </c>
      <c r="J246" s="554">
        <f t="shared" si="54"/>
        <v>70.39</v>
      </c>
      <c r="K246" s="554">
        <f t="shared" si="55"/>
        <v>0</v>
      </c>
      <c r="L246" s="554">
        <f t="shared" si="56"/>
        <v>0</v>
      </c>
      <c r="M246" s="554">
        <f t="shared" si="57"/>
        <v>0</v>
      </c>
      <c r="N246" s="104"/>
    </row>
    <row r="247" spans="1:14">
      <c r="A247" s="147"/>
      <c r="B247" s="188" t="s">
        <v>30</v>
      </c>
      <c r="C247" s="190" t="s">
        <v>23</v>
      </c>
      <c r="D247" s="188">
        <v>11093051001</v>
      </c>
      <c r="E247" s="553" t="str">
        <f>IFERROR(VLOOKUP(D247,'ВИС-2026'!$E$17:$H$2115,2,0),"")</f>
        <v>Муфта соединительная переходная 50-40 MX</v>
      </c>
      <c r="F247" s="292" t="str">
        <f>IFERROR(VLOOKUP(D247,'ВИС-2026'!$E$17:$H$2115,4,0),"")</f>
        <v>шт</v>
      </c>
      <c r="G247" s="428"/>
      <c r="H247" s="554">
        <f>IFERROR(VLOOKUP(D247,'ВИС-2026'!$E$17:$K$2649,7,0),"")</f>
        <v>71.03</v>
      </c>
      <c r="I247" s="554">
        <f t="shared" si="53"/>
        <v>0</v>
      </c>
      <c r="J247" s="554">
        <f t="shared" si="54"/>
        <v>71.03</v>
      </c>
      <c r="K247" s="554">
        <f t="shared" si="55"/>
        <v>0</v>
      </c>
      <c r="L247" s="554">
        <f t="shared" si="56"/>
        <v>0</v>
      </c>
      <c r="M247" s="554">
        <f t="shared" si="57"/>
        <v>0</v>
      </c>
      <c r="N247" s="104"/>
    </row>
    <row r="248" spans="1:14" s="74" customFormat="1">
      <c r="A248" s="147"/>
      <c r="B248" s="188" t="s">
        <v>30</v>
      </c>
      <c r="C248" s="190" t="s">
        <v>23</v>
      </c>
      <c r="D248" s="188">
        <v>11093061001</v>
      </c>
      <c r="E248" s="553" t="str">
        <f>IFERROR(VLOOKUP(D248,'ВИС-2026'!$E$17:$H$2115,2,0),"")</f>
        <v>Муфта соединительная переходная 63-50 MX</v>
      </c>
      <c r="F248" s="292" t="str">
        <f>IFERROR(VLOOKUP(D248,'ВИС-2026'!$E$17:$H$2115,4,0),"")</f>
        <v>шт</v>
      </c>
      <c r="G248" s="428"/>
      <c r="H248" s="554">
        <f>IFERROR(VLOOKUP(D248,'ВИС-2026'!$E$17:$K$2649,7,0),"")</f>
        <v>96.32</v>
      </c>
      <c r="I248" s="554">
        <f t="shared" si="53"/>
        <v>0</v>
      </c>
      <c r="J248" s="554">
        <f t="shared" si="54"/>
        <v>96.32</v>
      </c>
      <c r="K248" s="554">
        <f t="shared" si="55"/>
        <v>0</v>
      </c>
      <c r="L248" s="554">
        <f t="shared" si="56"/>
        <v>0</v>
      </c>
      <c r="M248" s="554">
        <f t="shared" si="57"/>
        <v>0</v>
      </c>
      <c r="N248" s="104"/>
    </row>
    <row r="249" spans="1:14" s="74" customFormat="1">
      <c r="A249" s="147"/>
      <c r="B249" s="188"/>
      <c r="C249" s="215"/>
      <c r="D249" s="217"/>
      <c r="E249" s="218"/>
      <c r="F249" s="292" t="str">
        <f>IFERROR(VLOOKUP(D249,'ВИС-2026'!$E$17:$H$2115,5,0),"")</f>
        <v/>
      </c>
      <c r="G249" s="428"/>
      <c r="H249" s="554" t="str">
        <f>IFERROR(VLOOKUP(D249,'ВИС-2026'!$E$17:$K$2649,8,0),"")</f>
        <v/>
      </c>
      <c r="I249" s="554" t="str">
        <f t="shared" si="53"/>
        <v/>
      </c>
      <c r="J249" s="554" t="str">
        <f t="shared" si="54"/>
        <v/>
      </c>
      <c r="K249" s="554" t="str">
        <f t="shared" si="55"/>
        <v/>
      </c>
      <c r="L249" s="554" t="str">
        <f t="shared" si="56"/>
        <v/>
      </c>
      <c r="M249" s="554" t="str">
        <f t="shared" si="57"/>
        <v/>
      </c>
      <c r="N249" s="104"/>
    </row>
    <row r="250" spans="1:14" s="73" customFormat="1" ht="30.6">
      <c r="A250" s="148" t="s">
        <v>25</v>
      </c>
      <c r="B250" s="208" t="s">
        <v>26</v>
      </c>
      <c r="C250" s="190" t="s">
        <v>23</v>
      </c>
      <c r="D250" s="188">
        <v>11600431001</v>
      </c>
      <c r="E250" s="553" t="str">
        <f>IFERROR(VLOOKUP(D250,'ВИС-2026'!$E$17:$H$2115,2,0),"")</f>
        <v>Муфта соединительная переходная 25-20 PX</v>
      </c>
      <c r="F250" s="292" t="str">
        <f>IFERROR(VLOOKUP(D250,'ВИС-2026'!$E$17:$H$2115,4,0),"")</f>
        <v>шт</v>
      </c>
      <c r="G250" s="428"/>
      <c r="H250" s="554">
        <f>IFERROR(VLOOKUP(D250,'ВИС-2026'!$E$17:$K$2649,7,0),"")</f>
        <v>6.48</v>
      </c>
      <c r="I250" s="554">
        <f t="shared" si="53"/>
        <v>0</v>
      </c>
      <c r="J250" s="554">
        <f t="shared" si="54"/>
        <v>6.48</v>
      </c>
      <c r="K250" s="554">
        <f t="shared" si="55"/>
        <v>0</v>
      </c>
      <c r="L250" s="554">
        <f t="shared" si="56"/>
        <v>0</v>
      </c>
      <c r="M250" s="554">
        <f t="shared" si="57"/>
        <v>0</v>
      </c>
      <c r="N250" s="104"/>
    </row>
    <row r="251" spans="1:14" s="73" customFormat="1">
      <c r="A251" s="147"/>
      <c r="B251" s="240"/>
      <c r="C251" s="247"/>
      <c r="D251" s="188"/>
      <c r="E251" s="210"/>
      <c r="F251" s="292" t="str">
        <f>IFERROR(VLOOKUP(D251,'ВИС-2026'!$E$17:$H$2115,5,0),"")</f>
        <v/>
      </c>
      <c r="G251" s="428"/>
      <c r="H251" s="554" t="str">
        <f>IFERROR(VLOOKUP(D251,'ВИС-2026'!$E$17:$K$2649,8,0),"")</f>
        <v/>
      </c>
      <c r="I251" s="554" t="str">
        <f t="shared" si="53"/>
        <v/>
      </c>
      <c r="J251" s="554" t="str">
        <f t="shared" si="54"/>
        <v/>
      </c>
      <c r="K251" s="554" t="str">
        <f t="shared" si="55"/>
        <v/>
      </c>
      <c r="L251" s="554" t="str">
        <f t="shared" si="56"/>
        <v/>
      </c>
      <c r="M251" s="554" t="str">
        <f t="shared" si="57"/>
        <v/>
      </c>
      <c r="N251" s="104"/>
    </row>
    <row r="252" spans="1:14" ht="30.6">
      <c r="A252" s="148" t="s">
        <v>25</v>
      </c>
      <c r="B252" s="208" t="s">
        <v>26</v>
      </c>
      <c r="C252" s="190" t="s">
        <v>23</v>
      </c>
      <c r="D252" s="188">
        <v>13777181001</v>
      </c>
      <c r="E252" s="553" t="str">
        <f>IFERROR(VLOOKUP(D252,'ВИС-2026'!$E$17:$H$2115,2,0),"")</f>
        <v>Муфта соединительная переходная 20-16 PLATINUM RX</v>
      </c>
      <c r="F252" s="292" t="str">
        <f>IFERROR(VLOOKUP(D252,'ВИС-2026'!$E$17:$H$2115,4,0),"")</f>
        <v>шт</v>
      </c>
      <c r="G252" s="428"/>
      <c r="H252" s="554">
        <f>IFERROR(VLOOKUP(D252,'ВИС-2026'!$E$17:$K$2649,7,0),"")</f>
        <v>2.87</v>
      </c>
      <c r="I252" s="554">
        <f t="shared" si="53"/>
        <v>0</v>
      </c>
      <c r="J252" s="554">
        <f t="shared" si="54"/>
        <v>2.87</v>
      </c>
      <c r="K252" s="554">
        <f t="shared" si="55"/>
        <v>0</v>
      </c>
      <c r="L252" s="554">
        <f t="shared" si="56"/>
        <v>0</v>
      </c>
      <c r="M252" s="554">
        <f t="shared" si="57"/>
        <v>0</v>
      </c>
      <c r="N252" s="104"/>
    </row>
    <row r="253" spans="1:14" s="73" customFormat="1" ht="30.6">
      <c r="A253" s="148" t="s">
        <v>25</v>
      </c>
      <c r="B253" s="208" t="s">
        <v>26</v>
      </c>
      <c r="C253" s="190" t="s">
        <v>23</v>
      </c>
      <c r="D253" s="188">
        <v>13777191001</v>
      </c>
      <c r="E253" s="553" t="str">
        <f>IFERROR(VLOOKUP(D253,'ВИС-2026'!$E$17:$H$2115,2,0),"")</f>
        <v>Муфта соединительная переходная 25-16 PLATINUM RX</v>
      </c>
      <c r="F253" s="292" t="str">
        <f>IFERROR(VLOOKUP(D253,'ВИС-2026'!$E$17:$H$2115,4,0),"")</f>
        <v>шт</v>
      </c>
      <c r="G253" s="428"/>
      <c r="H253" s="554">
        <f>IFERROR(VLOOKUP(D253,'ВИС-2026'!$E$17:$K$2649,7,0),"")</f>
        <v>4.95</v>
      </c>
      <c r="I253" s="554">
        <f t="shared" si="53"/>
        <v>0</v>
      </c>
      <c r="J253" s="554">
        <f t="shared" si="54"/>
        <v>4.95</v>
      </c>
      <c r="K253" s="554">
        <f t="shared" si="55"/>
        <v>0</v>
      </c>
      <c r="L253" s="554">
        <f t="shared" si="56"/>
        <v>0</v>
      </c>
      <c r="M253" s="554">
        <f t="shared" si="57"/>
        <v>0</v>
      </c>
      <c r="N253" s="104"/>
    </row>
    <row r="254" spans="1:14" s="73" customFormat="1" ht="30.6">
      <c r="A254" s="148" t="s">
        <v>25</v>
      </c>
      <c r="B254" s="208" t="s">
        <v>26</v>
      </c>
      <c r="C254" s="190" t="s">
        <v>23</v>
      </c>
      <c r="D254" s="188">
        <v>13777201001</v>
      </c>
      <c r="E254" s="553" t="str">
        <f>IFERROR(VLOOKUP(D254,'ВИС-2026'!$E$17:$H$2115,2,0),"")</f>
        <v>Муфта соединительная переходная 25-20 PLATINUM RX</v>
      </c>
      <c r="F254" s="292" t="str">
        <f>IFERROR(VLOOKUP(D254,'ВИС-2026'!$E$17:$H$2115,4,0),"")</f>
        <v>шт</v>
      </c>
      <c r="G254" s="428"/>
      <c r="H254" s="554">
        <f>IFERROR(VLOOKUP(D254,'ВИС-2026'!$E$17:$K$2649,7,0),"")</f>
        <v>5.6</v>
      </c>
      <c r="I254" s="554">
        <f t="shared" si="53"/>
        <v>0</v>
      </c>
      <c r="J254" s="554">
        <f t="shared" si="54"/>
        <v>5.6</v>
      </c>
      <c r="K254" s="554">
        <f t="shared" si="55"/>
        <v>0</v>
      </c>
      <c r="L254" s="554">
        <f t="shared" si="56"/>
        <v>0</v>
      </c>
      <c r="M254" s="554">
        <f t="shared" si="57"/>
        <v>0</v>
      </c>
      <c r="N254" s="104"/>
    </row>
    <row r="255" spans="1:14" s="74" customFormat="1" ht="30.6">
      <c r="A255" s="148" t="s">
        <v>25</v>
      </c>
      <c r="B255" s="208" t="s">
        <v>26</v>
      </c>
      <c r="C255" s="190" t="s">
        <v>23</v>
      </c>
      <c r="D255" s="264">
        <v>13777221001</v>
      </c>
      <c r="E255" s="553" t="str">
        <f>IFERROR(VLOOKUP(D255,'ВИС-2026'!$E$17:$H$2115,2,0),"")</f>
        <v>Муфта соединительная переходная 32-25 PLATINUM RX</v>
      </c>
      <c r="F255" s="292" t="str">
        <f>IFERROR(VLOOKUP(D255,'ВИС-2026'!$E$17:$H$2115,4,0),"")</f>
        <v>шт</v>
      </c>
      <c r="G255" s="428"/>
      <c r="H255" s="554">
        <f>IFERROR(VLOOKUP(D255,'ВИС-2026'!$E$17:$K$2649,7,0),"")</f>
        <v>6.77</v>
      </c>
      <c r="I255" s="554">
        <f t="shared" si="53"/>
        <v>0</v>
      </c>
      <c r="J255" s="554">
        <f t="shared" si="54"/>
        <v>6.77</v>
      </c>
      <c r="K255" s="554">
        <f t="shared" si="55"/>
        <v>0</v>
      </c>
      <c r="L255" s="554">
        <f t="shared" si="56"/>
        <v>0</v>
      </c>
      <c r="M255" s="554">
        <f t="shared" si="57"/>
        <v>0</v>
      </c>
      <c r="N255" s="104"/>
    </row>
    <row r="256" spans="1:14" s="74" customFormat="1">
      <c r="A256" s="147"/>
      <c r="B256" s="188"/>
      <c r="C256" s="215"/>
      <c r="D256" s="265"/>
      <c r="E256" s="249"/>
      <c r="F256" s="292" t="str">
        <f>IFERROR(VLOOKUP(D256,'ВИС-2026'!$E$17:$H$2115,5,0),"")</f>
        <v/>
      </c>
      <c r="G256" s="428"/>
      <c r="H256" s="554" t="str">
        <f>IFERROR(VLOOKUP(D256,'ВИС-2026'!$E$17:$K$2649,8,0),"")</f>
        <v/>
      </c>
      <c r="I256" s="554" t="str">
        <f t="shared" si="53"/>
        <v/>
      </c>
      <c r="J256" s="554" t="str">
        <f t="shared" si="54"/>
        <v/>
      </c>
      <c r="K256" s="554" t="str">
        <f t="shared" si="55"/>
        <v/>
      </c>
      <c r="L256" s="554" t="str">
        <f t="shared" si="56"/>
        <v/>
      </c>
      <c r="M256" s="554" t="str">
        <f t="shared" si="57"/>
        <v/>
      </c>
      <c r="N256" s="104"/>
    </row>
    <row r="257" spans="1:14">
      <c r="A257" s="147"/>
      <c r="B257" s="188" t="s">
        <v>30</v>
      </c>
      <c r="C257" s="190" t="s">
        <v>23</v>
      </c>
      <c r="D257" s="242">
        <v>14563113001</v>
      </c>
      <c r="E257" s="553" t="str">
        <f>IFERROR(VLOOKUP(D257,'ВИС-2026'!$E$17:$H$2115,2,0),"")</f>
        <v>Переходник РЕХАУ с наружной резьбой 16-R 1/2 RX+</v>
      </c>
      <c r="F257" s="292" t="str">
        <f>IFERROR(VLOOKUP(D257,'ВИС-2026'!$E$17:$H$2115,4,0),"")</f>
        <v>шт</v>
      </c>
      <c r="G257" s="428"/>
      <c r="H257" s="554">
        <f>IFERROR(VLOOKUP(D257,'ВИС-2026'!$E$17:$K$2649,7,0),"")</f>
        <v>6.06</v>
      </c>
      <c r="I257" s="554">
        <f t="shared" si="53"/>
        <v>0</v>
      </c>
      <c r="J257" s="554">
        <f t="shared" si="54"/>
        <v>6.06</v>
      </c>
      <c r="K257" s="554">
        <f t="shared" si="55"/>
        <v>0</v>
      </c>
      <c r="L257" s="554">
        <f t="shared" si="56"/>
        <v>0</v>
      </c>
      <c r="M257" s="554">
        <f t="shared" si="57"/>
        <v>0</v>
      </c>
      <c r="N257" s="104"/>
    </row>
    <row r="258" spans="1:14" s="73" customFormat="1">
      <c r="A258" s="147"/>
      <c r="B258" s="188" t="s">
        <v>30</v>
      </c>
      <c r="C258" s="190" t="s">
        <v>23</v>
      </c>
      <c r="D258" s="242">
        <v>14563123001</v>
      </c>
      <c r="E258" s="553" t="str">
        <f>IFERROR(VLOOKUP(D258,'ВИС-2026'!$E$17:$H$2115,2,0),"")</f>
        <v>Переходник РЕХАУ с наружной резьбой 16-R 3/4 RX+</v>
      </c>
      <c r="F258" s="292" t="str">
        <f>IFERROR(VLOOKUP(D258,'ВИС-2026'!$E$17:$H$2115,4,0),"")</f>
        <v>шт</v>
      </c>
      <c r="G258" s="428"/>
      <c r="H258" s="554">
        <f>IFERROR(VLOOKUP(D258,'ВИС-2026'!$E$17:$K$2649,7,0),"")</f>
        <v>8.43</v>
      </c>
      <c r="I258" s="554">
        <f t="shared" si="53"/>
        <v>0</v>
      </c>
      <c r="J258" s="554">
        <f t="shared" si="54"/>
        <v>8.43</v>
      </c>
      <c r="K258" s="554">
        <f t="shared" si="55"/>
        <v>0</v>
      </c>
      <c r="L258" s="554">
        <f t="shared" si="56"/>
        <v>0</v>
      </c>
      <c r="M258" s="554">
        <f t="shared" si="57"/>
        <v>0</v>
      </c>
      <c r="N258" s="104"/>
    </row>
    <row r="259" spans="1:14" s="73" customFormat="1">
      <c r="A259" s="147"/>
      <c r="B259" s="188" t="s">
        <v>30</v>
      </c>
      <c r="C259" s="190" t="s">
        <v>23</v>
      </c>
      <c r="D259" s="242">
        <v>14563133001</v>
      </c>
      <c r="E259" s="553" t="str">
        <f>IFERROR(VLOOKUP(D259,'ВИС-2026'!$E$17:$H$2115,2,0),"")</f>
        <v>Переходник РЕХАУ с наружной резьбой 16-R 1 RX+</v>
      </c>
      <c r="F259" s="292" t="str">
        <f>IFERROR(VLOOKUP(D259,'ВИС-2026'!$E$17:$H$2115,4,0),"")</f>
        <v>шт</v>
      </c>
      <c r="G259" s="428"/>
      <c r="H259" s="554">
        <f>IFERROR(VLOOKUP(D259,'ВИС-2026'!$E$17:$K$2649,7,0),"")</f>
        <v>18.170000000000002</v>
      </c>
      <c r="I259" s="554">
        <f t="shared" ref="I259:I269" si="58">IFERROR(H259*G259,"")</f>
        <v>0</v>
      </c>
      <c r="J259" s="554">
        <f t="shared" ref="J259:J269" si="59">IFERROR((IF(H259="","",H259-H259*$D$7)),"")</f>
        <v>18.170000000000002</v>
      </c>
      <c r="K259" s="554">
        <f t="shared" ref="K259:K269" si="60">IFERROR(J259*G259, "")</f>
        <v>0</v>
      </c>
      <c r="L259" s="554">
        <f t="shared" ref="L259:L269" si="61">IFERROR(J259*$D$8, "")</f>
        <v>0</v>
      </c>
      <c r="M259" s="554">
        <f t="shared" ref="M259:M269" si="62">IFERROR(L259*G259, "")</f>
        <v>0</v>
      </c>
      <c r="N259" s="104"/>
    </row>
    <row r="260" spans="1:14" s="73" customFormat="1">
      <c r="A260" s="147"/>
      <c r="B260" s="188" t="s">
        <v>30</v>
      </c>
      <c r="C260" s="190" t="s">
        <v>23</v>
      </c>
      <c r="D260" s="242">
        <v>14563143001</v>
      </c>
      <c r="E260" s="553" t="str">
        <f>IFERROR(VLOOKUP(D260,'ВИС-2026'!$E$17:$H$2115,2,0),"")</f>
        <v>Переходник РЕХАУ с наружной резьбой 20-R 1/2 RX+</v>
      </c>
      <c r="F260" s="292" t="str">
        <f>IFERROR(VLOOKUP(D260,'ВИС-2026'!$E$17:$H$2115,4,0),"")</f>
        <v>шт</v>
      </c>
      <c r="G260" s="428"/>
      <c r="H260" s="554">
        <f>IFERROR(VLOOKUP(D260,'ВИС-2026'!$E$17:$K$2649,7,0),"")</f>
        <v>7.19</v>
      </c>
      <c r="I260" s="554">
        <f t="shared" si="58"/>
        <v>0</v>
      </c>
      <c r="J260" s="554">
        <f t="shared" si="59"/>
        <v>7.19</v>
      </c>
      <c r="K260" s="554">
        <f t="shared" si="60"/>
        <v>0</v>
      </c>
      <c r="L260" s="554">
        <f t="shared" si="61"/>
        <v>0</v>
      </c>
      <c r="M260" s="554">
        <f t="shared" si="62"/>
        <v>0</v>
      </c>
      <c r="N260" s="104"/>
    </row>
    <row r="261" spans="1:14" s="73" customFormat="1">
      <c r="A261" s="147"/>
      <c r="B261" s="188" t="s">
        <v>30</v>
      </c>
      <c r="C261" s="190" t="s">
        <v>23</v>
      </c>
      <c r="D261" s="242">
        <v>14563153001</v>
      </c>
      <c r="E261" s="553" t="str">
        <f>IFERROR(VLOOKUP(D261,'ВИС-2026'!$E$17:$H$2115,2,0),"")</f>
        <v>Переходник РЕХАУ с наружной резьбой 20-R 3/4 RX+</v>
      </c>
      <c r="F261" s="292" t="str">
        <f>IFERROR(VLOOKUP(D261,'ВИС-2026'!$E$17:$H$2115,4,0),"")</f>
        <v>шт</v>
      </c>
      <c r="G261" s="428"/>
      <c r="H261" s="554">
        <f>IFERROR(VLOOKUP(D261,'ВИС-2026'!$E$17:$K$2649,7,0),"")</f>
        <v>10.11</v>
      </c>
      <c r="I261" s="554">
        <f t="shared" si="58"/>
        <v>0</v>
      </c>
      <c r="J261" s="554">
        <f t="shared" si="59"/>
        <v>10.11</v>
      </c>
      <c r="K261" s="554">
        <f t="shared" si="60"/>
        <v>0</v>
      </c>
      <c r="L261" s="554">
        <f t="shared" si="61"/>
        <v>0</v>
      </c>
      <c r="M261" s="554">
        <f t="shared" si="62"/>
        <v>0</v>
      </c>
      <c r="N261" s="104"/>
    </row>
    <row r="262" spans="1:14" s="73" customFormat="1">
      <c r="A262" s="147"/>
      <c r="B262" s="188" t="s">
        <v>30</v>
      </c>
      <c r="C262" s="190" t="s">
        <v>23</v>
      </c>
      <c r="D262" s="242">
        <v>14563163001</v>
      </c>
      <c r="E262" s="553" t="str">
        <f>IFERROR(VLOOKUP(D262,'ВИС-2026'!$E$17:$H$2115,2,0),"")</f>
        <v>Переходник РЕХАУ с наружной резьбой 20-R 1 RX+</v>
      </c>
      <c r="F262" s="292" t="str">
        <f>IFERROR(VLOOKUP(D262,'ВИС-2026'!$E$17:$H$2115,4,0),"")</f>
        <v>шт</v>
      </c>
      <c r="G262" s="428"/>
      <c r="H262" s="554">
        <f>IFERROR(VLOOKUP(D262,'ВИС-2026'!$E$17:$K$2649,7,0),"")</f>
        <v>18.7</v>
      </c>
      <c r="I262" s="554">
        <f t="shared" si="58"/>
        <v>0</v>
      </c>
      <c r="J262" s="554">
        <f t="shared" si="59"/>
        <v>18.7</v>
      </c>
      <c r="K262" s="554">
        <f t="shared" si="60"/>
        <v>0</v>
      </c>
      <c r="L262" s="554">
        <f t="shared" si="61"/>
        <v>0</v>
      </c>
      <c r="M262" s="554">
        <f t="shared" si="62"/>
        <v>0</v>
      </c>
      <c r="N262" s="104"/>
    </row>
    <row r="263" spans="1:14">
      <c r="A263" s="147"/>
      <c r="B263" s="188" t="s">
        <v>30</v>
      </c>
      <c r="C263" s="190" t="s">
        <v>23</v>
      </c>
      <c r="D263" s="242">
        <v>14563193001</v>
      </c>
      <c r="E263" s="553" t="str">
        <f>IFERROR(VLOOKUP(D263,'ВИС-2026'!$E$17:$H$2115,2,0),"")</f>
        <v>Переходник РЕХАУ с наружной резьбой 25-R 1 RX+</v>
      </c>
      <c r="F263" s="292" t="str">
        <f>IFERROR(VLOOKUP(D263,'ВИС-2026'!$E$17:$H$2115,4,0),"")</f>
        <v>шт</v>
      </c>
      <c r="G263" s="428"/>
      <c r="H263" s="554">
        <f>IFERROR(VLOOKUP(D263,'ВИС-2026'!$E$17:$K$2649,7,0),"")</f>
        <v>17.13</v>
      </c>
      <c r="I263" s="554">
        <f t="shared" si="58"/>
        <v>0</v>
      </c>
      <c r="J263" s="554">
        <f t="shared" si="59"/>
        <v>17.13</v>
      </c>
      <c r="K263" s="554">
        <f t="shared" si="60"/>
        <v>0</v>
      </c>
      <c r="L263" s="554">
        <f t="shared" si="61"/>
        <v>0</v>
      </c>
      <c r="M263" s="554">
        <f t="shared" si="62"/>
        <v>0</v>
      </c>
      <c r="N263" s="104"/>
    </row>
    <row r="264" spans="1:14" s="73" customFormat="1">
      <c r="A264" s="147"/>
      <c r="B264" s="188" t="s">
        <v>30</v>
      </c>
      <c r="C264" s="190" t="s">
        <v>23</v>
      </c>
      <c r="D264" s="246">
        <v>14563173001</v>
      </c>
      <c r="E264" s="553" t="str">
        <f>IFERROR(VLOOKUP(D264,'ВИС-2026'!$E$17:$H$2115,2,0),"")</f>
        <v>Переходник РЕХАУ с наружной резьбой 25-R 1/2 RX+</v>
      </c>
      <c r="F264" s="292" t="str">
        <f>IFERROR(VLOOKUP(D264,'ВИС-2026'!$E$17:$H$2115,4,0),"")</f>
        <v>шт</v>
      </c>
      <c r="G264" s="428"/>
      <c r="H264" s="554">
        <f>IFERROR(VLOOKUP(D264,'ВИС-2026'!$E$17:$K$2649,7,0),"")</f>
        <v>10.52</v>
      </c>
      <c r="I264" s="554">
        <f t="shared" si="58"/>
        <v>0</v>
      </c>
      <c r="J264" s="554">
        <f t="shared" si="59"/>
        <v>10.52</v>
      </c>
      <c r="K264" s="554">
        <f t="shared" si="60"/>
        <v>0</v>
      </c>
      <c r="L264" s="554">
        <f t="shared" si="61"/>
        <v>0</v>
      </c>
      <c r="M264" s="554">
        <f t="shared" si="62"/>
        <v>0</v>
      </c>
      <c r="N264" s="104"/>
    </row>
    <row r="265" spans="1:14" s="73" customFormat="1">
      <c r="A265" s="147"/>
      <c r="B265" s="188" t="s">
        <v>30</v>
      </c>
      <c r="C265" s="190" t="s">
        <v>23</v>
      </c>
      <c r="D265" s="242">
        <v>14563183001</v>
      </c>
      <c r="E265" s="553" t="str">
        <f>IFERROR(VLOOKUP(D265,'ВИС-2026'!$E$17:$H$2115,2,0),"")</f>
        <v>Переходник РЕХАУ с наружной резьбой 25-R 3/4 RX+</v>
      </c>
      <c r="F265" s="292" t="str">
        <f>IFERROR(VLOOKUP(D265,'ВИС-2026'!$E$17:$H$2115,4,0),"")</f>
        <v>шт</v>
      </c>
      <c r="G265" s="428"/>
      <c r="H265" s="554">
        <f>IFERROR(VLOOKUP(D265,'ВИС-2026'!$E$17:$K$2649,7,0),"")</f>
        <v>11.22</v>
      </c>
      <c r="I265" s="554">
        <f t="shared" si="58"/>
        <v>0</v>
      </c>
      <c r="J265" s="554">
        <f t="shared" si="59"/>
        <v>11.22</v>
      </c>
      <c r="K265" s="554">
        <f t="shared" si="60"/>
        <v>0</v>
      </c>
      <c r="L265" s="554">
        <f t="shared" si="61"/>
        <v>0</v>
      </c>
      <c r="M265" s="554">
        <f t="shared" si="62"/>
        <v>0</v>
      </c>
      <c r="N265" s="104"/>
    </row>
    <row r="266" spans="1:14" s="73" customFormat="1">
      <c r="A266" s="147"/>
      <c r="B266" s="188" t="s">
        <v>30</v>
      </c>
      <c r="C266" s="190" t="s">
        <v>23</v>
      </c>
      <c r="D266" s="242">
        <v>14563203001</v>
      </c>
      <c r="E266" s="553" t="str">
        <f>IFERROR(VLOOKUP(D266,'ВИС-2026'!$E$17:$H$2115,2,0),"")</f>
        <v>Переходник РЕХАУ с наружной резьбой 32-R 3/4 RX+</v>
      </c>
      <c r="F266" s="292" t="str">
        <f>IFERROR(VLOOKUP(D266,'ВИС-2026'!$E$17:$H$2115,4,0),"")</f>
        <v>шт</v>
      </c>
      <c r="G266" s="428"/>
      <c r="H266" s="554">
        <f>IFERROR(VLOOKUP(D266,'ВИС-2026'!$E$17:$K$2649,7,0),"")</f>
        <v>19.8</v>
      </c>
      <c r="I266" s="554">
        <f t="shared" si="58"/>
        <v>0</v>
      </c>
      <c r="J266" s="554">
        <f t="shared" si="59"/>
        <v>19.8</v>
      </c>
      <c r="K266" s="554">
        <f t="shared" si="60"/>
        <v>0</v>
      </c>
      <c r="L266" s="554">
        <f t="shared" si="61"/>
        <v>0</v>
      </c>
      <c r="M266" s="554">
        <f t="shared" si="62"/>
        <v>0</v>
      </c>
      <c r="N266" s="104"/>
    </row>
    <row r="267" spans="1:14" s="73" customFormat="1">
      <c r="A267" s="147"/>
      <c r="B267" s="188" t="s">
        <v>30</v>
      </c>
      <c r="C267" s="190" t="s">
        <v>23</v>
      </c>
      <c r="D267" s="242">
        <v>14563213001</v>
      </c>
      <c r="E267" s="553" t="str">
        <f>IFERROR(VLOOKUP(D267,'ВИС-2026'!$E$17:$H$2115,2,0),"")</f>
        <v>Переходник РЕХАУ с наружной резьбой 32-R 1 RX+</v>
      </c>
      <c r="F267" s="292" t="str">
        <f>IFERROR(VLOOKUP(D267,'ВИС-2026'!$E$17:$H$2115,4,0),"")</f>
        <v>шт</v>
      </c>
      <c r="G267" s="428"/>
      <c r="H267" s="554">
        <f>IFERROR(VLOOKUP(D267,'ВИС-2026'!$E$17:$K$2649,7,0),"")</f>
        <v>19.8</v>
      </c>
      <c r="I267" s="554">
        <f t="shared" si="58"/>
        <v>0</v>
      </c>
      <c r="J267" s="554">
        <f t="shared" si="59"/>
        <v>19.8</v>
      </c>
      <c r="K267" s="554">
        <f t="shared" si="60"/>
        <v>0</v>
      </c>
      <c r="L267" s="554">
        <f t="shared" si="61"/>
        <v>0</v>
      </c>
      <c r="M267" s="554">
        <f t="shared" si="62"/>
        <v>0</v>
      </c>
      <c r="N267" s="104"/>
    </row>
    <row r="268" spans="1:14" s="74" customFormat="1">
      <c r="A268" s="147"/>
      <c r="B268" s="188" t="s">
        <v>30</v>
      </c>
      <c r="C268" s="190" t="s">
        <v>23</v>
      </c>
      <c r="D268" s="242">
        <v>14563223001</v>
      </c>
      <c r="E268" s="553" t="str">
        <f>IFERROR(VLOOKUP(D268,'ВИС-2026'!$E$17:$H$2115,2,0),"")</f>
        <v>Переходник РЕХАУ с наружной резьбой 32-R 1 1/4 RX+</v>
      </c>
      <c r="F268" s="292" t="str">
        <f>IFERROR(VLOOKUP(D268,'ВИС-2026'!$E$17:$H$2115,4,0),"")</f>
        <v>шт</v>
      </c>
      <c r="G268" s="428"/>
      <c r="H268" s="554">
        <f>IFERROR(VLOOKUP(D268,'ВИС-2026'!$E$17:$K$2649,7,0),"")</f>
        <v>29.08</v>
      </c>
      <c r="I268" s="554">
        <f t="shared" si="58"/>
        <v>0</v>
      </c>
      <c r="J268" s="554">
        <f t="shared" si="59"/>
        <v>29.08</v>
      </c>
      <c r="K268" s="554">
        <f t="shared" si="60"/>
        <v>0</v>
      </c>
      <c r="L268" s="554">
        <f t="shared" si="61"/>
        <v>0</v>
      </c>
      <c r="M268" s="554">
        <f t="shared" si="62"/>
        <v>0</v>
      </c>
      <c r="N268" s="104"/>
    </row>
    <row r="269" spans="1:14" s="73" customFormat="1">
      <c r="A269" s="147"/>
      <c r="B269" s="188" t="s">
        <v>30</v>
      </c>
      <c r="C269" s="190" t="s">
        <v>23</v>
      </c>
      <c r="D269" s="242">
        <v>14563233001</v>
      </c>
      <c r="E269" s="553" t="str">
        <f>IFERROR(VLOOKUP(D269,'ВИС-2026'!$E$17:$H$2115,2,0),"")</f>
        <v>Переходник РЕХАУ с наружной резьбой 40-R 1 1/4 RX+</v>
      </c>
      <c r="F269" s="292" t="str">
        <f>IFERROR(VLOOKUP(D269,'ВИС-2026'!$E$17:$H$2115,4,0),"")</f>
        <v>шт</v>
      </c>
      <c r="G269" s="428"/>
      <c r="H269" s="554">
        <f>IFERROR(VLOOKUP(D269,'ВИС-2026'!$E$17:$K$2649,7,0),"")</f>
        <v>40.06</v>
      </c>
      <c r="I269" s="554">
        <f t="shared" si="58"/>
        <v>0</v>
      </c>
      <c r="J269" s="554">
        <f t="shared" si="59"/>
        <v>40.06</v>
      </c>
      <c r="K269" s="554">
        <f t="shared" si="60"/>
        <v>0</v>
      </c>
      <c r="L269" s="554">
        <f t="shared" si="61"/>
        <v>0</v>
      </c>
      <c r="M269" s="554">
        <f t="shared" si="62"/>
        <v>0</v>
      </c>
      <c r="N269" s="104"/>
    </row>
    <row r="270" spans="1:14">
      <c r="A270" s="147"/>
      <c r="B270" s="188"/>
      <c r="C270" s="190"/>
      <c r="D270" s="188"/>
      <c r="E270" s="210"/>
      <c r="F270" s="558" t="str">
        <f>IFERROR(VLOOKUP(D270,'ВИС-2026'!$E$17:$H$2115,5,0),"")</f>
        <v/>
      </c>
      <c r="G270" s="428"/>
      <c r="H270" s="559" t="str">
        <f>IFERROR(VLOOKUP(D270,'ВИС-2026'!$E$17:$K$2649,8,0),"")</f>
        <v/>
      </c>
      <c r="I270" s="559" t="str">
        <f t="shared" ref="I270:I322" si="63">IFERROR(H270*G270,"")</f>
        <v/>
      </c>
      <c r="J270" s="559" t="str">
        <f t="shared" ref="J270:J322" si="64">IFERROR((IF(H270="","",H270-H270*$D$7)),"")</f>
        <v/>
      </c>
      <c r="K270" s="559" t="str">
        <f t="shared" ref="K270:K322" si="65">IFERROR(J270*G270, "")</f>
        <v/>
      </c>
      <c r="L270" s="559" t="str">
        <f t="shared" ref="L270:L322" si="66">IFERROR(J270*$D$8, "")</f>
        <v/>
      </c>
      <c r="M270" s="559" t="str">
        <f t="shared" ref="M270:M322" si="67">IFERROR(L270*G270, "")</f>
        <v/>
      </c>
      <c r="N270" s="104"/>
    </row>
    <row r="271" spans="1:14" s="73" customFormat="1">
      <c r="A271" s="147"/>
      <c r="B271" s="188" t="s">
        <v>30</v>
      </c>
      <c r="C271" s="190" t="s">
        <v>23</v>
      </c>
      <c r="D271" s="188">
        <v>11096731001</v>
      </c>
      <c r="E271" s="553" t="str">
        <f>IFERROR(VLOOKUP(D271,'ВИС-2026'!$E$17:$H$2115,2,0),"")</f>
        <v>Переходник с наружной резьбой 16-R 1/2 MX</v>
      </c>
      <c r="F271" s="292" t="str">
        <f>IFERROR(VLOOKUP(D271,'ВИС-2026'!$E$17:$H$2115,4,0),"")</f>
        <v>шт</v>
      </c>
      <c r="G271" s="428"/>
      <c r="H271" s="554">
        <f>IFERROR(VLOOKUP(D271,'ВИС-2026'!$E$17:$K$2649,7,0),"")</f>
        <v>3.72</v>
      </c>
      <c r="I271" s="554">
        <f t="shared" si="63"/>
        <v>0</v>
      </c>
      <c r="J271" s="554">
        <f t="shared" si="64"/>
        <v>3.72</v>
      </c>
      <c r="K271" s="554">
        <f t="shared" si="65"/>
        <v>0</v>
      </c>
      <c r="L271" s="554">
        <f t="shared" si="66"/>
        <v>0</v>
      </c>
      <c r="M271" s="554">
        <f t="shared" si="67"/>
        <v>0</v>
      </c>
      <c r="N271" s="104"/>
    </row>
    <row r="272" spans="1:14" s="73" customFormat="1">
      <c r="A272" s="147"/>
      <c r="B272" s="188" t="s">
        <v>30</v>
      </c>
      <c r="C272" s="190" t="s">
        <v>23</v>
      </c>
      <c r="D272" s="188">
        <v>11097141001</v>
      </c>
      <c r="E272" s="553" t="str">
        <f>IFERROR(VLOOKUP(D272,'ВИС-2026'!$E$17:$H$2115,2,0),"")</f>
        <v>Переходник с наружной резьбой 16-R 3/4 MX</v>
      </c>
      <c r="F272" s="292" t="str">
        <f>IFERROR(VLOOKUP(D272,'ВИС-2026'!$E$17:$H$2115,4,0),"")</f>
        <v>шт</v>
      </c>
      <c r="G272" s="428"/>
      <c r="H272" s="554">
        <f>IFERROR(VLOOKUP(D272,'ВИС-2026'!$E$17:$K$2649,7,0),"")</f>
        <v>4.99</v>
      </c>
      <c r="I272" s="554">
        <f t="shared" si="63"/>
        <v>0</v>
      </c>
      <c r="J272" s="554">
        <f t="shared" si="64"/>
        <v>4.99</v>
      </c>
      <c r="K272" s="554">
        <f t="shared" si="65"/>
        <v>0</v>
      </c>
      <c r="L272" s="554">
        <f t="shared" si="66"/>
        <v>0</v>
      </c>
      <c r="M272" s="554">
        <f t="shared" si="67"/>
        <v>0</v>
      </c>
      <c r="N272" s="104"/>
    </row>
    <row r="273" spans="1:14" s="73" customFormat="1">
      <c r="A273" s="147"/>
      <c r="B273" s="188" t="s">
        <v>30</v>
      </c>
      <c r="C273" s="190" t="s">
        <v>23</v>
      </c>
      <c r="D273" s="246">
        <v>11093131001</v>
      </c>
      <c r="E273" s="553" t="str">
        <f>IFERROR(VLOOKUP(D273,'ВИС-2026'!$E$17:$H$2115,2,0),"")</f>
        <v>Переходник с наружной резьбой 16-R 1 MX</v>
      </c>
      <c r="F273" s="292" t="str">
        <f>IFERROR(VLOOKUP(D273,'ВИС-2026'!$E$17:$H$2115,4,0),"")</f>
        <v>шт</v>
      </c>
      <c r="G273" s="428"/>
      <c r="H273" s="554">
        <f>IFERROR(VLOOKUP(D273,'ВИС-2026'!$E$17:$K$2649,7,0),"")</f>
        <v>12.27</v>
      </c>
      <c r="I273" s="554">
        <f t="shared" si="63"/>
        <v>0</v>
      </c>
      <c r="J273" s="554">
        <f t="shared" si="64"/>
        <v>12.27</v>
      </c>
      <c r="K273" s="554">
        <f t="shared" si="65"/>
        <v>0</v>
      </c>
      <c r="L273" s="554">
        <f t="shared" si="66"/>
        <v>0</v>
      </c>
      <c r="M273" s="554">
        <f t="shared" si="67"/>
        <v>0</v>
      </c>
      <c r="N273" s="104"/>
    </row>
    <row r="274" spans="1:14" s="73" customFormat="1">
      <c r="A274" s="147"/>
      <c r="B274" s="188" t="s">
        <v>30</v>
      </c>
      <c r="C274" s="190" t="s">
        <v>23</v>
      </c>
      <c r="D274" s="264">
        <v>11096741001</v>
      </c>
      <c r="E274" s="553" t="str">
        <f>IFERROR(VLOOKUP(D274,'ВИС-2026'!$E$17:$H$2115,2,0),"")</f>
        <v>Переходник с наружной резьбой 20-R 1/2 MX</v>
      </c>
      <c r="F274" s="292" t="str">
        <f>IFERROR(VLOOKUP(D274,'ВИС-2026'!$E$17:$H$2115,4,0),"")</f>
        <v>шт</v>
      </c>
      <c r="G274" s="428"/>
      <c r="H274" s="554">
        <f>IFERROR(VLOOKUP(D274,'ВИС-2026'!$E$17:$K$2649,7,0),"")</f>
        <v>4.58</v>
      </c>
      <c r="I274" s="554">
        <f t="shared" si="63"/>
        <v>0</v>
      </c>
      <c r="J274" s="554">
        <f t="shared" si="64"/>
        <v>4.58</v>
      </c>
      <c r="K274" s="554">
        <f t="shared" si="65"/>
        <v>0</v>
      </c>
      <c r="L274" s="554">
        <f t="shared" si="66"/>
        <v>0</v>
      </c>
      <c r="M274" s="554">
        <f t="shared" si="67"/>
        <v>0</v>
      </c>
      <c r="N274" s="104"/>
    </row>
    <row r="275" spans="1:14">
      <c r="A275" s="147"/>
      <c r="B275" s="188" t="s">
        <v>30</v>
      </c>
      <c r="C275" s="190" t="s">
        <v>23</v>
      </c>
      <c r="D275" s="188">
        <v>11096811001</v>
      </c>
      <c r="E275" s="553" t="str">
        <f>IFERROR(VLOOKUP(D275,'ВИС-2026'!$E$17:$H$2115,2,0),"")</f>
        <v>Переходник с наружной резьбой 20-R 3/4 MX</v>
      </c>
      <c r="F275" s="292" t="str">
        <f>IFERROR(VLOOKUP(D275,'ВИС-2026'!$E$17:$H$2115,4,0),"")</f>
        <v>шт</v>
      </c>
      <c r="G275" s="428"/>
      <c r="H275" s="554">
        <f>IFERROR(VLOOKUP(D275,'ВИС-2026'!$E$17:$K$2649,7,0),"")</f>
        <v>6.44</v>
      </c>
      <c r="I275" s="554">
        <f t="shared" si="63"/>
        <v>0</v>
      </c>
      <c r="J275" s="554">
        <f t="shared" si="64"/>
        <v>6.44</v>
      </c>
      <c r="K275" s="554">
        <f t="shared" si="65"/>
        <v>0</v>
      </c>
      <c r="L275" s="554">
        <f t="shared" si="66"/>
        <v>0</v>
      </c>
      <c r="M275" s="554">
        <f t="shared" si="67"/>
        <v>0</v>
      </c>
      <c r="N275" s="104"/>
    </row>
    <row r="276" spans="1:14" s="73" customFormat="1">
      <c r="A276" s="147"/>
      <c r="B276" s="188" t="s">
        <v>30</v>
      </c>
      <c r="C276" s="190" t="s">
        <v>23</v>
      </c>
      <c r="D276" s="188">
        <v>11097091001</v>
      </c>
      <c r="E276" s="553" t="str">
        <f>IFERROR(VLOOKUP(D276,'ВИС-2026'!$E$17:$H$2115,2,0),"")</f>
        <v>Переходник с наружной резьбой 25-R 1/2 MX</v>
      </c>
      <c r="F276" s="292" t="str">
        <f>IFERROR(VLOOKUP(D276,'ВИС-2026'!$E$17:$H$2115,4,0),"")</f>
        <v>шт</v>
      </c>
      <c r="G276" s="428"/>
      <c r="H276" s="554">
        <f>IFERROR(VLOOKUP(D276,'ВИС-2026'!$E$17:$K$2649,7,0),"")</f>
        <v>6.7</v>
      </c>
      <c r="I276" s="554">
        <f t="shared" si="63"/>
        <v>0</v>
      </c>
      <c r="J276" s="554">
        <f t="shared" si="64"/>
        <v>6.7</v>
      </c>
      <c r="K276" s="554">
        <f t="shared" si="65"/>
        <v>0</v>
      </c>
      <c r="L276" s="554">
        <f t="shared" si="66"/>
        <v>0</v>
      </c>
      <c r="M276" s="554">
        <f t="shared" si="67"/>
        <v>0</v>
      </c>
      <c r="N276" s="104"/>
    </row>
    <row r="277" spans="1:14" s="73" customFormat="1">
      <c r="A277" s="147"/>
      <c r="B277" s="188" t="s">
        <v>30</v>
      </c>
      <c r="C277" s="190" t="s">
        <v>23</v>
      </c>
      <c r="D277" s="264">
        <v>11096821001</v>
      </c>
      <c r="E277" s="553" t="str">
        <f>IFERROR(VLOOKUP(D277,'ВИС-2026'!$E$17:$H$2115,2,0),"")</f>
        <v>Переходник с наружной резьбой 25-R 3/4 MX</v>
      </c>
      <c r="F277" s="292" t="str">
        <f>IFERROR(VLOOKUP(D277,'ВИС-2026'!$E$17:$H$2115,4,0),"")</f>
        <v>шт</v>
      </c>
      <c r="G277" s="428"/>
      <c r="H277" s="554">
        <f>IFERROR(VLOOKUP(D277,'ВИС-2026'!$E$17:$K$2649,7,0),"")</f>
        <v>7.15</v>
      </c>
      <c r="I277" s="554">
        <f t="shared" si="63"/>
        <v>0</v>
      </c>
      <c r="J277" s="554">
        <f t="shared" si="64"/>
        <v>7.15</v>
      </c>
      <c r="K277" s="554">
        <f t="shared" si="65"/>
        <v>0</v>
      </c>
      <c r="L277" s="554">
        <f t="shared" si="66"/>
        <v>0</v>
      </c>
      <c r="M277" s="554">
        <f t="shared" si="67"/>
        <v>0</v>
      </c>
      <c r="N277" s="104"/>
    </row>
    <row r="278" spans="1:14" s="73" customFormat="1">
      <c r="A278" s="147"/>
      <c r="B278" s="188" t="s">
        <v>30</v>
      </c>
      <c r="C278" s="190" t="s">
        <v>23</v>
      </c>
      <c r="D278" s="188">
        <v>11096861001</v>
      </c>
      <c r="E278" s="553" t="str">
        <f>IFERROR(VLOOKUP(D278,'ВИС-2026'!$E$17:$H$2115,2,0),"")</f>
        <v>Переходник с наружной резьбой 25-R 1 MX</v>
      </c>
      <c r="F278" s="292" t="str">
        <f>IFERROR(VLOOKUP(D278,'ВИС-2026'!$E$17:$H$2115,4,0),"")</f>
        <v>шт</v>
      </c>
      <c r="G278" s="428"/>
      <c r="H278" s="554">
        <f>IFERROR(VLOOKUP(D278,'ВИС-2026'!$E$17:$K$2649,7,0),"")</f>
        <v>10.91</v>
      </c>
      <c r="I278" s="554">
        <f t="shared" si="63"/>
        <v>0</v>
      </c>
      <c r="J278" s="554">
        <f t="shared" si="64"/>
        <v>10.91</v>
      </c>
      <c r="K278" s="554">
        <f t="shared" si="65"/>
        <v>0</v>
      </c>
      <c r="L278" s="554">
        <f t="shared" si="66"/>
        <v>0</v>
      </c>
      <c r="M278" s="554">
        <f t="shared" si="67"/>
        <v>0</v>
      </c>
      <c r="N278" s="104"/>
    </row>
    <row r="279" spans="1:14" s="73" customFormat="1">
      <c r="A279" s="147"/>
      <c r="B279" s="188" t="s">
        <v>30</v>
      </c>
      <c r="C279" s="190" t="s">
        <v>23</v>
      </c>
      <c r="D279" s="188">
        <v>11093201001</v>
      </c>
      <c r="E279" s="553" t="str">
        <f>IFERROR(VLOOKUP(D279,'ВИС-2026'!$E$17:$H$2115,2,0),"")</f>
        <v>Переходник с наружной резьбой 32-R 3/4 MX</v>
      </c>
      <c r="F279" s="292" t="str">
        <f>IFERROR(VLOOKUP(D279,'ВИС-2026'!$E$17:$H$2115,4,0),"")</f>
        <v>шт</v>
      </c>
      <c r="G279" s="428"/>
      <c r="H279" s="554">
        <f>IFERROR(VLOOKUP(D279,'ВИС-2026'!$E$17:$K$2649,7,0),"")</f>
        <v>12.61</v>
      </c>
      <c r="I279" s="554">
        <f t="shared" si="63"/>
        <v>0</v>
      </c>
      <c r="J279" s="554">
        <f t="shared" si="64"/>
        <v>12.61</v>
      </c>
      <c r="K279" s="554">
        <f t="shared" si="65"/>
        <v>0</v>
      </c>
      <c r="L279" s="554">
        <f t="shared" si="66"/>
        <v>0</v>
      </c>
      <c r="M279" s="554">
        <f t="shared" si="67"/>
        <v>0</v>
      </c>
      <c r="N279" s="104"/>
    </row>
    <row r="280" spans="1:14" s="73" customFormat="1">
      <c r="A280" s="147"/>
      <c r="B280" s="188" t="s">
        <v>30</v>
      </c>
      <c r="C280" s="190" t="s">
        <v>23</v>
      </c>
      <c r="D280" s="188">
        <v>11096911001</v>
      </c>
      <c r="E280" s="553" t="str">
        <f>IFERROR(VLOOKUP(D280,'ВИС-2026'!$E$17:$H$2115,2,0),"")</f>
        <v>Переходник с наружной резьбой 32-R 1 MX</v>
      </c>
      <c r="F280" s="292" t="str">
        <f>IFERROR(VLOOKUP(D280,'ВИС-2026'!$E$17:$H$2115,4,0),"")</f>
        <v>шт</v>
      </c>
      <c r="G280" s="428"/>
      <c r="H280" s="554">
        <f>IFERROR(VLOOKUP(D280,'ВИС-2026'!$E$17:$K$2649,7,0),"")</f>
        <v>12.61</v>
      </c>
      <c r="I280" s="554">
        <f t="shared" si="63"/>
        <v>0</v>
      </c>
      <c r="J280" s="554">
        <f t="shared" si="64"/>
        <v>12.61</v>
      </c>
      <c r="K280" s="554">
        <f t="shared" si="65"/>
        <v>0</v>
      </c>
      <c r="L280" s="554">
        <f t="shared" si="66"/>
        <v>0</v>
      </c>
      <c r="M280" s="554">
        <f t="shared" si="67"/>
        <v>0</v>
      </c>
      <c r="N280" s="104"/>
    </row>
    <row r="281" spans="1:14">
      <c r="A281" s="147"/>
      <c r="B281" s="188" t="s">
        <v>30</v>
      </c>
      <c r="C281" s="190" t="s">
        <v>23</v>
      </c>
      <c r="D281" s="246">
        <v>11093231001</v>
      </c>
      <c r="E281" s="553" t="str">
        <f>IFERROR(VLOOKUP(D281,'ВИС-2026'!$E$17:$H$2115,2,0),"")</f>
        <v>Переходник с наружной резьбой 40-R 1 1/4 MX</v>
      </c>
      <c r="F281" s="292" t="str">
        <f>IFERROR(VLOOKUP(D281,'ВИС-2026'!$E$17:$H$2115,4,0),"")</f>
        <v>шт</v>
      </c>
      <c r="G281" s="428"/>
      <c r="H281" s="554">
        <f>IFERROR(VLOOKUP(D281,'ВИС-2026'!$E$17:$K$2649,7,0),"")</f>
        <v>32.880000000000003</v>
      </c>
      <c r="I281" s="554">
        <f t="shared" si="63"/>
        <v>0</v>
      </c>
      <c r="J281" s="554">
        <f t="shared" si="64"/>
        <v>32.880000000000003</v>
      </c>
      <c r="K281" s="554">
        <f t="shared" si="65"/>
        <v>0</v>
      </c>
      <c r="L281" s="554">
        <f t="shared" si="66"/>
        <v>0</v>
      </c>
      <c r="M281" s="554">
        <f t="shared" si="67"/>
        <v>0</v>
      </c>
      <c r="N281" s="104"/>
    </row>
    <row r="282" spans="1:14" s="73" customFormat="1">
      <c r="A282" s="147"/>
      <c r="B282" s="188" t="s">
        <v>30</v>
      </c>
      <c r="C282" s="190" t="s">
        <v>23</v>
      </c>
      <c r="D282" s="246">
        <v>11093241001</v>
      </c>
      <c r="E282" s="553" t="str">
        <f>IFERROR(VLOOKUP(D282,'ВИС-2026'!$E$17:$H$2115,2,0),"")</f>
        <v>Переходник с наружной резьбой 50-R 1 1/4 MX</v>
      </c>
      <c r="F282" s="292" t="str">
        <f>IFERROR(VLOOKUP(D282,'ВИС-2026'!$E$17:$H$2115,4,0),"")</f>
        <v>шт</v>
      </c>
      <c r="G282" s="428"/>
      <c r="H282" s="554">
        <f>IFERROR(VLOOKUP(D282,'ВИС-2026'!$E$17:$K$2649,7,0),"")</f>
        <v>53.81</v>
      </c>
      <c r="I282" s="554">
        <f t="shared" si="63"/>
        <v>0</v>
      </c>
      <c r="J282" s="554">
        <f t="shared" si="64"/>
        <v>53.81</v>
      </c>
      <c r="K282" s="554">
        <f t="shared" si="65"/>
        <v>0</v>
      </c>
      <c r="L282" s="554">
        <f t="shared" si="66"/>
        <v>0</v>
      </c>
      <c r="M282" s="554">
        <f t="shared" si="67"/>
        <v>0</v>
      </c>
      <c r="N282" s="104"/>
    </row>
    <row r="283" spans="1:14" s="73" customFormat="1">
      <c r="A283" s="147"/>
      <c r="B283" s="188" t="s">
        <v>30</v>
      </c>
      <c r="C283" s="190" t="s">
        <v>23</v>
      </c>
      <c r="D283" s="246">
        <v>11093251001</v>
      </c>
      <c r="E283" s="553" t="str">
        <f>IFERROR(VLOOKUP(D283,'ВИС-2026'!$E$17:$H$2115,2,0),"")</f>
        <v>Переходник с наружной резьбой 50-R 1 1/2 MX</v>
      </c>
      <c r="F283" s="292" t="str">
        <f>IFERROR(VLOOKUP(D283,'ВИС-2026'!$E$17:$H$2115,4,0),"")</f>
        <v>шт</v>
      </c>
      <c r="G283" s="428"/>
      <c r="H283" s="554">
        <f>IFERROR(VLOOKUP(D283,'ВИС-2026'!$E$17:$K$2649,7,0),"")</f>
        <v>54.18</v>
      </c>
      <c r="I283" s="554">
        <f t="shared" si="63"/>
        <v>0</v>
      </c>
      <c r="J283" s="554">
        <f t="shared" si="64"/>
        <v>54.18</v>
      </c>
      <c r="K283" s="554">
        <f t="shared" si="65"/>
        <v>0</v>
      </c>
      <c r="L283" s="554">
        <f t="shared" si="66"/>
        <v>0</v>
      </c>
      <c r="M283" s="554">
        <f t="shared" si="67"/>
        <v>0</v>
      </c>
      <c r="N283" s="104"/>
    </row>
    <row r="284" spans="1:14" s="73" customFormat="1">
      <c r="A284" s="147"/>
      <c r="B284" s="188" t="s">
        <v>30</v>
      </c>
      <c r="C284" s="190" t="s">
        <v>23</v>
      </c>
      <c r="D284" s="246">
        <v>11093261001</v>
      </c>
      <c r="E284" s="553" t="str">
        <f>IFERROR(VLOOKUP(D284,'ВИС-2026'!$E$17:$H$2115,2,0),"")</f>
        <v>Переходник с наружной резьбой 63-R 2 MX</v>
      </c>
      <c r="F284" s="292" t="str">
        <f>IFERROR(VLOOKUP(D284,'ВИС-2026'!$E$17:$H$2115,4,0),"")</f>
        <v>шт</v>
      </c>
      <c r="G284" s="428"/>
      <c r="H284" s="554">
        <f>IFERROR(VLOOKUP(D284,'ВИС-2026'!$E$17:$K$2649,7,0),"")</f>
        <v>81.13</v>
      </c>
      <c r="I284" s="554">
        <f t="shared" si="63"/>
        <v>0</v>
      </c>
      <c r="J284" s="554">
        <f t="shared" si="64"/>
        <v>81.13</v>
      </c>
      <c r="K284" s="554">
        <f t="shared" si="65"/>
        <v>0</v>
      </c>
      <c r="L284" s="554">
        <f t="shared" si="66"/>
        <v>0</v>
      </c>
      <c r="M284" s="554">
        <f t="shared" si="67"/>
        <v>0</v>
      </c>
      <c r="N284" s="104"/>
    </row>
    <row r="285" spans="1:14" s="73" customFormat="1">
      <c r="A285" s="147"/>
      <c r="B285" s="240"/>
      <c r="C285" s="247"/>
      <c r="D285" s="188"/>
      <c r="E285" s="210"/>
      <c r="F285" s="292" t="str">
        <f>IFERROR(VLOOKUP(D285,'ВИС-2026'!$E$17:$H$2115,5,0),"")</f>
        <v/>
      </c>
      <c r="G285" s="428"/>
      <c r="H285" s="554" t="str">
        <f>IFERROR(VLOOKUP(D285,'ВИС-2026'!$E$17:$K$2649,8,0),"")</f>
        <v/>
      </c>
      <c r="I285" s="554" t="str">
        <f t="shared" si="63"/>
        <v/>
      </c>
      <c r="J285" s="554" t="str">
        <f t="shared" si="64"/>
        <v/>
      </c>
      <c r="K285" s="554" t="str">
        <f t="shared" si="65"/>
        <v/>
      </c>
      <c r="L285" s="554" t="str">
        <f t="shared" si="66"/>
        <v/>
      </c>
      <c r="M285" s="554" t="str">
        <f t="shared" si="67"/>
        <v/>
      </c>
      <c r="N285" s="104"/>
    </row>
    <row r="286" spans="1:14" s="73" customFormat="1" ht="30.6">
      <c r="A286" s="148" t="s">
        <v>25</v>
      </c>
      <c r="B286" s="208" t="s">
        <v>26</v>
      </c>
      <c r="C286" s="238" t="s">
        <v>23</v>
      </c>
      <c r="D286" s="188">
        <v>14563131001</v>
      </c>
      <c r="E286" s="553" t="str">
        <f>IFERROR(VLOOKUP(D286,'ВИС-2026'!$E$17:$H$2115,2,0),"")</f>
        <v>Переходник с наружной резьбой 16-R 1 RX+</v>
      </c>
      <c r="F286" s="292" t="str">
        <f>IFERROR(VLOOKUP(D286,'ВИС-2026'!$E$17:$H$2115,4,0),"")</f>
        <v>шт</v>
      </c>
      <c r="G286" s="428"/>
      <c r="H286" s="554">
        <f>IFERROR(VLOOKUP(D286,'ВИС-2026'!$E$17:$K$2649,7,0),"")</f>
        <v>14.07</v>
      </c>
      <c r="I286" s="554">
        <f t="shared" si="63"/>
        <v>0</v>
      </c>
      <c r="J286" s="554">
        <f t="shared" si="64"/>
        <v>14.07</v>
      </c>
      <c r="K286" s="554">
        <f t="shared" si="65"/>
        <v>0</v>
      </c>
      <c r="L286" s="554">
        <f t="shared" si="66"/>
        <v>0</v>
      </c>
      <c r="M286" s="554">
        <f t="shared" si="67"/>
        <v>0</v>
      </c>
      <c r="N286" s="104"/>
    </row>
    <row r="287" spans="1:14" ht="30.6">
      <c r="A287" s="148" t="s">
        <v>25</v>
      </c>
      <c r="B287" s="208" t="s">
        <v>26</v>
      </c>
      <c r="C287" s="238" t="s">
        <v>23</v>
      </c>
      <c r="D287" s="188">
        <v>14563171001</v>
      </c>
      <c r="E287" s="553" t="str">
        <f>IFERROR(VLOOKUP(D287,'ВИС-2026'!$E$17:$H$2115,2,0),"")</f>
        <v>Переходник с наружной резьбой 25-R 1/2 RX+</v>
      </c>
      <c r="F287" s="292" t="str">
        <f>IFERROR(VLOOKUP(D287,'ВИС-2026'!$E$17:$H$2115,4,0),"")</f>
        <v>шт</v>
      </c>
      <c r="G287" s="428"/>
      <c r="H287" s="554">
        <f>IFERROR(VLOOKUP(D287,'ВИС-2026'!$E$17:$K$2649,7,0),"")</f>
        <v>10.220000000000001</v>
      </c>
      <c r="I287" s="554">
        <f t="shared" si="63"/>
        <v>0</v>
      </c>
      <c r="J287" s="554">
        <f t="shared" si="64"/>
        <v>10.220000000000001</v>
      </c>
      <c r="K287" s="554">
        <f t="shared" si="65"/>
        <v>0</v>
      </c>
      <c r="L287" s="554">
        <f t="shared" si="66"/>
        <v>0</v>
      </c>
      <c r="M287" s="554">
        <f t="shared" si="67"/>
        <v>0</v>
      </c>
      <c r="N287" s="104"/>
    </row>
    <row r="288" spans="1:14" s="73" customFormat="1">
      <c r="A288" s="147"/>
      <c r="B288" s="267"/>
      <c r="C288" s="247"/>
      <c r="D288" s="188"/>
      <c r="E288" s="210"/>
      <c r="F288" s="292" t="str">
        <f>IFERROR(VLOOKUP(D288,'ВИС-2026'!$E$17:$H$2115,5,0),"")</f>
        <v/>
      </c>
      <c r="G288" s="428"/>
      <c r="H288" s="554" t="str">
        <f>IFERROR(VLOOKUP(D288,'ВИС-2026'!$E$17:$K$2649,8,0),"")</f>
        <v/>
      </c>
      <c r="I288" s="554" t="str">
        <f t="shared" si="63"/>
        <v/>
      </c>
      <c r="J288" s="554" t="str">
        <f t="shared" si="64"/>
        <v/>
      </c>
      <c r="K288" s="554" t="str">
        <f t="shared" si="65"/>
        <v/>
      </c>
      <c r="L288" s="554" t="str">
        <f t="shared" si="66"/>
        <v/>
      </c>
      <c r="M288" s="554" t="str">
        <f t="shared" si="67"/>
        <v/>
      </c>
      <c r="N288" s="104"/>
    </row>
    <row r="289" spans="1:14">
      <c r="A289" s="147"/>
      <c r="B289" s="188" t="s">
        <v>30</v>
      </c>
      <c r="C289" s="190" t="s">
        <v>23</v>
      </c>
      <c r="D289" s="242">
        <v>14563273001</v>
      </c>
      <c r="E289" s="553" t="str">
        <f>IFERROR(VLOOKUP(D289,'ВИС-2026'!$E$17:$H$2115,2,0),"")</f>
        <v>Переходник РЕХАУ с внутренней резьбой 16-Rp 1/2 RX+</v>
      </c>
      <c r="F289" s="292" t="str">
        <f>IFERROR(VLOOKUP(D289,'ВИС-2026'!$E$17:$H$2115,4,0),"")</f>
        <v>шт</v>
      </c>
      <c r="G289" s="428"/>
      <c r="H289" s="554">
        <f>IFERROR(VLOOKUP(D289,'ВИС-2026'!$E$17:$K$2649,7,0),"")</f>
        <v>7.02</v>
      </c>
      <c r="I289" s="554">
        <f t="shared" si="63"/>
        <v>0</v>
      </c>
      <c r="J289" s="554">
        <f t="shared" si="64"/>
        <v>7.02</v>
      </c>
      <c r="K289" s="554">
        <f t="shared" si="65"/>
        <v>0</v>
      </c>
      <c r="L289" s="554">
        <f t="shared" si="66"/>
        <v>0</v>
      </c>
      <c r="M289" s="554">
        <f t="shared" si="67"/>
        <v>0</v>
      </c>
      <c r="N289" s="104"/>
    </row>
    <row r="290" spans="1:14" s="73" customFormat="1">
      <c r="A290" s="147"/>
      <c r="B290" s="188" t="s">
        <v>30</v>
      </c>
      <c r="C290" s="190" t="s">
        <v>23</v>
      </c>
      <c r="D290" s="242">
        <v>14563283001</v>
      </c>
      <c r="E290" s="553" t="str">
        <f>IFERROR(VLOOKUP(D290,'ВИС-2026'!$E$17:$H$2115,2,0),"")</f>
        <v>Переходник РЕХАУ с внутренней резьбой 20-Rp 1/2 RX+</v>
      </c>
      <c r="F290" s="292" t="str">
        <f>IFERROR(VLOOKUP(D290,'ВИС-2026'!$E$17:$H$2115,4,0),"")</f>
        <v>шт</v>
      </c>
      <c r="G290" s="428"/>
      <c r="H290" s="554">
        <f>IFERROR(VLOOKUP(D290,'ВИС-2026'!$E$17:$K$2649,7,0),"")</f>
        <v>7.76</v>
      </c>
      <c r="I290" s="554">
        <f t="shared" si="63"/>
        <v>0</v>
      </c>
      <c r="J290" s="554">
        <f t="shared" si="64"/>
        <v>7.76</v>
      </c>
      <c r="K290" s="554">
        <f t="shared" si="65"/>
        <v>0</v>
      </c>
      <c r="L290" s="554">
        <f t="shared" si="66"/>
        <v>0</v>
      </c>
      <c r="M290" s="554">
        <f t="shared" si="67"/>
        <v>0</v>
      </c>
      <c r="N290" s="104"/>
    </row>
    <row r="291" spans="1:14" s="73" customFormat="1">
      <c r="A291" s="147"/>
      <c r="B291" s="188" t="s">
        <v>30</v>
      </c>
      <c r="C291" s="190" t="s">
        <v>23</v>
      </c>
      <c r="D291" s="242">
        <v>14563293001</v>
      </c>
      <c r="E291" s="553" t="str">
        <f>IFERROR(VLOOKUP(D291,'ВИС-2026'!$E$17:$H$2115,2,0),"")</f>
        <v>Переходник РЕХАУ с внутренней резьбой 20-Rp 3/4 RX+</v>
      </c>
      <c r="F291" s="292" t="str">
        <f>IFERROR(VLOOKUP(D291,'ВИС-2026'!$E$17:$H$2115,4,0),"")</f>
        <v>шт</v>
      </c>
      <c r="G291" s="428"/>
      <c r="H291" s="554">
        <f>IFERROR(VLOOKUP(D291,'ВИС-2026'!$E$17:$K$2649,7,0),"")</f>
        <v>11.49</v>
      </c>
      <c r="I291" s="554">
        <f t="shared" si="63"/>
        <v>0</v>
      </c>
      <c r="J291" s="554">
        <f t="shared" si="64"/>
        <v>11.49</v>
      </c>
      <c r="K291" s="554">
        <f t="shared" si="65"/>
        <v>0</v>
      </c>
      <c r="L291" s="554">
        <f t="shared" si="66"/>
        <v>0</v>
      </c>
      <c r="M291" s="554">
        <f t="shared" si="67"/>
        <v>0</v>
      </c>
      <c r="N291" s="104"/>
    </row>
    <row r="292" spans="1:14" s="73" customFormat="1">
      <c r="A292" s="147"/>
      <c r="B292" s="188" t="s">
        <v>30</v>
      </c>
      <c r="C292" s="190" t="s">
        <v>23</v>
      </c>
      <c r="D292" s="242">
        <v>14563303001</v>
      </c>
      <c r="E292" s="553" t="str">
        <f>IFERROR(VLOOKUP(D292,'ВИС-2026'!$E$17:$H$2115,2,0),"")</f>
        <v>Переходник РЕХАУ с внутренней резьбой 25-Rp 1/2 RX+</v>
      </c>
      <c r="F292" s="292" t="str">
        <f>IFERROR(VLOOKUP(D292,'ВИС-2026'!$E$17:$H$2115,4,0),"")</f>
        <v>шт</v>
      </c>
      <c r="G292" s="428"/>
      <c r="H292" s="554">
        <f>IFERROR(VLOOKUP(D292,'ВИС-2026'!$E$17:$K$2649,7,0),"")</f>
        <v>12.98</v>
      </c>
      <c r="I292" s="554">
        <f t="shared" si="63"/>
        <v>0</v>
      </c>
      <c r="J292" s="554">
        <f t="shared" si="64"/>
        <v>12.98</v>
      </c>
      <c r="K292" s="554">
        <f t="shared" si="65"/>
        <v>0</v>
      </c>
      <c r="L292" s="554">
        <f t="shared" si="66"/>
        <v>0</v>
      </c>
      <c r="M292" s="554">
        <f t="shared" si="67"/>
        <v>0</v>
      </c>
      <c r="N292" s="104"/>
    </row>
    <row r="293" spans="1:14" s="73" customFormat="1">
      <c r="A293" s="147"/>
      <c r="B293" s="188" t="s">
        <v>30</v>
      </c>
      <c r="C293" s="190" t="s">
        <v>23</v>
      </c>
      <c r="D293" s="242">
        <v>14563313001</v>
      </c>
      <c r="E293" s="553" t="str">
        <f>IFERROR(VLOOKUP(D293,'ВИС-2026'!$E$17:$H$2115,2,0),"")</f>
        <v>Переходник РЕХАУ с внутренней резьбой 25-Rp 3/4 RX+</v>
      </c>
      <c r="F293" s="292" t="str">
        <f>IFERROR(VLOOKUP(D293,'ВИС-2026'!$E$17:$H$2115,4,0),"")</f>
        <v>шт</v>
      </c>
      <c r="G293" s="428"/>
      <c r="H293" s="554">
        <f>IFERROR(VLOOKUP(D293,'ВИС-2026'!$E$17:$K$2649,7,0),"")</f>
        <v>12.98</v>
      </c>
      <c r="I293" s="554">
        <f t="shared" si="63"/>
        <v>0</v>
      </c>
      <c r="J293" s="554">
        <f t="shared" si="64"/>
        <v>12.98</v>
      </c>
      <c r="K293" s="554">
        <f t="shared" si="65"/>
        <v>0</v>
      </c>
      <c r="L293" s="554">
        <f t="shared" si="66"/>
        <v>0</v>
      </c>
      <c r="M293" s="554">
        <f t="shared" si="67"/>
        <v>0</v>
      </c>
      <c r="N293" s="104"/>
    </row>
    <row r="294" spans="1:14">
      <c r="A294" s="147"/>
      <c r="B294" s="188" t="s">
        <v>30</v>
      </c>
      <c r="C294" s="190" t="s">
        <v>23</v>
      </c>
      <c r="D294" s="242">
        <v>14564083001</v>
      </c>
      <c r="E294" s="553" t="str">
        <f>IFERROR(VLOOKUP(D294,'ВИС-2026'!$E$17:$H$2115,2,0),"")</f>
        <v>Переходник РЕХАУ с внутренней резьбой 25-Rp 1 RX+</v>
      </c>
      <c r="F294" s="292" t="str">
        <f>IFERROR(VLOOKUP(D294,'ВИС-2026'!$E$17:$H$2115,4,0),"")</f>
        <v>шт</v>
      </c>
      <c r="G294" s="428"/>
      <c r="H294" s="554">
        <f>IFERROR(VLOOKUP(D294,'ВИС-2026'!$E$17:$K$2649,7,0),"")</f>
        <v>16.97</v>
      </c>
      <c r="I294" s="554">
        <f t="shared" si="63"/>
        <v>0</v>
      </c>
      <c r="J294" s="554">
        <f t="shared" si="64"/>
        <v>16.97</v>
      </c>
      <c r="K294" s="554">
        <f t="shared" si="65"/>
        <v>0</v>
      </c>
      <c r="L294" s="554">
        <f t="shared" si="66"/>
        <v>0</v>
      </c>
      <c r="M294" s="554">
        <f t="shared" si="67"/>
        <v>0</v>
      </c>
      <c r="N294" s="104"/>
    </row>
    <row r="295" spans="1:14" s="73" customFormat="1">
      <c r="A295" s="147"/>
      <c r="B295" s="188" t="s">
        <v>30</v>
      </c>
      <c r="C295" s="190" t="s">
        <v>23</v>
      </c>
      <c r="D295" s="242">
        <v>14563323001</v>
      </c>
      <c r="E295" s="553" t="str">
        <f>IFERROR(VLOOKUP(D295,'ВИС-2026'!$E$17:$H$2115,2,0),"")</f>
        <v>Переходник РЕХАУ с внутренней резьбой 32-Rp 3/4 RX+</v>
      </c>
      <c r="F295" s="292" t="str">
        <f>IFERROR(VLOOKUP(D295,'ВИС-2026'!$E$17:$H$2115,4,0),"")</f>
        <v>шт</v>
      </c>
      <c r="G295" s="428"/>
      <c r="H295" s="554">
        <f>IFERROR(VLOOKUP(D295,'ВИС-2026'!$E$17:$K$2649,7,0),"")</f>
        <v>22.31</v>
      </c>
      <c r="I295" s="554">
        <f t="shared" si="63"/>
        <v>0</v>
      </c>
      <c r="J295" s="554">
        <f t="shared" si="64"/>
        <v>22.31</v>
      </c>
      <c r="K295" s="554">
        <f t="shared" si="65"/>
        <v>0</v>
      </c>
      <c r="L295" s="554">
        <f t="shared" si="66"/>
        <v>0</v>
      </c>
      <c r="M295" s="554">
        <f t="shared" si="67"/>
        <v>0</v>
      </c>
      <c r="N295" s="104"/>
    </row>
    <row r="296" spans="1:14" s="73" customFormat="1">
      <c r="A296" s="147"/>
      <c r="B296" s="188" t="s">
        <v>30</v>
      </c>
      <c r="C296" s="190" t="s">
        <v>23</v>
      </c>
      <c r="D296" s="242">
        <v>14563333001</v>
      </c>
      <c r="E296" s="553" t="str">
        <f>IFERROR(VLOOKUP(D296,'ВИС-2026'!$E$17:$H$2115,2,0),"")</f>
        <v>Переходник РЕХАУ с внутренней резьбой 32-Rр 1 RX+</v>
      </c>
      <c r="F296" s="292" t="str">
        <f>IFERROR(VLOOKUP(D296,'ВИС-2026'!$E$17:$H$2115,4,0),"")</f>
        <v>шт</v>
      </c>
      <c r="G296" s="428"/>
      <c r="H296" s="554">
        <f>IFERROR(VLOOKUP(D296,'ВИС-2026'!$E$17:$K$2649,7,0),"")</f>
        <v>22.31</v>
      </c>
      <c r="I296" s="554">
        <f t="shared" si="63"/>
        <v>0</v>
      </c>
      <c r="J296" s="554">
        <f t="shared" si="64"/>
        <v>22.31</v>
      </c>
      <c r="K296" s="554">
        <f t="shared" si="65"/>
        <v>0</v>
      </c>
      <c r="L296" s="554">
        <f t="shared" si="66"/>
        <v>0</v>
      </c>
      <c r="M296" s="554">
        <f t="shared" si="67"/>
        <v>0</v>
      </c>
      <c r="N296" s="104"/>
    </row>
    <row r="297" spans="1:14">
      <c r="A297" s="147"/>
      <c r="B297" s="188" t="s">
        <v>30</v>
      </c>
      <c r="C297" s="190" t="s">
        <v>23</v>
      </c>
      <c r="D297" s="242">
        <v>14563343001</v>
      </c>
      <c r="E297" s="553" t="str">
        <f>IFERROR(VLOOKUP(D297,'ВИС-2026'!$E$17:$H$2115,2,0),"")</f>
        <v>Переходник РЕХАУ с внутренней резьбой 40-Rр 1 1/4 RX+</v>
      </c>
      <c r="F297" s="292" t="str">
        <f>IFERROR(VLOOKUP(D297,'ВИС-2026'!$E$17:$H$2115,4,0),"")</f>
        <v>шт</v>
      </c>
      <c r="G297" s="428"/>
      <c r="H297" s="554">
        <f>IFERROR(VLOOKUP(D297,'ВИС-2026'!$E$17:$K$2649,7,0),"")</f>
        <v>51.9</v>
      </c>
      <c r="I297" s="554">
        <f t="shared" si="63"/>
        <v>0</v>
      </c>
      <c r="J297" s="554">
        <f t="shared" si="64"/>
        <v>51.9</v>
      </c>
      <c r="K297" s="554">
        <f t="shared" si="65"/>
        <v>0</v>
      </c>
      <c r="L297" s="554">
        <f t="shared" si="66"/>
        <v>0</v>
      </c>
      <c r="M297" s="554">
        <f t="shared" si="67"/>
        <v>0</v>
      </c>
      <c r="N297" s="104"/>
    </row>
    <row r="298" spans="1:14" s="73" customFormat="1">
      <c r="A298" s="147"/>
      <c r="B298" s="267"/>
      <c r="C298" s="247"/>
      <c r="D298" s="188"/>
      <c r="E298" s="210"/>
      <c r="F298" s="292" t="str">
        <f>IFERROR(VLOOKUP(D298,'ВИС-2026'!$E$17:$H$2115,5,0),"")</f>
        <v/>
      </c>
      <c r="G298" s="428"/>
      <c r="H298" s="554" t="str">
        <f>IFERROR(VLOOKUP(D298,'ВИС-2026'!$E$17:$K$2649,8,0),"")</f>
        <v/>
      </c>
      <c r="I298" s="554" t="str">
        <f t="shared" si="63"/>
        <v/>
      </c>
      <c r="J298" s="554" t="str">
        <f t="shared" si="64"/>
        <v/>
      </c>
      <c r="K298" s="554" t="str">
        <f t="shared" si="65"/>
        <v/>
      </c>
      <c r="L298" s="554" t="str">
        <f t="shared" si="66"/>
        <v/>
      </c>
      <c r="M298" s="554" t="str">
        <f t="shared" si="67"/>
        <v/>
      </c>
      <c r="N298" s="104"/>
    </row>
    <row r="299" spans="1:14" s="73" customFormat="1">
      <c r="A299" s="147"/>
      <c r="B299" s="188" t="s">
        <v>30</v>
      </c>
      <c r="C299" s="238" t="s">
        <v>23</v>
      </c>
      <c r="D299" s="188">
        <v>11096791001</v>
      </c>
      <c r="E299" s="553" t="str">
        <f>IFERROR(VLOOKUP(D299,'ВИС-2026'!$E$17:$H$2115,2,0),"")</f>
        <v>Переходник с внутренней резьбой 16-Rp 1/2 MX</v>
      </c>
      <c r="F299" s="292" t="str">
        <f>IFERROR(VLOOKUP(D299,'ВИС-2026'!$E$17:$H$2115,4,0),"")</f>
        <v>шт</v>
      </c>
      <c r="G299" s="428"/>
      <c r="H299" s="554">
        <f>IFERROR(VLOOKUP(D299,'ВИС-2026'!$E$17:$K$2649,7,0),"")</f>
        <v>4.47</v>
      </c>
      <c r="I299" s="554">
        <f t="shared" si="63"/>
        <v>0</v>
      </c>
      <c r="J299" s="554">
        <f t="shared" si="64"/>
        <v>4.47</v>
      </c>
      <c r="K299" s="554">
        <f t="shared" si="65"/>
        <v>0</v>
      </c>
      <c r="L299" s="554">
        <f t="shared" si="66"/>
        <v>0</v>
      </c>
      <c r="M299" s="554">
        <f t="shared" si="67"/>
        <v>0</v>
      </c>
      <c r="N299" s="104"/>
    </row>
    <row r="300" spans="1:14" s="74" customFormat="1">
      <c r="A300" s="147"/>
      <c r="B300" s="188" t="s">
        <v>30</v>
      </c>
      <c r="C300" s="238" t="s">
        <v>23</v>
      </c>
      <c r="D300" s="188">
        <v>11096841001</v>
      </c>
      <c r="E300" s="553" t="str">
        <f>IFERROR(VLOOKUP(D300,'ВИС-2026'!$E$17:$H$2115,2,0),"")</f>
        <v>Переходник с внутренней резьбой 20-Rp 1/2 MX</v>
      </c>
      <c r="F300" s="292" t="str">
        <f>IFERROR(VLOOKUP(D300,'ВИС-2026'!$E$17:$H$2115,4,0),"")</f>
        <v>шт</v>
      </c>
      <c r="G300" s="428"/>
      <c r="H300" s="554">
        <f>IFERROR(VLOOKUP(D300,'ВИС-2026'!$E$17:$K$2649,7,0),"")</f>
        <v>4.9400000000000004</v>
      </c>
      <c r="I300" s="554">
        <f t="shared" si="63"/>
        <v>0</v>
      </c>
      <c r="J300" s="554">
        <f t="shared" si="64"/>
        <v>4.9400000000000004</v>
      </c>
      <c r="K300" s="554">
        <f t="shared" si="65"/>
        <v>0</v>
      </c>
      <c r="L300" s="554">
        <f t="shared" si="66"/>
        <v>0</v>
      </c>
      <c r="M300" s="554">
        <f t="shared" si="67"/>
        <v>0</v>
      </c>
      <c r="N300" s="104"/>
    </row>
    <row r="301" spans="1:14">
      <c r="A301" s="147"/>
      <c r="B301" s="188" t="s">
        <v>30</v>
      </c>
      <c r="C301" s="238" t="s">
        <v>23</v>
      </c>
      <c r="D301" s="188">
        <v>11096921001</v>
      </c>
      <c r="E301" s="553" t="str">
        <f>IFERROR(VLOOKUP(D301,'ВИС-2026'!$E$17:$H$2115,2,0),"")</f>
        <v>Переходник с внутренней резьбой 20-Rp 3/4 MX</v>
      </c>
      <c r="F301" s="292" t="str">
        <f>IFERROR(VLOOKUP(D301,'ВИС-2026'!$E$17:$H$2115,4,0),"")</f>
        <v>шт</v>
      </c>
      <c r="G301" s="428"/>
      <c r="H301" s="554">
        <f>IFERROR(VLOOKUP(D301,'ВИС-2026'!$E$17:$K$2649,7,0),"")</f>
        <v>7.32</v>
      </c>
      <c r="I301" s="554">
        <f t="shared" si="63"/>
        <v>0</v>
      </c>
      <c r="J301" s="554">
        <f t="shared" si="64"/>
        <v>7.32</v>
      </c>
      <c r="K301" s="554">
        <f t="shared" si="65"/>
        <v>0</v>
      </c>
      <c r="L301" s="554">
        <f t="shared" si="66"/>
        <v>0</v>
      </c>
      <c r="M301" s="554">
        <f t="shared" si="67"/>
        <v>0</v>
      </c>
      <c r="N301" s="104"/>
    </row>
    <row r="302" spans="1:14">
      <c r="A302" s="147"/>
      <c r="B302" s="188" t="s">
        <v>30</v>
      </c>
      <c r="C302" s="238" t="s">
        <v>23</v>
      </c>
      <c r="D302" s="188">
        <v>11093301001</v>
      </c>
      <c r="E302" s="553" t="str">
        <f>IFERROR(VLOOKUP(D302,'ВИС-2026'!$E$17:$H$2115,2,0),"")</f>
        <v>Переходник с внутренней резьбой 25-Rp 1/2 MX</v>
      </c>
      <c r="F302" s="292" t="str">
        <f>IFERROR(VLOOKUP(D302,'ВИС-2026'!$E$17:$H$2115,4,0),"")</f>
        <v>шт</v>
      </c>
      <c r="G302" s="428"/>
      <c r="H302" s="554">
        <f>IFERROR(VLOOKUP(D302,'ВИС-2026'!$E$17:$K$2649,7,0),"")</f>
        <v>8.27</v>
      </c>
      <c r="I302" s="554">
        <f t="shared" si="63"/>
        <v>0</v>
      </c>
      <c r="J302" s="554">
        <f t="shared" si="64"/>
        <v>8.27</v>
      </c>
      <c r="K302" s="554">
        <f t="shared" si="65"/>
        <v>0</v>
      </c>
      <c r="L302" s="554">
        <f t="shared" si="66"/>
        <v>0</v>
      </c>
      <c r="M302" s="554">
        <f t="shared" si="67"/>
        <v>0</v>
      </c>
      <c r="N302" s="104"/>
    </row>
    <row r="303" spans="1:14">
      <c r="A303" s="147"/>
      <c r="B303" s="188" t="s">
        <v>30</v>
      </c>
      <c r="C303" s="238" t="s">
        <v>23</v>
      </c>
      <c r="D303" s="188">
        <v>11096941001</v>
      </c>
      <c r="E303" s="553" t="str">
        <f>IFERROR(VLOOKUP(D303,'ВИС-2026'!$E$17:$H$2115,2,0),"")</f>
        <v>Переходник с внутренней резьбой 25-Rp 3/4 MX</v>
      </c>
      <c r="F303" s="292" t="str">
        <f>IFERROR(VLOOKUP(D303,'ВИС-2026'!$E$17:$H$2115,4,0),"")</f>
        <v>шт</v>
      </c>
      <c r="G303" s="428"/>
      <c r="H303" s="554">
        <f>IFERROR(VLOOKUP(D303,'ВИС-2026'!$E$17:$K$2649,7,0),"")</f>
        <v>8.27</v>
      </c>
      <c r="I303" s="554">
        <f t="shared" si="63"/>
        <v>0</v>
      </c>
      <c r="J303" s="554">
        <f t="shared" si="64"/>
        <v>8.27</v>
      </c>
      <c r="K303" s="554">
        <f t="shared" si="65"/>
        <v>0</v>
      </c>
      <c r="L303" s="554">
        <f t="shared" si="66"/>
        <v>0</v>
      </c>
      <c r="M303" s="554">
        <f t="shared" si="67"/>
        <v>0</v>
      </c>
      <c r="N303" s="104"/>
    </row>
    <row r="304" spans="1:14" s="73" customFormat="1">
      <c r="A304" s="147"/>
      <c r="B304" s="188" t="s">
        <v>30</v>
      </c>
      <c r="C304" s="238" t="s">
        <v>23</v>
      </c>
      <c r="D304" s="188">
        <v>11097191001</v>
      </c>
      <c r="E304" s="553" t="str">
        <f>IFERROR(VLOOKUP(D304,'ВИС-2026'!$E$17:$H$2115,2,0),"")</f>
        <v>Переходник с внутренней резьбой 25-Rp 1 MX</v>
      </c>
      <c r="F304" s="292" t="str">
        <f>IFERROR(VLOOKUP(D304,'ВИС-2026'!$E$17:$H$2115,4,0),"")</f>
        <v>шт</v>
      </c>
      <c r="G304" s="428"/>
      <c r="H304" s="554">
        <f>IFERROR(VLOOKUP(D304,'ВИС-2026'!$E$17:$K$2649,7,0),"")</f>
        <v>9.17</v>
      </c>
      <c r="I304" s="554">
        <f t="shared" si="63"/>
        <v>0</v>
      </c>
      <c r="J304" s="554">
        <f t="shared" si="64"/>
        <v>9.17</v>
      </c>
      <c r="K304" s="554">
        <f t="shared" si="65"/>
        <v>0</v>
      </c>
      <c r="L304" s="554">
        <f t="shared" si="66"/>
        <v>0</v>
      </c>
      <c r="M304" s="554">
        <f t="shared" si="67"/>
        <v>0</v>
      </c>
      <c r="N304" s="104"/>
    </row>
    <row r="305" spans="1:14" s="74" customFormat="1">
      <c r="A305" s="147"/>
      <c r="B305" s="188" t="s">
        <v>30</v>
      </c>
      <c r="C305" s="238" t="s">
        <v>23</v>
      </c>
      <c r="D305" s="246">
        <v>11093321001</v>
      </c>
      <c r="E305" s="553" t="str">
        <f>IFERROR(VLOOKUP(D305,'ВИС-2026'!$E$17:$H$2115,2,0),"")</f>
        <v>Переходник с внутренней резьбой 32-Rp 3/4 MX</v>
      </c>
      <c r="F305" s="292" t="str">
        <f>IFERROR(VLOOKUP(D305,'ВИС-2026'!$E$17:$H$2115,4,0),"")</f>
        <v>шт</v>
      </c>
      <c r="G305" s="428"/>
      <c r="H305" s="554">
        <f>IFERROR(VLOOKUP(D305,'ВИС-2026'!$E$17:$K$2649,7,0),"")</f>
        <v>14.21</v>
      </c>
      <c r="I305" s="554">
        <f t="shared" si="63"/>
        <v>0</v>
      </c>
      <c r="J305" s="554">
        <f t="shared" si="64"/>
        <v>14.21</v>
      </c>
      <c r="K305" s="554">
        <f t="shared" si="65"/>
        <v>0</v>
      </c>
      <c r="L305" s="554">
        <f t="shared" si="66"/>
        <v>0</v>
      </c>
      <c r="M305" s="554">
        <f t="shared" si="67"/>
        <v>0</v>
      </c>
      <c r="N305" s="104"/>
    </row>
    <row r="306" spans="1:14" s="74" customFormat="1">
      <c r="A306" s="147"/>
      <c r="B306" s="188" t="s">
        <v>30</v>
      </c>
      <c r="C306" s="238" t="s">
        <v>23</v>
      </c>
      <c r="D306" s="188">
        <v>11097171001</v>
      </c>
      <c r="E306" s="553" t="str">
        <f>IFERROR(VLOOKUP(D306,'ВИС-2026'!$E$17:$H$2115,2,0),"")</f>
        <v>Переходник с внутренней резьбой 32-Rр 1 MX</v>
      </c>
      <c r="F306" s="292" t="str">
        <f>IFERROR(VLOOKUP(D306,'ВИС-2026'!$E$17:$H$2115,4,0),"")</f>
        <v>шт</v>
      </c>
      <c r="G306" s="428"/>
      <c r="H306" s="554">
        <f>IFERROR(VLOOKUP(D306,'ВИС-2026'!$E$17:$K$2649,7,0),"")</f>
        <v>14.21</v>
      </c>
      <c r="I306" s="554">
        <f t="shared" si="63"/>
        <v>0</v>
      </c>
      <c r="J306" s="554">
        <f t="shared" si="64"/>
        <v>14.21</v>
      </c>
      <c r="K306" s="554">
        <f t="shared" si="65"/>
        <v>0</v>
      </c>
      <c r="L306" s="554">
        <f t="shared" si="66"/>
        <v>0</v>
      </c>
      <c r="M306" s="554">
        <f t="shared" si="67"/>
        <v>0</v>
      </c>
      <c r="N306" s="104"/>
    </row>
    <row r="307" spans="1:14" s="74" customFormat="1">
      <c r="A307" s="147"/>
      <c r="B307" s="188" t="s">
        <v>30</v>
      </c>
      <c r="C307" s="238" t="s">
        <v>23</v>
      </c>
      <c r="D307" s="246">
        <v>11093341001</v>
      </c>
      <c r="E307" s="553" t="str">
        <f>IFERROR(VLOOKUP(D307,'ВИС-2026'!$E$17:$H$2115,2,0),"")</f>
        <v>Переходник с внутренней резьбой 40-Rр 1 1/4 MX</v>
      </c>
      <c r="F307" s="292" t="str">
        <f>IFERROR(VLOOKUP(D307,'ВИС-2026'!$E$17:$H$2115,4,0),"")</f>
        <v>шт</v>
      </c>
      <c r="G307" s="428"/>
      <c r="H307" s="554">
        <f>IFERROR(VLOOKUP(D307,'ВИС-2026'!$E$17:$K$2649,7,0),"")</f>
        <v>40.020000000000003</v>
      </c>
      <c r="I307" s="554">
        <f t="shared" si="63"/>
        <v>0</v>
      </c>
      <c r="J307" s="554">
        <f t="shared" si="64"/>
        <v>40.020000000000003</v>
      </c>
      <c r="K307" s="554">
        <f t="shared" si="65"/>
        <v>0</v>
      </c>
      <c r="L307" s="554">
        <f t="shared" si="66"/>
        <v>0</v>
      </c>
      <c r="M307" s="554">
        <f t="shared" si="67"/>
        <v>0</v>
      </c>
      <c r="N307" s="104"/>
    </row>
    <row r="308" spans="1:14">
      <c r="A308" s="147"/>
      <c r="B308" s="267"/>
      <c r="C308" s="247"/>
      <c r="D308" s="188"/>
      <c r="E308" s="210"/>
      <c r="F308" s="292" t="str">
        <f>IFERROR(VLOOKUP(D308,'ВИС-2026'!$E$17:$H$2115,5,0),"")</f>
        <v/>
      </c>
      <c r="G308" s="428"/>
      <c r="H308" s="554" t="str">
        <f>IFERROR(VLOOKUP(D308,'ВИС-2026'!$E$17:$K$2649,8,0),"")</f>
        <v/>
      </c>
      <c r="I308" s="554" t="str">
        <f t="shared" si="63"/>
        <v/>
      </c>
      <c r="J308" s="554" t="str">
        <f t="shared" si="64"/>
        <v/>
      </c>
      <c r="K308" s="554" t="str">
        <f t="shared" si="65"/>
        <v/>
      </c>
      <c r="L308" s="554" t="str">
        <f t="shared" si="66"/>
        <v/>
      </c>
      <c r="M308" s="554" t="str">
        <f t="shared" si="67"/>
        <v/>
      </c>
      <c r="N308" s="104"/>
    </row>
    <row r="309" spans="1:14" s="74" customFormat="1" ht="30.6">
      <c r="A309" s="148" t="s">
        <v>25</v>
      </c>
      <c r="B309" s="208" t="s">
        <v>26</v>
      </c>
      <c r="C309" s="238" t="s">
        <v>23</v>
      </c>
      <c r="D309" s="188">
        <v>14563291001</v>
      </c>
      <c r="E309" s="553" t="str">
        <f>IFERROR(VLOOKUP(D309,'ВИС-2026'!$E$17:$H$2115,2,0),"")</f>
        <v>Переходник с внутренней резьбой 20-Rp 3/4 RX+</v>
      </c>
      <c r="F309" s="292" t="str">
        <f>IFERROR(VLOOKUP(D309,'ВИС-2026'!$E$17:$H$2115,4,0),"")</f>
        <v>шт</v>
      </c>
      <c r="G309" s="428"/>
      <c r="H309" s="554">
        <f>IFERROR(VLOOKUP(D309,'ВИС-2026'!$E$17:$K$2649,7,0),"")</f>
        <v>6.17</v>
      </c>
      <c r="I309" s="554">
        <f t="shared" si="63"/>
        <v>0</v>
      </c>
      <c r="J309" s="554">
        <f t="shared" si="64"/>
        <v>6.17</v>
      </c>
      <c r="K309" s="554">
        <f t="shared" si="65"/>
        <v>0</v>
      </c>
      <c r="L309" s="554">
        <f t="shared" si="66"/>
        <v>0</v>
      </c>
      <c r="M309" s="554">
        <f t="shared" si="67"/>
        <v>0</v>
      </c>
      <c r="N309" s="104"/>
    </row>
    <row r="310" spans="1:14" s="74" customFormat="1" ht="30.6">
      <c r="A310" s="148" t="s">
        <v>25</v>
      </c>
      <c r="B310" s="208" t="s">
        <v>26</v>
      </c>
      <c r="C310" s="238" t="s">
        <v>23</v>
      </c>
      <c r="D310" s="188">
        <v>14563311001</v>
      </c>
      <c r="E310" s="553" t="str">
        <f>IFERROR(VLOOKUP(D310,'ВИС-2026'!$E$17:$H$2115,2,0),"")</f>
        <v>Переходник с внутренней резьбой 25-Rp 3/4 RX+</v>
      </c>
      <c r="F310" s="292" t="str">
        <f>IFERROR(VLOOKUP(D310,'ВИС-2026'!$E$17:$H$2115,4,0),"")</f>
        <v>шт</v>
      </c>
      <c r="G310" s="428"/>
      <c r="H310" s="554">
        <f>IFERROR(VLOOKUP(D310,'ВИС-2026'!$E$17:$K$2649,7,0),"")</f>
        <v>16.489999999999998</v>
      </c>
      <c r="I310" s="554">
        <f t="shared" si="63"/>
        <v>0</v>
      </c>
      <c r="J310" s="554">
        <f t="shared" si="64"/>
        <v>16.489999999999998</v>
      </c>
      <c r="K310" s="554">
        <f t="shared" si="65"/>
        <v>0</v>
      </c>
      <c r="L310" s="554">
        <f t="shared" si="66"/>
        <v>0</v>
      </c>
      <c r="M310" s="554">
        <f t="shared" si="67"/>
        <v>0</v>
      </c>
      <c r="N310" s="104"/>
    </row>
    <row r="311" spans="1:14" ht="30.6">
      <c r="A311" s="148" t="s">
        <v>25</v>
      </c>
      <c r="B311" s="208" t="s">
        <v>26</v>
      </c>
      <c r="C311" s="238" t="s">
        <v>23</v>
      </c>
      <c r="D311" s="188">
        <v>14563331001</v>
      </c>
      <c r="E311" s="553" t="str">
        <f>IFERROR(VLOOKUP(D311,'ВИС-2026'!$E$17:$H$2115,2,0),"")</f>
        <v>Переходник с внутренней резьбой 32-Rр 1 RX+</v>
      </c>
      <c r="F311" s="292" t="str">
        <f>IFERROR(VLOOKUP(D311,'ВИС-2026'!$E$17:$H$2115,4,0),"")</f>
        <v>шт</v>
      </c>
      <c r="G311" s="428"/>
      <c r="H311" s="554">
        <f>IFERROR(VLOOKUP(D311,'ВИС-2026'!$E$17:$K$2649,7,0),"")</f>
        <v>12.87</v>
      </c>
      <c r="I311" s="554">
        <f t="shared" si="63"/>
        <v>0</v>
      </c>
      <c r="J311" s="554">
        <f t="shared" si="64"/>
        <v>12.87</v>
      </c>
      <c r="K311" s="554">
        <f t="shared" si="65"/>
        <v>0</v>
      </c>
      <c r="L311" s="554">
        <f t="shared" si="66"/>
        <v>0</v>
      </c>
      <c r="M311" s="554">
        <f t="shared" si="67"/>
        <v>0</v>
      </c>
      <c r="N311" s="104"/>
    </row>
    <row r="312" spans="1:14" s="74" customFormat="1">
      <c r="A312" s="147"/>
      <c r="B312" s="240"/>
      <c r="C312" s="247"/>
      <c r="D312" s="188"/>
      <c r="E312" s="210"/>
      <c r="F312" s="292" t="str">
        <f>IFERROR(VLOOKUP(D312,'ВИС-2026'!$E$17:$H$2115,5,0),"")</f>
        <v/>
      </c>
      <c r="G312" s="428"/>
      <c r="H312" s="554" t="str">
        <f>IFERROR(VLOOKUP(D312,'ВИС-2026'!$E$17:$K$2649,8,0),"")</f>
        <v/>
      </c>
      <c r="I312" s="554" t="str">
        <f t="shared" si="63"/>
        <v/>
      </c>
      <c r="J312" s="554" t="str">
        <f t="shared" si="64"/>
        <v/>
      </c>
      <c r="K312" s="554" t="str">
        <f t="shared" si="65"/>
        <v/>
      </c>
      <c r="L312" s="554" t="str">
        <f t="shared" si="66"/>
        <v/>
      </c>
      <c r="M312" s="554" t="str">
        <f t="shared" si="67"/>
        <v/>
      </c>
      <c r="N312" s="104"/>
    </row>
    <row r="313" spans="1:14">
      <c r="A313" s="147"/>
      <c r="B313" s="188" t="s">
        <v>30</v>
      </c>
      <c r="C313" s="190" t="s">
        <v>23</v>
      </c>
      <c r="D313" s="246">
        <v>14563353001</v>
      </c>
      <c r="E313" s="553" t="str">
        <f>IFERROR(VLOOKUP(D313,'ВИС-2026'!$E$17:$H$2115,2,0),"")</f>
        <v>Переходник РЕХАУ с накидной гайкой 16-G 1/2 RX+</v>
      </c>
      <c r="F313" s="292" t="str">
        <f>IFERROR(VLOOKUP(D313,'ВИС-2026'!$E$17:$H$2115,4,0),"")</f>
        <v>шт</v>
      </c>
      <c r="G313" s="428"/>
      <c r="H313" s="554">
        <f>IFERROR(VLOOKUP(D313,'ВИС-2026'!$E$17:$K$2649,7,0),"")</f>
        <v>7.97</v>
      </c>
      <c r="I313" s="554">
        <f t="shared" si="63"/>
        <v>0</v>
      </c>
      <c r="J313" s="554">
        <f t="shared" si="64"/>
        <v>7.97</v>
      </c>
      <c r="K313" s="554">
        <f t="shared" si="65"/>
        <v>0</v>
      </c>
      <c r="L313" s="554">
        <f t="shared" si="66"/>
        <v>0</v>
      </c>
      <c r="M313" s="554">
        <f t="shared" si="67"/>
        <v>0</v>
      </c>
      <c r="N313" s="104"/>
    </row>
    <row r="314" spans="1:14">
      <c r="A314" s="147"/>
      <c r="B314" s="188" t="s">
        <v>30</v>
      </c>
      <c r="C314" s="190" t="s">
        <v>23</v>
      </c>
      <c r="D314" s="242">
        <v>14563363001</v>
      </c>
      <c r="E314" s="553" t="str">
        <f>IFERROR(VLOOKUP(D314,'ВИС-2026'!$E$17:$H$2115,2,0),"")</f>
        <v>Переходник РЕХАУ с накидной гайкой 16-G 3/4 RX+</v>
      </c>
      <c r="F314" s="292" t="str">
        <f>IFERROR(VLOOKUP(D314,'ВИС-2026'!$E$17:$H$2115,4,0),"")</f>
        <v>шт</v>
      </c>
      <c r="G314" s="428"/>
      <c r="H314" s="554">
        <f>IFERROR(VLOOKUP(D314,'ВИС-2026'!$E$17:$K$2649,7,0),"")</f>
        <v>9.8800000000000008</v>
      </c>
      <c r="I314" s="554">
        <f t="shared" si="63"/>
        <v>0</v>
      </c>
      <c r="J314" s="554">
        <f t="shared" si="64"/>
        <v>9.8800000000000008</v>
      </c>
      <c r="K314" s="554">
        <f t="shared" si="65"/>
        <v>0</v>
      </c>
      <c r="L314" s="554">
        <f t="shared" si="66"/>
        <v>0</v>
      </c>
      <c r="M314" s="554">
        <f t="shared" si="67"/>
        <v>0</v>
      </c>
      <c r="N314" s="104"/>
    </row>
    <row r="315" spans="1:14">
      <c r="A315" s="147"/>
      <c r="B315" s="188" t="s">
        <v>30</v>
      </c>
      <c r="C315" s="190" t="s">
        <v>23</v>
      </c>
      <c r="D315" s="242">
        <v>14563373001</v>
      </c>
      <c r="E315" s="553" t="str">
        <f>IFERROR(VLOOKUP(D315,'ВИС-2026'!$E$17:$H$2115,2,0),"")</f>
        <v>Переходник РЕХАУ с накидной гайкой 20-G 1/2 RX+</v>
      </c>
      <c r="F315" s="292" t="str">
        <f>IFERROR(VLOOKUP(D315,'ВИС-2026'!$E$17:$H$2115,4,0),"")</f>
        <v>шт</v>
      </c>
      <c r="G315" s="428"/>
      <c r="H315" s="554">
        <f>IFERROR(VLOOKUP(D315,'ВИС-2026'!$E$17:$K$2649,7,0),"")</f>
        <v>9.93</v>
      </c>
      <c r="I315" s="554">
        <f t="shared" si="63"/>
        <v>0</v>
      </c>
      <c r="J315" s="554">
        <f t="shared" si="64"/>
        <v>9.93</v>
      </c>
      <c r="K315" s="554">
        <f t="shared" si="65"/>
        <v>0</v>
      </c>
      <c r="L315" s="554">
        <f t="shared" si="66"/>
        <v>0</v>
      </c>
      <c r="M315" s="554">
        <f t="shared" si="67"/>
        <v>0</v>
      </c>
      <c r="N315" s="104"/>
    </row>
    <row r="316" spans="1:14" s="73" customFormat="1">
      <c r="A316" s="147"/>
      <c r="B316" s="188" t="s">
        <v>30</v>
      </c>
      <c r="C316" s="190" t="s">
        <v>23</v>
      </c>
      <c r="D316" s="242">
        <v>14563383001</v>
      </c>
      <c r="E316" s="553" t="str">
        <f>IFERROR(VLOOKUP(D316,'ВИС-2026'!$E$17:$H$2115,2,0),"")</f>
        <v>Переходник РЕХАУ с накидной гайкой 20-G 3/4 RX+</v>
      </c>
      <c r="F316" s="292" t="str">
        <f>IFERROR(VLOOKUP(D316,'ВИС-2026'!$E$17:$H$2115,4,0),"")</f>
        <v>шт</v>
      </c>
      <c r="G316" s="428"/>
      <c r="H316" s="554">
        <f>IFERROR(VLOOKUP(D316,'ВИС-2026'!$E$17:$K$2649,7,0),"")</f>
        <v>10.82</v>
      </c>
      <c r="I316" s="554">
        <f t="shared" si="63"/>
        <v>0</v>
      </c>
      <c r="J316" s="554">
        <f t="shared" si="64"/>
        <v>10.82</v>
      </c>
      <c r="K316" s="554">
        <f t="shared" si="65"/>
        <v>0</v>
      </c>
      <c r="L316" s="554">
        <f t="shared" si="66"/>
        <v>0</v>
      </c>
      <c r="M316" s="554">
        <f t="shared" si="67"/>
        <v>0</v>
      </c>
      <c r="N316" s="104"/>
    </row>
    <row r="317" spans="1:14" s="73" customFormat="1">
      <c r="A317" s="147"/>
      <c r="B317" s="188" t="s">
        <v>30</v>
      </c>
      <c r="C317" s="190" t="s">
        <v>23</v>
      </c>
      <c r="D317" s="242">
        <v>14563393001</v>
      </c>
      <c r="E317" s="553" t="str">
        <f>IFERROR(VLOOKUP(D317,'ВИС-2026'!$E$17:$H$2115,2,0),"")</f>
        <v>Переходник РЕХАУ с накидной гайкой 25-G 3/4 RX+</v>
      </c>
      <c r="F317" s="292" t="str">
        <f>IFERROR(VLOOKUP(D317,'ВИС-2026'!$E$17:$H$2115,4,0),"")</f>
        <v>шт</v>
      </c>
      <c r="G317" s="428"/>
      <c r="H317" s="554">
        <f>IFERROR(VLOOKUP(D317,'ВИС-2026'!$E$17:$K$2649,7,0),"")</f>
        <v>14.57</v>
      </c>
      <c r="I317" s="554">
        <f t="shared" si="63"/>
        <v>0</v>
      </c>
      <c r="J317" s="554">
        <f t="shared" si="64"/>
        <v>14.57</v>
      </c>
      <c r="K317" s="554">
        <f t="shared" si="65"/>
        <v>0</v>
      </c>
      <c r="L317" s="554">
        <f t="shared" si="66"/>
        <v>0</v>
      </c>
      <c r="M317" s="554">
        <f t="shared" si="67"/>
        <v>0</v>
      </c>
      <c r="N317" s="104"/>
    </row>
    <row r="318" spans="1:14">
      <c r="A318" s="147"/>
      <c r="B318" s="188" t="s">
        <v>30</v>
      </c>
      <c r="C318" s="190" t="s">
        <v>23</v>
      </c>
      <c r="D318" s="242">
        <v>14563403001</v>
      </c>
      <c r="E318" s="553" t="str">
        <f>IFERROR(VLOOKUP(D318,'ВИС-2026'!$E$17:$H$2115,2,0),"")</f>
        <v>Переходник РЕХАУ с накидной гайкой 25-G 1 RX+</v>
      </c>
      <c r="F318" s="292" t="str">
        <f>IFERROR(VLOOKUP(D318,'ВИС-2026'!$E$17:$H$2115,4,0),"")</f>
        <v>шт</v>
      </c>
      <c r="G318" s="428"/>
      <c r="H318" s="554">
        <f>IFERROR(VLOOKUP(D318,'ВИС-2026'!$E$17:$K$2649,7,0),"")</f>
        <v>18.14</v>
      </c>
      <c r="I318" s="554">
        <f t="shared" si="63"/>
        <v>0</v>
      </c>
      <c r="J318" s="554">
        <f t="shared" si="64"/>
        <v>18.14</v>
      </c>
      <c r="K318" s="554">
        <f t="shared" si="65"/>
        <v>0</v>
      </c>
      <c r="L318" s="554">
        <f t="shared" si="66"/>
        <v>0</v>
      </c>
      <c r="M318" s="554">
        <f t="shared" si="67"/>
        <v>0</v>
      </c>
      <c r="N318" s="104"/>
    </row>
    <row r="319" spans="1:14" s="74" customFormat="1">
      <c r="A319" s="147"/>
      <c r="B319" s="188" t="s">
        <v>30</v>
      </c>
      <c r="C319" s="190" t="s">
        <v>23</v>
      </c>
      <c r="D319" s="242">
        <v>14563413001</v>
      </c>
      <c r="E319" s="553" t="str">
        <f>IFERROR(VLOOKUP(D319,'ВИС-2026'!$E$17:$H$2115,2,0),"")</f>
        <v>Переходник РЕХАУ с накидной гайкой 32-G 1 RX+</v>
      </c>
      <c r="F319" s="292" t="str">
        <f>IFERROR(VLOOKUP(D319,'ВИС-2026'!$E$17:$H$2115,4,0),"")</f>
        <v>шт</v>
      </c>
      <c r="G319" s="428"/>
      <c r="H319" s="554">
        <f>IFERROR(VLOOKUP(D319,'ВИС-2026'!$E$17:$K$2649,7,0),"")</f>
        <v>30.33</v>
      </c>
      <c r="I319" s="554">
        <f t="shared" si="63"/>
        <v>0</v>
      </c>
      <c r="J319" s="554">
        <f t="shared" si="64"/>
        <v>30.33</v>
      </c>
      <c r="K319" s="554">
        <f t="shared" si="65"/>
        <v>0</v>
      </c>
      <c r="L319" s="554">
        <f t="shared" si="66"/>
        <v>0</v>
      </c>
      <c r="M319" s="554">
        <f t="shared" si="67"/>
        <v>0</v>
      </c>
      <c r="N319" s="104"/>
    </row>
    <row r="320" spans="1:14" s="74" customFormat="1">
      <c r="A320" s="147"/>
      <c r="B320" s="188" t="s">
        <v>30</v>
      </c>
      <c r="C320" s="190" t="s">
        <v>23</v>
      </c>
      <c r="D320" s="242">
        <v>14563423001</v>
      </c>
      <c r="E320" s="553" t="str">
        <f>IFERROR(VLOOKUP(D320,'ВИС-2026'!$E$17:$H$2115,2,0),"")</f>
        <v>Переходник РЕХАУ с накидной гайкой 32-G 1 1/4 RX+</v>
      </c>
      <c r="F320" s="292" t="str">
        <f>IFERROR(VLOOKUP(D320,'ВИС-2026'!$E$17:$H$2115,4,0),"")</f>
        <v>шт</v>
      </c>
      <c r="G320" s="428"/>
      <c r="H320" s="554">
        <f>IFERROR(VLOOKUP(D320,'ВИС-2026'!$E$17:$K$2649,7,0),"")</f>
        <v>47.78</v>
      </c>
      <c r="I320" s="554">
        <f t="shared" si="63"/>
        <v>0</v>
      </c>
      <c r="J320" s="554">
        <f t="shared" si="64"/>
        <v>47.78</v>
      </c>
      <c r="K320" s="554">
        <f t="shared" si="65"/>
        <v>0</v>
      </c>
      <c r="L320" s="554">
        <f t="shared" si="66"/>
        <v>0</v>
      </c>
      <c r="M320" s="554">
        <f t="shared" si="67"/>
        <v>0</v>
      </c>
      <c r="N320" s="104"/>
    </row>
    <row r="321" spans="1:14" s="74" customFormat="1">
      <c r="A321" s="147"/>
      <c r="B321" s="188" t="s">
        <v>30</v>
      </c>
      <c r="C321" s="190" t="s">
        <v>23</v>
      </c>
      <c r="D321" s="242">
        <v>14563443001</v>
      </c>
      <c r="E321" s="553" t="str">
        <f>IFERROR(VLOOKUP(D321,'ВИС-2026'!$E$17:$H$2115,2,0),"")</f>
        <v>Переходник РЕХАУ с накидной гайкой 40-G 1 1/2 RX+</v>
      </c>
      <c r="F321" s="292" t="str">
        <f>IFERROR(VLOOKUP(D321,'ВИС-2026'!$E$17:$H$2115,4,0),"")</f>
        <v>шт</v>
      </c>
      <c r="G321" s="428"/>
      <c r="H321" s="554">
        <f>IFERROR(VLOOKUP(D321,'ВИС-2026'!$E$17:$K$2649,7,0),"")</f>
        <v>56.75</v>
      </c>
      <c r="I321" s="554">
        <f t="shared" si="63"/>
        <v>0</v>
      </c>
      <c r="J321" s="554">
        <f t="shared" si="64"/>
        <v>56.75</v>
      </c>
      <c r="K321" s="554">
        <f t="shared" si="65"/>
        <v>0</v>
      </c>
      <c r="L321" s="554">
        <f t="shared" si="66"/>
        <v>0</v>
      </c>
      <c r="M321" s="554">
        <f t="shared" si="67"/>
        <v>0</v>
      </c>
      <c r="N321" s="104"/>
    </row>
    <row r="322" spans="1:14" s="74" customFormat="1">
      <c r="A322" s="147"/>
      <c r="B322" s="240"/>
      <c r="C322" s="247"/>
      <c r="D322" s="188"/>
      <c r="E322" s="210"/>
      <c r="F322" s="292" t="str">
        <f>IFERROR(VLOOKUP(D322,'ВИС-2026'!$E$17:$H$2115,5,0),"")</f>
        <v/>
      </c>
      <c r="G322" s="428"/>
      <c r="H322" s="554" t="str">
        <f>IFERROR(VLOOKUP(D322,'ВИС-2026'!$E$17:$K$2649,8,0),"")</f>
        <v/>
      </c>
      <c r="I322" s="554" t="str">
        <f t="shared" si="63"/>
        <v/>
      </c>
      <c r="J322" s="554" t="str">
        <f t="shared" si="64"/>
        <v/>
      </c>
      <c r="K322" s="554" t="str">
        <f t="shared" si="65"/>
        <v/>
      </c>
      <c r="L322" s="554" t="str">
        <f t="shared" si="66"/>
        <v/>
      </c>
      <c r="M322" s="554" t="str">
        <f t="shared" si="67"/>
        <v/>
      </c>
      <c r="N322" s="104"/>
    </row>
    <row r="323" spans="1:14">
      <c r="A323" s="147"/>
      <c r="B323" s="188" t="s">
        <v>30</v>
      </c>
      <c r="C323" s="238" t="s">
        <v>23</v>
      </c>
      <c r="D323" s="188">
        <v>11096721001</v>
      </c>
      <c r="E323" s="553" t="str">
        <f>IFERROR(VLOOKUP(D323,'ВИС-2026'!$E$17:$H$2115,2,0),"")</f>
        <v>Переходник с накидной гайкой 16-G 1/2 MX</v>
      </c>
      <c r="F323" s="292" t="str">
        <f>IFERROR(VLOOKUP(D323,'ВИС-2026'!$E$17:$H$2115,4,0),"")</f>
        <v>шт</v>
      </c>
      <c r="G323" s="428"/>
      <c r="H323" s="554">
        <f>IFERROR(VLOOKUP(D323,'ВИС-2026'!$E$17:$K$2649,7,0),"")</f>
        <v>5.08</v>
      </c>
      <c r="I323" s="554">
        <f t="shared" ref="I323:I331" si="68">IFERROR(H323*G323,"")</f>
        <v>0</v>
      </c>
      <c r="J323" s="554">
        <f t="shared" ref="J323:J331" si="69">IFERROR((IF(H323="","",H323-H323*$D$7)),"")</f>
        <v>5.08</v>
      </c>
      <c r="K323" s="554">
        <f t="shared" ref="K323:K331" si="70">IFERROR(J323*G323, "")</f>
        <v>0</v>
      </c>
      <c r="L323" s="554">
        <f t="shared" ref="L323:L331" si="71">IFERROR(J323*$D$8, "")</f>
        <v>0</v>
      </c>
      <c r="M323" s="554">
        <f t="shared" ref="M323:M331" si="72">IFERROR(L323*G323, "")</f>
        <v>0</v>
      </c>
      <c r="N323" s="104"/>
    </row>
    <row r="324" spans="1:14" s="74" customFormat="1">
      <c r="A324" s="147"/>
      <c r="B324" s="188" t="s">
        <v>30</v>
      </c>
      <c r="C324" s="238" t="s">
        <v>23</v>
      </c>
      <c r="D324" s="188">
        <v>11096871001</v>
      </c>
      <c r="E324" s="553" t="str">
        <f>IFERROR(VLOOKUP(D324,'ВИС-2026'!$E$17:$H$2115,2,0),"")</f>
        <v>Переходник с накидной гайкой 16-G 3/4 MX</v>
      </c>
      <c r="F324" s="292" t="str">
        <f>IFERROR(VLOOKUP(D324,'ВИС-2026'!$E$17:$H$2115,4,0),"")</f>
        <v>шт</v>
      </c>
      <c r="G324" s="428"/>
      <c r="H324" s="554">
        <f>IFERROR(VLOOKUP(D324,'ВИС-2026'!$E$17:$K$2649,7,0),"")</f>
        <v>6.3</v>
      </c>
      <c r="I324" s="554">
        <f t="shared" si="68"/>
        <v>0</v>
      </c>
      <c r="J324" s="554">
        <f t="shared" si="69"/>
        <v>6.3</v>
      </c>
      <c r="K324" s="554">
        <f t="shared" si="70"/>
        <v>0</v>
      </c>
      <c r="L324" s="554">
        <f t="shared" si="71"/>
        <v>0</v>
      </c>
      <c r="M324" s="554">
        <f t="shared" si="72"/>
        <v>0</v>
      </c>
      <c r="N324" s="104"/>
    </row>
    <row r="325" spans="1:14">
      <c r="A325" s="147"/>
      <c r="B325" s="188" t="s">
        <v>30</v>
      </c>
      <c r="C325" s="238" t="s">
        <v>23</v>
      </c>
      <c r="D325" s="188">
        <v>11096851001</v>
      </c>
      <c r="E325" s="553" t="str">
        <f>IFERROR(VLOOKUP(D325,'ВИС-2026'!$E$17:$H$2115,2,0),"")</f>
        <v>Переходник с накидной гайкой 20-G 1/2 MX</v>
      </c>
      <c r="F325" s="292" t="str">
        <f>IFERROR(VLOOKUP(D325,'ВИС-2026'!$E$17:$H$2115,4,0),"")</f>
        <v>шт</v>
      </c>
      <c r="G325" s="428"/>
      <c r="H325" s="554">
        <f>IFERROR(VLOOKUP(D325,'ВИС-2026'!$E$17:$K$2649,7,0),"")</f>
        <v>6.28</v>
      </c>
      <c r="I325" s="554">
        <f t="shared" si="68"/>
        <v>0</v>
      </c>
      <c r="J325" s="554">
        <f t="shared" si="69"/>
        <v>6.28</v>
      </c>
      <c r="K325" s="554">
        <f t="shared" si="70"/>
        <v>0</v>
      </c>
      <c r="L325" s="554">
        <f t="shared" si="71"/>
        <v>0</v>
      </c>
      <c r="M325" s="554">
        <f t="shared" si="72"/>
        <v>0</v>
      </c>
      <c r="N325" s="104"/>
    </row>
    <row r="326" spans="1:14" s="74" customFormat="1">
      <c r="A326" s="147"/>
      <c r="B326" s="188" t="s">
        <v>30</v>
      </c>
      <c r="C326" s="238" t="s">
        <v>23</v>
      </c>
      <c r="D326" s="188">
        <v>11096891001</v>
      </c>
      <c r="E326" s="553" t="str">
        <f>IFERROR(VLOOKUP(D326,'ВИС-2026'!$E$17:$H$2115,2,0),"")</f>
        <v>Переходник с накидной гайкой 20-G 3/4 MX</v>
      </c>
      <c r="F326" s="292" t="str">
        <f>IFERROR(VLOOKUP(D326,'ВИС-2026'!$E$17:$H$2115,4,0),"")</f>
        <v>шт</v>
      </c>
      <c r="G326" s="428"/>
      <c r="H326" s="554">
        <f>IFERROR(VLOOKUP(D326,'ВИС-2026'!$E$17:$K$2649,7,0),"")</f>
        <v>6.64</v>
      </c>
      <c r="I326" s="554">
        <f t="shared" si="68"/>
        <v>0</v>
      </c>
      <c r="J326" s="554">
        <f t="shared" si="69"/>
        <v>6.64</v>
      </c>
      <c r="K326" s="554">
        <f t="shared" si="70"/>
        <v>0</v>
      </c>
      <c r="L326" s="554">
        <f t="shared" si="71"/>
        <v>0</v>
      </c>
      <c r="M326" s="554">
        <f t="shared" si="72"/>
        <v>0</v>
      </c>
      <c r="N326" s="104"/>
    </row>
    <row r="327" spans="1:14">
      <c r="A327" s="147"/>
      <c r="B327" s="188" t="s">
        <v>30</v>
      </c>
      <c r="C327" s="238" t="s">
        <v>23</v>
      </c>
      <c r="D327" s="188">
        <v>11097131001</v>
      </c>
      <c r="E327" s="553" t="str">
        <f>IFERROR(VLOOKUP(D327,'ВИС-2026'!$E$17:$H$2115,2,0),"")</f>
        <v>Переходник с накидной гайкой 25-G 3/4 MX</v>
      </c>
      <c r="F327" s="292" t="str">
        <f>IFERROR(VLOOKUP(D327,'ВИС-2026'!$E$17:$H$2115,4,0),"")</f>
        <v>шт</v>
      </c>
      <c r="G327" s="428"/>
      <c r="H327" s="554">
        <f>IFERROR(VLOOKUP(D327,'ВИС-2026'!$E$17:$K$2649,7,0),"")</f>
        <v>8.19</v>
      </c>
      <c r="I327" s="554">
        <f t="shared" si="68"/>
        <v>0</v>
      </c>
      <c r="J327" s="554">
        <f t="shared" si="69"/>
        <v>8.19</v>
      </c>
      <c r="K327" s="554">
        <f t="shared" si="70"/>
        <v>0</v>
      </c>
      <c r="L327" s="554">
        <f t="shared" si="71"/>
        <v>0</v>
      </c>
      <c r="M327" s="554">
        <f t="shared" si="72"/>
        <v>0</v>
      </c>
      <c r="N327" s="104"/>
    </row>
    <row r="328" spans="1:14" s="74" customFormat="1">
      <c r="A328" s="147"/>
      <c r="B328" s="188" t="s">
        <v>30</v>
      </c>
      <c r="C328" s="238" t="s">
        <v>23</v>
      </c>
      <c r="D328" s="188">
        <v>11097181001</v>
      </c>
      <c r="E328" s="553" t="str">
        <f>IFERROR(VLOOKUP(D328,'ВИС-2026'!$E$17:$H$2115,2,0),"")</f>
        <v>Переходник с накидной гайкой 25-G 1 MX</v>
      </c>
      <c r="F328" s="292" t="str">
        <f>IFERROR(VLOOKUP(D328,'ВИС-2026'!$E$17:$H$2115,4,0),"")</f>
        <v>шт</v>
      </c>
      <c r="G328" s="428"/>
      <c r="H328" s="554">
        <f>IFERROR(VLOOKUP(D328,'ВИС-2026'!$E$17:$K$2649,7,0),"")</f>
        <v>10.99</v>
      </c>
      <c r="I328" s="554">
        <f t="shared" si="68"/>
        <v>0</v>
      </c>
      <c r="J328" s="554">
        <f t="shared" si="69"/>
        <v>10.99</v>
      </c>
      <c r="K328" s="554">
        <f t="shared" si="70"/>
        <v>0</v>
      </c>
      <c r="L328" s="554">
        <f t="shared" si="71"/>
        <v>0</v>
      </c>
      <c r="M328" s="554">
        <f t="shared" si="72"/>
        <v>0</v>
      </c>
      <c r="N328" s="104"/>
    </row>
    <row r="329" spans="1:14" s="74" customFormat="1">
      <c r="A329" s="147"/>
      <c r="B329" s="188" t="s">
        <v>30</v>
      </c>
      <c r="C329" s="238" t="s">
        <v>23</v>
      </c>
      <c r="D329" s="188">
        <v>11093411001</v>
      </c>
      <c r="E329" s="553" t="str">
        <f>IFERROR(VLOOKUP(D329,'ВИС-2026'!$E$17:$H$2115,2,0),"")</f>
        <v>Переходник с накидной гайкой 32-G 1 MX</v>
      </c>
      <c r="F329" s="292" t="str">
        <f>IFERROR(VLOOKUP(D329,'ВИС-2026'!$E$17:$H$2115,4,0),"")</f>
        <v>шт</v>
      </c>
      <c r="G329" s="428"/>
      <c r="H329" s="554">
        <f>IFERROR(VLOOKUP(D329,'ВИС-2026'!$E$17:$K$2649,7,0),"")</f>
        <v>21.67</v>
      </c>
      <c r="I329" s="554">
        <f t="shared" si="68"/>
        <v>0</v>
      </c>
      <c r="J329" s="554">
        <f t="shared" si="69"/>
        <v>21.67</v>
      </c>
      <c r="K329" s="554">
        <f t="shared" si="70"/>
        <v>0</v>
      </c>
      <c r="L329" s="554">
        <f t="shared" si="71"/>
        <v>0</v>
      </c>
      <c r="M329" s="554">
        <f t="shared" si="72"/>
        <v>0</v>
      </c>
      <c r="N329" s="104"/>
    </row>
    <row r="330" spans="1:14">
      <c r="A330" s="147"/>
      <c r="B330" s="188" t="s">
        <v>30</v>
      </c>
      <c r="C330" s="238" t="s">
        <v>23</v>
      </c>
      <c r="D330" s="188">
        <v>11093421001</v>
      </c>
      <c r="E330" s="553" t="str">
        <f>IFERROR(VLOOKUP(D330,'ВИС-2026'!$E$17:$H$2115,2,0),"")</f>
        <v>Переходник с накидной гайкой 32-G 1 1/4 MX</v>
      </c>
      <c r="F330" s="292" t="str">
        <f>IFERROR(VLOOKUP(D330,'ВИС-2026'!$E$17:$H$2115,4,0),"")</f>
        <v>шт</v>
      </c>
      <c r="G330" s="428"/>
      <c r="H330" s="554">
        <f>IFERROR(VLOOKUP(D330,'ВИС-2026'!$E$17:$K$2649,7,0),"")</f>
        <v>39</v>
      </c>
      <c r="I330" s="554">
        <f t="shared" si="68"/>
        <v>0</v>
      </c>
      <c r="J330" s="554">
        <f t="shared" si="69"/>
        <v>39</v>
      </c>
      <c r="K330" s="554">
        <f t="shared" si="70"/>
        <v>0</v>
      </c>
      <c r="L330" s="554">
        <f t="shared" si="71"/>
        <v>0</v>
      </c>
      <c r="M330" s="554">
        <f t="shared" si="72"/>
        <v>0</v>
      </c>
      <c r="N330" s="104"/>
    </row>
    <row r="331" spans="1:14" s="74" customFormat="1">
      <c r="A331" s="147"/>
      <c r="B331" s="188" t="s">
        <v>30</v>
      </c>
      <c r="C331" s="238" t="s">
        <v>23</v>
      </c>
      <c r="D331" s="246">
        <v>11093441001</v>
      </c>
      <c r="E331" s="553" t="str">
        <f>IFERROR(VLOOKUP(D331,'ВИС-2026'!$E$17:$H$2115,2,0),"")</f>
        <v>Переходник с накидной гайкой 40-G 1 1/2 MX</v>
      </c>
      <c r="F331" s="292" t="str">
        <f>IFERROR(VLOOKUP(D331,'ВИС-2026'!$E$17:$H$2115,4,0),"")</f>
        <v>шт</v>
      </c>
      <c r="G331" s="428"/>
      <c r="H331" s="554">
        <f>IFERROR(VLOOKUP(D331,'ВИС-2026'!$E$17:$K$2649,7,0),"")</f>
        <v>46.32</v>
      </c>
      <c r="I331" s="554">
        <f t="shared" si="68"/>
        <v>0</v>
      </c>
      <c r="J331" s="554">
        <f t="shared" si="69"/>
        <v>46.32</v>
      </c>
      <c r="K331" s="554">
        <f t="shared" si="70"/>
        <v>0</v>
      </c>
      <c r="L331" s="554">
        <f t="shared" si="71"/>
        <v>0</v>
      </c>
      <c r="M331" s="554">
        <f t="shared" si="72"/>
        <v>0</v>
      </c>
      <c r="N331" s="104"/>
    </row>
    <row r="332" spans="1:14">
      <c r="A332" s="147"/>
      <c r="B332" s="240"/>
      <c r="C332" s="247"/>
      <c r="D332" s="188"/>
      <c r="E332" s="210"/>
      <c r="F332" s="292" t="str">
        <f>IFERROR(VLOOKUP(D332,'ВИС-2026'!$E$17:$H$2115,5,0),"")</f>
        <v/>
      </c>
      <c r="G332" s="428"/>
      <c r="H332" s="554" t="str">
        <f>IFERROR(VLOOKUP(D332,'ВИС-2026'!$E$17:$K$2649,8,0),"")</f>
        <v/>
      </c>
      <c r="I332" s="554" t="str">
        <f t="shared" ref="I332:I382" si="73">IFERROR(H332*G332,"")</f>
        <v/>
      </c>
      <c r="J332" s="554" t="str">
        <f t="shared" ref="J332:J382" si="74">IFERROR((IF(H332="","",H332-H332*$D$7)),"")</f>
        <v/>
      </c>
      <c r="K332" s="554" t="str">
        <f t="shared" ref="K332:K382" si="75">IFERROR(J332*G332, "")</f>
        <v/>
      </c>
      <c r="L332" s="554" t="str">
        <f t="shared" ref="L332:L382" si="76">IFERROR(J332*$D$8, "")</f>
        <v/>
      </c>
      <c r="M332" s="554" t="str">
        <f t="shared" ref="M332:M382" si="77">IFERROR(L332*G332, "")</f>
        <v/>
      </c>
      <c r="N332" s="104"/>
    </row>
    <row r="333" spans="1:14" s="73" customFormat="1" ht="30.6">
      <c r="A333" s="148" t="s">
        <v>25</v>
      </c>
      <c r="B333" s="208" t="s">
        <v>26</v>
      </c>
      <c r="C333" s="238" t="s">
        <v>23</v>
      </c>
      <c r="D333" s="188">
        <v>14563451001</v>
      </c>
      <c r="E333" s="553" t="str">
        <f>IFERROR(VLOOKUP(D333,'ВИС-2026'!$E$17:$H$2115,2,0),"")</f>
        <v>Переходник с накидной гайкой 50-G 1 3/4 RX+</v>
      </c>
      <c r="F333" s="292" t="str">
        <f>IFERROR(VLOOKUP(D333,'ВИС-2026'!$E$17:$H$2115,4,0),"")</f>
        <v>шт</v>
      </c>
      <c r="G333" s="428"/>
      <c r="H333" s="554">
        <f>IFERROR(VLOOKUP(D333,'ВИС-2026'!$E$17:$K$2649,7,0),"")</f>
        <v>45.64</v>
      </c>
      <c r="I333" s="554">
        <f t="shared" si="73"/>
        <v>0</v>
      </c>
      <c r="J333" s="554">
        <f t="shared" si="74"/>
        <v>45.64</v>
      </c>
      <c r="K333" s="554">
        <f t="shared" si="75"/>
        <v>0</v>
      </c>
      <c r="L333" s="554">
        <f t="shared" si="76"/>
        <v>0</v>
      </c>
      <c r="M333" s="554">
        <f t="shared" si="77"/>
        <v>0</v>
      </c>
      <c r="N333" s="104"/>
    </row>
    <row r="334" spans="1:14" s="74" customFormat="1" ht="30.6">
      <c r="A334" s="148" t="s">
        <v>25</v>
      </c>
      <c r="B334" s="208" t="s">
        <v>26</v>
      </c>
      <c r="C334" s="238" t="s">
        <v>23</v>
      </c>
      <c r="D334" s="188">
        <v>14563461001</v>
      </c>
      <c r="E334" s="553" t="str">
        <f>IFERROR(VLOOKUP(D334,'ВИС-2026'!$E$17:$H$2115,2,0),"")</f>
        <v>Переходник с накидной гайкой 63-G 2 3/8 RX+</v>
      </c>
      <c r="F334" s="292" t="str">
        <f>IFERROR(VLOOKUP(D334,'ВИС-2026'!$E$17:$H$2115,4,0),"")</f>
        <v>шт</v>
      </c>
      <c r="G334" s="428"/>
      <c r="H334" s="554">
        <f>IFERROR(VLOOKUP(D334,'ВИС-2026'!$E$17:$K$2649,7,0),"")</f>
        <v>58.13</v>
      </c>
      <c r="I334" s="554">
        <f t="shared" si="73"/>
        <v>0</v>
      </c>
      <c r="J334" s="554">
        <f t="shared" si="74"/>
        <v>58.13</v>
      </c>
      <c r="K334" s="554">
        <f t="shared" si="75"/>
        <v>0</v>
      </c>
      <c r="L334" s="554">
        <f t="shared" si="76"/>
        <v>0</v>
      </c>
      <c r="M334" s="554">
        <f t="shared" si="77"/>
        <v>0</v>
      </c>
      <c r="N334" s="104"/>
    </row>
    <row r="335" spans="1:14" s="74" customFormat="1">
      <c r="A335" s="147"/>
      <c r="B335" s="240"/>
      <c r="C335" s="247"/>
      <c r="D335" s="188"/>
      <c r="E335" s="210"/>
      <c r="F335" s="292" t="str">
        <f>IFERROR(VLOOKUP(D335,'ВИС-2026'!$E$17:$H$2115,5,0),"")</f>
        <v/>
      </c>
      <c r="G335" s="428"/>
      <c r="H335" s="554" t="str">
        <f>IFERROR(VLOOKUP(D335,'ВИС-2026'!$E$17:$K$2649,8,0),"")</f>
        <v/>
      </c>
      <c r="I335" s="554" t="str">
        <f t="shared" si="73"/>
        <v/>
      </c>
      <c r="J335" s="554" t="str">
        <f t="shared" si="74"/>
        <v/>
      </c>
      <c r="K335" s="554" t="str">
        <f t="shared" si="75"/>
        <v/>
      </c>
      <c r="L335" s="554" t="str">
        <f t="shared" si="76"/>
        <v/>
      </c>
      <c r="M335" s="554" t="str">
        <f t="shared" si="77"/>
        <v/>
      </c>
      <c r="N335" s="104"/>
    </row>
    <row r="336" spans="1:14">
      <c r="A336" s="147"/>
      <c r="B336" s="240" t="s">
        <v>30</v>
      </c>
      <c r="C336" s="238" t="s">
        <v>23</v>
      </c>
      <c r="D336" s="188">
        <v>11096091001</v>
      </c>
      <c r="E336" s="553" t="str">
        <f>IFERROR(VLOOKUP(D336,'ВИС-2026'!$E$17:$H$2115,2,0),"")</f>
        <v xml:space="preserve">Переходник на евроконус РЕХАУ 16-G 3/4 </v>
      </c>
      <c r="F336" s="292" t="str">
        <f>IFERROR(VLOOKUP(D336,'ВИС-2026'!$E$17:$H$2115,4,0),"")</f>
        <v>шт</v>
      </c>
      <c r="G336" s="428"/>
      <c r="H336" s="554">
        <f>IFERROR(VLOOKUP(D336,'ВИС-2026'!$E$17:$K$2649,7,0),"")</f>
        <v>11.13</v>
      </c>
      <c r="I336" s="554">
        <f t="shared" si="73"/>
        <v>0</v>
      </c>
      <c r="J336" s="554">
        <f t="shared" si="74"/>
        <v>11.13</v>
      </c>
      <c r="K336" s="554">
        <f t="shared" si="75"/>
        <v>0</v>
      </c>
      <c r="L336" s="554">
        <f t="shared" si="76"/>
        <v>0</v>
      </c>
      <c r="M336" s="554">
        <f t="shared" si="77"/>
        <v>0</v>
      </c>
      <c r="N336" s="104"/>
    </row>
    <row r="337" spans="1:14" s="73" customFormat="1">
      <c r="A337" s="147"/>
      <c r="B337" s="240" t="s">
        <v>30</v>
      </c>
      <c r="C337" s="238" t="s">
        <v>23</v>
      </c>
      <c r="D337" s="188">
        <v>11096111001</v>
      </c>
      <c r="E337" s="553" t="str">
        <f>IFERROR(VLOOKUP(D337,'ВИС-2026'!$E$17:$H$2115,2,0),"")</f>
        <v xml:space="preserve">Переходник на евроконус РЕХАУ 20-G 3/4 </v>
      </c>
      <c r="F337" s="292" t="str">
        <f>IFERROR(VLOOKUP(D337,'ВИС-2026'!$E$17:$H$2115,4,0),"")</f>
        <v>шт</v>
      </c>
      <c r="G337" s="428"/>
      <c r="H337" s="554">
        <f>IFERROR(VLOOKUP(D337,'ВИС-2026'!$E$17:$K$2649,7,0),"")</f>
        <v>13.82</v>
      </c>
      <c r="I337" s="554">
        <f t="shared" si="73"/>
        <v>0</v>
      </c>
      <c r="J337" s="554">
        <f t="shared" si="74"/>
        <v>13.82</v>
      </c>
      <c r="K337" s="554">
        <f t="shared" si="75"/>
        <v>0</v>
      </c>
      <c r="L337" s="554">
        <f t="shared" si="76"/>
        <v>0</v>
      </c>
      <c r="M337" s="554">
        <f t="shared" si="77"/>
        <v>0</v>
      </c>
      <c r="N337" s="104"/>
    </row>
    <row r="338" spans="1:14" s="73" customFormat="1">
      <c r="A338" s="147"/>
      <c r="B338" s="240"/>
      <c r="C338" s="247"/>
      <c r="D338" s="188"/>
      <c r="E338" s="210"/>
      <c r="F338" s="292" t="str">
        <f>IFERROR(VLOOKUP(D338,'ВИС-2026'!$E$17:$H$2115,5,0),"")</f>
        <v/>
      </c>
      <c r="G338" s="428"/>
      <c r="H338" s="554" t="str">
        <f>IFERROR(VLOOKUP(D338,'ВИС-2026'!$E$17:$K$2649,8,0),"")</f>
        <v/>
      </c>
      <c r="I338" s="554" t="str">
        <f t="shared" si="73"/>
        <v/>
      </c>
      <c r="J338" s="554" t="str">
        <f t="shared" si="74"/>
        <v/>
      </c>
      <c r="K338" s="554" t="str">
        <f t="shared" si="75"/>
        <v/>
      </c>
      <c r="L338" s="554" t="str">
        <f t="shared" si="76"/>
        <v/>
      </c>
      <c r="M338" s="554" t="str">
        <f t="shared" si="77"/>
        <v/>
      </c>
      <c r="N338" s="104"/>
    </row>
    <row r="339" spans="1:14" s="73" customFormat="1">
      <c r="A339" s="150"/>
      <c r="B339" s="188" t="s">
        <v>30</v>
      </c>
      <c r="C339" s="190" t="s">
        <v>23</v>
      </c>
      <c r="D339" s="242">
        <v>14563963001</v>
      </c>
      <c r="E339" s="553" t="str">
        <f>IFERROR(VLOOKUP(D339,'ВИС-2026'!$E$17:$H$2115,2,0),"")</f>
        <v>Угольник-переходник РЕХАУ с накидной гайкой 16-G 1/2 RX+</v>
      </c>
      <c r="F339" s="292" t="str">
        <f>IFERROR(VLOOKUP(D339,'ВИС-2026'!$E$17:$H$2115,4,0),"")</f>
        <v>шт</v>
      </c>
      <c r="G339" s="428"/>
      <c r="H339" s="554">
        <f>IFERROR(VLOOKUP(D339,'ВИС-2026'!$E$17:$K$2649,7,0),"")</f>
        <v>12.37</v>
      </c>
      <c r="I339" s="554">
        <f t="shared" si="73"/>
        <v>0</v>
      </c>
      <c r="J339" s="554">
        <f t="shared" si="74"/>
        <v>12.37</v>
      </c>
      <c r="K339" s="554">
        <f t="shared" si="75"/>
        <v>0</v>
      </c>
      <c r="L339" s="554">
        <f t="shared" si="76"/>
        <v>0</v>
      </c>
      <c r="M339" s="554">
        <f t="shared" si="77"/>
        <v>0</v>
      </c>
      <c r="N339" s="104"/>
    </row>
    <row r="340" spans="1:14" s="73" customFormat="1">
      <c r="A340" s="147"/>
      <c r="B340" s="188" t="s">
        <v>30</v>
      </c>
      <c r="C340" s="190" t="s">
        <v>23</v>
      </c>
      <c r="D340" s="242">
        <v>14564133001</v>
      </c>
      <c r="E340" s="553" t="str">
        <f>IFERROR(VLOOKUP(D340,'ВИС-2026'!$E$17:$H$2115,2,0),"")</f>
        <v>Угольник-переходник РЕХАУ с накидной гайкой 20-G 1/2 RX+</v>
      </c>
      <c r="F340" s="292" t="str">
        <f>IFERROR(VLOOKUP(D340,'ВИС-2026'!$E$17:$H$2115,4,0),"")</f>
        <v>шт</v>
      </c>
      <c r="G340" s="428"/>
      <c r="H340" s="554">
        <f>IFERROR(VLOOKUP(D340,'ВИС-2026'!$E$17:$K$2649,7,0),"")</f>
        <v>15.47</v>
      </c>
      <c r="I340" s="554">
        <f t="shared" si="73"/>
        <v>0</v>
      </c>
      <c r="J340" s="554">
        <f t="shared" si="74"/>
        <v>15.47</v>
      </c>
      <c r="K340" s="554">
        <f t="shared" si="75"/>
        <v>0</v>
      </c>
      <c r="L340" s="554">
        <f t="shared" si="76"/>
        <v>0</v>
      </c>
      <c r="M340" s="554">
        <f t="shared" si="77"/>
        <v>0</v>
      </c>
      <c r="N340" s="104"/>
    </row>
    <row r="341" spans="1:14" s="73" customFormat="1">
      <c r="A341" s="147"/>
      <c r="B341" s="188"/>
      <c r="C341" s="215"/>
      <c r="D341" s="217"/>
      <c r="E341" s="218"/>
      <c r="F341" s="292" t="str">
        <f>IFERROR(VLOOKUP(D341,'ВИС-2026'!$E$17:$H$2115,5,0),"")</f>
        <v/>
      </c>
      <c r="G341" s="428"/>
      <c r="H341" s="554" t="str">
        <f>IFERROR(VLOOKUP(D341,'ВИС-2026'!$E$17:$K$2649,8,0),"")</f>
        <v/>
      </c>
      <c r="I341" s="554" t="str">
        <f t="shared" si="73"/>
        <v/>
      </c>
      <c r="J341" s="554" t="str">
        <f t="shared" si="74"/>
        <v/>
      </c>
      <c r="K341" s="554" t="str">
        <f t="shared" si="75"/>
        <v/>
      </c>
      <c r="L341" s="554" t="str">
        <f t="shared" si="76"/>
        <v/>
      </c>
      <c r="M341" s="554" t="str">
        <f t="shared" si="77"/>
        <v/>
      </c>
      <c r="N341" s="104"/>
    </row>
    <row r="342" spans="1:14">
      <c r="A342" s="147"/>
      <c r="B342" s="188" t="s">
        <v>30</v>
      </c>
      <c r="C342" s="238" t="s">
        <v>23</v>
      </c>
      <c r="D342" s="188">
        <v>11097221001</v>
      </c>
      <c r="E342" s="553" t="str">
        <f>IFERROR(VLOOKUP(D342,'ВИС-2026'!$E$17:$H$2115,2,0),"")</f>
        <v>Угольник-переходник с накидной гайкой 16-G 1/2 MX</v>
      </c>
      <c r="F342" s="292" t="str">
        <f>IFERROR(VLOOKUP(D342,'ВИС-2026'!$E$17:$H$2115,4,0),"")</f>
        <v>шт</v>
      </c>
      <c r="G342" s="428"/>
      <c r="H342" s="554">
        <f>IFERROR(VLOOKUP(D342,'ВИС-2026'!$E$17:$K$2649,7,0),"")</f>
        <v>7.73</v>
      </c>
      <c r="I342" s="554">
        <f t="shared" si="73"/>
        <v>0</v>
      </c>
      <c r="J342" s="554">
        <f t="shared" si="74"/>
        <v>7.73</v>
      </c>
      <c r="K342" s="554">
        <f t="shared" si="75"/>
        <v>0</v>
      </c>
      <c r="L342" s="554">
        <f t="shared" si="76"/>
        <v>0</v>
      </c>
      <c r="M342" s="554">
        <f t="shared" si="77"/>
        <v>0</v>
      </c>
      <c r="N342" s="104"/>
    </row>
    <row r="343" spans="1:14">
      <c r="A343" s="147"/>
      <c r="B343" s="188"/>
      <c r="C343" s="215"/>
      <c r="D343" s="217"/>
      <c r="E343" s="218"/>
      <c r="F343" s="292" t="str">
        <f>IFERROR(VLOOKUP(D343,'ВИС-2026'!$E$17:$H$2115,5,0),"")</f>
        <v/>
      </c>
      <c r="G343" s="428"/>
      <c r="H343" s="554" t="str">
        <f>IFERROR(VLOOKUP(D343,'ВИС-2026'!$E$17:$K$2649,8,0),"")</f>
        <v/>
      </c>
      <c r="I343" s="554" t="str">
        <f t="shared" si="73"/>
        <v/>
      </c>
      <c r="J343" s="554" t="str">
        <f t="shared" si="74"/>
        <v/>
      </c>
      <c r="K343" s="554" t="str">
        <f t="shared" si="75"/>
        <v/>
      </c>
      <c r="L343" s="554" t="str">
        <f t="shared" si="76"/>
        <v/>
      </c>
      <c r="M343" s="554" t="str">
        <f t="shared" si="77"/>
        <v/>
      </c>
      <c r="N343" s="104"/>
    </row>
    <row r="344" spans="1:14" ht="30.6">
      <c r="A344" s="148" t="s">
        <v>25</v>
      </c>
      <c r="B344" s="208" t="s">
        <v>26</v>
      </c>
      <c r="C344" s="238" t="s">
        <v>23</v>
      </c>
      <c r="D344" s="188">
        <v>14564131001</v>
      </c>
      <c r="E344" s="553" t="str">
        <f>IFERROR(VLOOKUP(D344,'ВИС-2026'!$E$17:$H$2115,2,0),"")</f>
        <v>Угольник-переходник с накидной гайкой 20-G 1/2 RX+</v>
      </c>
      <c r="F344" s="292" t="str">
        <f>IFERROR(VLOOKUP(D344,'ВИС-2026'!$E$17:$H$2115,4,0),"")</f>
        <v>шт</v>
      </c>
      <c r="G344" s="428"/>
      <c r="H344" s="554">
        <f>IFERROR(VLOOKUP(D344,'ВИС-2026'!$E$17:$K$2649,7,0),"")</f>
        <v>23.52</v>
      </c>
      <c r="I344" s="554">
        <f t="shared" si="73"/>
        <v>0</v>
      </c>
      <c r="J344" s="554">
        <f t="shared" si="74"/>
        <v>23.52</v>
      </c>
      <c r="K344" s="554">
        <f t="shared" si="75"/>
        <v>0</v>
      </c>
      <c r="L344" s="554">
        <f t="shared" si="76"/>
        <v>0</v>
      </c>
      <c r="M344" s="554">
        <f t="shared" si="77"/>
        <v>0</v>
      </c>
      <c r="N344" s="104"/>
    </row>
    <row r="345" spans="1:14">
      <c r="A345" s="147"/>
      <c r="B345" s="240"/>
      <c r="C345" s="247"/>
      <c r="D345" s="188"/>
      <c r="E345" s="210"/>
      <c r="F345" s="292" t="str">
        <f>IFERROR(VLOOKUP(D345,'ВИС-2026'!$E$17:$H$2115,5,0),"")</f>
        <v/>
      </c>
      <c r="G345" s="428"/>
      <c r="H345" s="554" t="str">
        <f>IFERROR(VLOOKUP(D345,'ВИС-2026'!$E$17:$K$2649,8,0),"")</f>
        <v/>
      </c>
      <c r="I345" s="554" t="str">
        <f t="shared" si="73"/>
        <v/>
      </c>
      <c r="J345" s="554" t="str">
        <f t="shared" si="74"/>
        <v/>
      </c>
      <c r="K345" s="554" t="str">
        <f t="shared" si="75"/>
        <v/>
      </c>
      <c r="L345" s="554" t="str">
        <f t="shared" si="76"/>
        <v/>
      </c>
      <c r="M345" s="554" t="str">
        <f t="shared" si="77"/>
        <v/>
      </c>
      <c r="N345" s="104"/>
    </row>
    <row r="346" spans="1:14" s="74" customFormat="1">
      <c r="A346" s="147"/>
      <c r="B346" s="188" t="s">
        <v>30</v>
      </c>
      <c r="C346" s="190" t="s">
        <v>23</v>
      </c>
      <c r="D346" s="242">
        <v>14570213001</v>
      </c>
      <c r="E346" s="553" t="str">
        <f>IFERROR(VLOOKUP(D346,'ВИС-2026'!$E$17:$H$2115,2,0),"")</f>
        <v>Угольник РЕХАУ 90°, 16 RX+</v>
      </c>
      <c r="F346" s="292" t="str">
        <f>IFERROR(VLOOKUP(D346,'ВИС-2026'!$E$17:$H$2115,4,0),"")</f>
        <v>шт</v>
      </c>
      <c r="G346" s="428"/>
      <c r="H346" s="554">
        <f>IFERROR(VLOOKUP(D346,'ВИС-2026'!$E$17:$K$2649,7,0),"")</f>
        <v>8.75</v>
      </c>
      <c r="I346" s="554">
        <f t="shared" si="73"/>
        <v>0</v>
      </c>
      <c r="J346" s="554">
        <f t="shared" si="74"/>
        <v>8.75</v>
      </c>
      <c r="K346" s="554">
        <f t="shared" si="75"/>
        <v>0</v>
      </c>
      <c r="L346" s="554">
        <f t="shared" si="76"/>
        <v>0</v>
      </c>
      <c r="M346" s="554">
        <f t="shared" si="77"/>
        <v>0</v>
      </c>
      <c r="N346" s="104"/>
    </row>
    <row r="347" spans="1:14" s="74" customFormat="1">
      <c r="A347" s="147"/>
      <c r="B347" s="188" t="s">
        <v>30</v>
      </c>
      <c r="C347" s="190" t="s">
        <v>23</v>
      </c>
      <c r="D347" s="242">
        <v>14570223001</v>
      </c>
      <c r="E347" s="553" t="str">
        <f>IFERROR(VLOOKUP(D347,'ВИС-2026'!$E$17:$H$2115,2,0),"")</f>
        <v>Угольник РЕХАУ 90°, 20 RX+</v>
      </c>
      <c r="F347" s="292" t="str">
        <f>IFERROR(VLOOKUP(D347,'ВИС-2026'!$E$17:$H$2115,4,0),"")</f>
        <v>шт</v>
      </c>
      <c r="G347" s="428"/>
      <c r="H347" s="554">
        <f>IFERROR(VLOOKUP(D347,'ВИС-2026'!$E$17:$K$2649,7,0),"")</f>
        <v>11.87</v>
      </c>
      <c r="I347" s="554">
        <f t="shared" si="73"/>
        <v>0</v>
      </c>
      <c r="J347" s="554">
        <f t="shared" si="74"/>
        <v>11.87</v>
      </c>
      <c r="K347" s="554">
        <f t="shared" si="75"/>
        <v>0</v>
      </c>
      <c r="L347" s="554">
        <f t="shared" si="76"/>
        <v>0</v>
      </c>
      <c r="M347" s="554">
        <f t="shared" si="77"/>
        <v>0</v>
      </c>
      <c r="N347" s="104"/>
    </row>
    <row r="348" spans="1:14" s="74" customFormat="1">
      <c r="A348" s="147"/>
      <c r="B348" s="188" t="s">
        <v>30</v>
      </c>
      <c r="C348" s="190" t="s">
        <v>23</v>
      </c>
      <c r="D348" s="242">
        <v>14570233001</v>
      </c>
      <c r="E348" s="553" t="str">
        <f>IFERROR(VLOOKUP(D348,'ВИС-2026'!$E$17:$H$2115,2,0),"")</f>
        <v>Угольник РЕХАУ 90°, 25 RX+</v>
      </c>
      <c r="F348" s="292" t="str">
        <f>IFERROR(VLOOKUP(D348,'ВИС-2026'!$E$17:$H$2115,4,0),"")</f>
        <v>шт</v>
      </c>
      <c r="G348" s="428"/>
      <c r="H348" s="554">
        <f>IFERROR(VLOOKUP(D348,'ВИС-2026'!$E$17:$K$2649,7,0),"")</f>
        <v>20.170000000000002</v>
      </c>
      <c r="I348" s="554">
        <f t="shared" si="73"/>
        <v>0</v>
      </c>
      <c r="J348" s="554">
        <f t="shared" si="74"/>
        <v>20.170000000000002</v>
      </c>
      <c r="K348" s="554">
        <f t="shared" si="75"/>
        <v>0</v>
      </c>
      <c r="L348" s="554">
        <f t="shared" si="76"/>
        <v>0</v>
      </c>
      <c r="M348" s="554">
        <f t="shared" si="77"/>
        <v>0</v>
      </c>
      <c r="N348" s="104"/>
    </row>
    <row r="349" spans="1:14" s="74" customFormat="1">
      <c r="A349" s="147"/>
      <c r="B349" s="188" t="s">
        <v>30</v>
      </c>
      <c r="C349" s="190" t="s">
        <v>23</v>
      </c>
      <c r="D349" s="242">
        <v>14570243001</v>
      </c>
      <c r="E349" s="553" t="str">
        <f>IFERROR(VLOOKUP(D349,'ВИС-2026'!$E$17:$H$2115,2,0),"")</f>
        <v>Угольник РЕХАУ 90°, 32 RX+</v>
      </c>
      <c r="F349" s="292" t="str">
        <f>IFERROR(VLOOKUP(D349,'ВИС-2026'!$E$17:$H$2115,4,0),"")</f>
        <v>шт</v>
      </c>
      <c r="G349" s="428"/>
      <c r="H349" s="554">
        <f>IFERROR(VLOOKUP(D349,'ВИС-2026'!$E$17:$K$2649,7,0),"")</f>
        <v>35.700000000000003</v>
      </c>
      <c r="I349" s="554">
        <f t="shared" si="73"/>
        <v>0</v>
      </c>
      <c r="J349" s="554">
        <f t="shared" si="74"/>
        <v>35.700000000000003</v>
      </c>
      <c r="K349" s="554">
        <f t="shared" si="75"/>
        <v>0</v>
      </c>
      <c r="L349" s="554">
        <f t="shared" si="76"/>
        <v>0</v>
      </c>
      <c r="M349" s="554">
        <f t="shared" si="77"/>
        <v>0</v>
      </c>
      <c r="N349" s="104"/>
    </row>
    <row r="350" spans="1:14" s="74" customFormat="1">
      <c r="A350" s="150"/>
      <c r="B350" s="188" t="s">
        <v>30</v>
      </c>
      <c r="C350" s="190" t="s">
        <v>23</v>
      </c>
      <c r="D350" s="242">
        <v>14570253001</v>
      </c>
      <c r="E350" s="553" t="str">
        <f>IFERROR(VLOOKUP(D350,'ВИС-2026'!$E$17:$H$2115,2,0),"")</f>
        <v>Угольник РЕХАУ 90°, 40 RX+</v>
      </c>
      <c r="F350" s="292" t="str">
        <f>IFERROR(VLOOKUP(D350,'ВИС-2026'!$E$17:$H$2115,4,0),"")</f>
        <v>шт</v>
      </c>
      <c r="G350" s="428"/>
      <c r="H350" s="554">
        <f>IFERROR(VLOOKUP(D350,'ВИС-2026'!$E$17:$K$2649,7,0),"")</f>
        <v>58.02</v>
      </c>
      <c r="I350" s="554">
        <f t="shared" si="73"/>
        <v>0</v>
      </c>
      <c r="J350" s="554">
        <f t="shared" si="74"/>
        <v>58.02</v>
      </c>
      <c r="K350" s="554">
        <f t="shared" si="75"/>
        <v>0</v>
      </c>
      <c r="L350" s="554">
        <f t="shared" si="76"/>
        <v>0</v>
      </c>
      <c r="M350" s="554">
        <f t="shared" si="77"/>
        <v>0</v>
      </c>
      <c r="N350" s="104"/>
    </row>
    <row r="351" spans="1:14" s="74" customFormat="1">
      <c r="A351" s="147"/>
      <c r="B351" s="240"/>
      <c r="C351" s="247"/>
      <c r="D351" s="188"/>
      <c r="E351" s="210"/>
      <c r="F351" s="292" t="str">
        <f>IFERROR(VLOOKUP(D351,'ВИС-2026'!$E$17:$H$2115,5,0),"")</f>
        <v/>
      </c>
      <c r="G351" s="428"/>
      <c r="H351" s="554" t="str">
        <f>IFERROR(VLOOKUP(D351,'ВИС-2026'!$E$17:$K$2649,8,0),"")</f>
        <v/>
      </c>
      <c r="I351" s="554" t="str">
        <f t="shared" si="73"/>
        <v/>
      </c>
      <c r="J351" s="554" t="str">
        <f t="shared" si="74"/>
        <v/>
      </c>
      <c r="K351" s="554" t="str">
        <f t="shared" si="75"/>
        <v/>
      </c>
      <c r="L351" s="554" t="str">
        <f t="shared" si="76"/>
        <v/>
      </c>
      <c r="M351" s="554" t="str">
        <f t="shared" si="77"/>
        <v/>
      </c>
      <c r="N351" s="104"/>
    </row>
    <row r="352" spans="1:14">
      <c r="A352" s="147"/>
      <c r="B352" s="188" t="s">
        <v>30</v>
      </c>
      <c r="C352" s="190" t="s">
        <v>23</v>
      </c>
      <c r="D352" s="188">
        <v>11080211001</v>
      </c>
      <c r="E352" s="553" t="str">
        <f>IFERROR(VLOOKUP(D352,'ВИС-2026'!$E$17:$H$2115,2,0),"")</f>
        <v>Угольник 90°, 16 MX</v>
      </c>
      <c r="F352" s="292" t="str">
        <f>IFERROR(VLOOKUP(D352,'ВИС-2026'!$E$17:$H$2115,4,0),"")</f>
        <v>шт</v>
      </c>
      <c r="G352" s="428"/>
      <c r="H352" s="554">
        <f>IFERROR(VLOOKUP(D352,'ВИС-2026'!$E$17:$K$2649,7,0),"")</f>
        <v>5.58</v>
      </c>
      <c r="I352" s="554">
        <f t="shared" si="73"/>
        <v>0</v>
      </c>
      <c r="J352" s="554">
        <f t="shared" si="74"/>
        <v>5.58</v>
      </c>
      <c r="K352" s="554">
        <f t="shared" si="75"/>
        <v>0</v>
      </c>
      <c r="L352" s="554">
        <f t="shared" si="76"/>
        <v>0</v>
      </c>
      <c r="M352" s="554">
        <f t="shared" si="77"/>
        <v>0</v>
      </c>
      <c r="N352" s="104"/>
    </row>
    <row r="353" spans="1:14" s="73" customFormat="1">
      <c r="A353" s="147"/>
      <c r="B353" s="188" t="s">
        <v>30</v>
      </c>
      <c r="C353" s="190" t="s">
        <v>23</v>
      </c>
      <c r="D353" s="188">
        <v>11080221001</v>
      </c>
      <c r="E353" s="553" t="str">
        <f>IFERROR(VLOOKUP(D353,'ВИС-2026'!$E$17:$H$2115,2,0),"")</f>
        <v>Угольник 90°, 20 MX</v>
      </c>
      <c r="F353" s="292" t="str">
        <f>IFERROR(VLOOKUP(D353,'ВИС-2026'!$E$17:$H$2115,4,0),"")</f>
        <v>шт</v>
      </c>
      <c r="G353" s="428"/>
      <c r="H353" s="554">
        <f>IFERROR(VLOOKUP(D353,'ВИС-2026'!$E$17:$K$2649,7,0),"")</f>
        <v>7.56</v>
      </c>
      <c r="I353" s="554">
        <f t="shared" si="73"/>
        <v>0</v>
      </c>
      <c r="J353" s="554">
        <f t="shared" si="74"/>
        <v>7.56</v>
      </c>
      <c r="K353" s="554">
        <f t="shared" si="75"/>
        <v>0</v>
      </c>
      <c r="L353" s="554">
        <f t="shared" si="76"/>
        <v>0</v>
      </c>
      <c r="M353" s="554">
        <f t="shared" si="77"/>
        <v>0</v>
      </c>
      <c r="N353" s="104"/>
    </row>
    <row r="354" spans="1:14">
      <c r="A354" s="147"/>
      <c r="B354" s="188" t="s">
        <v>30</v>
      </c>
      <c r="C354" s="190" t="s">
        <v>23</v>
      </c>
      <c r="D354" s="188">
        <v>11080231001</v>
      </c>
      <c r="E354" s="553" t="str">
        <f>IFERROR(VLOOKUP(D354,'ВИС-2026'!$E$17:$H$2115,2,0),"")</f>
        <v>Угольник 90°, 25 MX</v>
      </c>
      <c r="F354" s="292" t="str">
        <f>IFERROR(VLOOKUP(D354,'ВИС-2026'!$E$17:$H$2115,4,0),"")</f>
        <v>шт</v>
      </c>
      <c r="G354" s="428"/>
      <c r="H354" s="554">
        <f>IFERROR(VLOOKUP(D354,'ВИС-2026'!$E$17:$K$2649,7,0),"")</f>
        <v>12.85</v>
      </c>
      <c r="I354" s="554">
        <f t="shared" si="73"/>
        <v>0</v>
      </c>
      <c r="J354" s="554">
        <f t="shared" si="74"/>
        <v>12.85</v>
      </c>
      <c r="K354" s="554">
        <f t="shared" si="75"/>
        <v>0</v>
      </c>
      <c r="L354" s="554">
        <f t="shared" si="76"/>
        <v>0</v>
      </c>
      <c r="M354" s="554">
        <f t="shared" si="77"/>
        <v>0</v>
      </c>
      <c r="N354" s="104"/>
    </row>
    <row r="355" spans="1:14" s="73" customFormat="1">
      <c r="A355" s="147"/>
      <c r="B355" s="188" t="s">
        <v>30</v>
      </c>
      <c r="C355" s="190" t="s">
        <v>23</v>
      </c>
      <c r="D355" s="188">
        <v>11080241001</v>
      </c>
      <c r="E355" s="553" t="str">
        <f>IFERROR(VLOOKUP(D355,'ВИС-2026'!$E$17:$H$2115,2,0),"")</f>
        <v>Угольник 90°, 32 MX</v>
      </c>
      <c r="F355" s="292" t="str">
        <f>IFERROR(VLOOKUP(D355,'ВИС-2026'!$E$17:$H$2115,4,0),"")</f>
        <v>шт</v>
      </c>
      <c r="G355" s="428"/>
      <c r="H355" s="554">
        <f>IFERROR(VLOOKUP(D355,'ВИС-2026'!$E$17:$K$2649,7,0),"")</f>
        <v>22.74</v>
      </c>
      <c r="I355" s="554">
        <f t="shared" si="73"/>
        <v>0</v>
      </c>
      <c r="J355" s="554">
        <f t="shared" si="74"/>
        <v>22.74</v>
      </c>
      <c r="K355" s="554">
        <f t="shared" si="75"/>
        <v>0</v>
      </c>
      <c r="L355" s="554">
        <f t="shared" si="76"/>
        <v>0</v>
      </c>
      <c r="M355" s="554">
        <f t="shared" si="77"/>
        <v>0</v>
      </c>
      <c r="N355" s="104"/>
    </row>
    <row r="356" spans="1:14">
      <c r="A356" s="147"/>
      <c r="B356" s="188" t="s">
        <v>30</v>
      </c>
      <c r="C356" s="190" t="s">
        <v>23</v>
      </c>
      <c r="D356" s="188">
        <v>11080251001</v>
      </c>
      <c r="E356" s="553" t="str">
        <f>IFERROR(VLOOKUP(D356,'ВИС-2026'!$E$17:$H$2115,2,0),"")</f>
        <v>Угольник 90°, 40 MX</v>
      </c>
      <c r="F356" s="292" t="str">
        <f>IFERROR(VLOOKUP(D356,'ВИС-2026'!$E$17:$H$2115,4,0),"")</f>
        <v>шт</v>
      </c>
      <c r="G356" s="428"/>
      <c r="H356" s="554">
        <f>IFERROR(VLOOKUP(D356,'ВИС-2026'!$E$17:$K$2649,7,0),"")</f>
        <v>36.950000000000003</v>
      </c>
      <c r="I356" s="554">
        <f t="shared" si="73"/>
        <v>0</v>
      </c>
      <c r="J356" s="554">
        <f t="shared" si="74"/>
        <v>36.950000000000003</v>
      </c>
      <c r="K356" s="554">
        <f t="shared" si="75"/>
        <v>0</v>
      </c>
      <c r="L356" s="554">
        <f t="shared" si="76"/>
        <v>0</v>
      </c>
      <c r="M356" s="554">
        <f t="shared" si="77"/>
        <v>0</v>
      </c>
      <c r="N356" s="104"/>
    </row>
    <row r="357" spans="1:14" s="73" customFormat="1">
      <c r="A357" s="147"/>
      <c r="B357" s="188" t="s">
        <v>30</v>
      </c>
      <c r="C357" s="190" t="s">
        <v>23</v>
      </c>
      <c r="D357" s="188">
        <v>11093071001</v>
      </c>
      <c r="E357" s="553" t="str">
        <f>IFERROR(VLOOKUP(D357,'ВИС-2026'!$E$17:$H$2115,2,0),"")</f>
        <v>Угольник 90°, 50 MX</v>
      </c>
      <c r="F357" s="292" t="str">
        <f>IFERROR(VLOOKUP(D357,'ВИС-2026'!$E$17:$H$2115,4,0),"")</f>
        <v>шт</v>
      </c>
      <c r="G357" s="428"/>
      <c r="H357" s="554">
        <f>IFERROR(VLOOKUP(D357,'ВИС-2026'!$E$17:$K$2649,7,0),"")</f>
        <v>78.680000000000007</v>
      </c>
      <c r="I357" s="554">
        <f t="shared" si="73"/>
        <v>0</v>
      </c>
      <c r="J357" s="554">
        <f t="shared" si="74"/>
        <v>78.680000000000007</v>
      </c>
      <c r="K357" s="554">
        <f t="shared" si="75"/>
        <v>0</v>
      </c>
      <c r="L357" s="554">
        <f t="shared" si="76"/>
        <v>0</v>
      </c>
      <c r="M357" s="554">
        <f t="shared" si="77"/>
        <v>0</v>
      </c>
      <c r="N357" s="104"/>
    </row>
    <row r="358" spans="1:14">
      <c r="A358" s="147"/>
      <c r="B358" s="188" t="s">
        <v>30</v>
      </c>
      <c r="C358" s="190" t="s">
        <v>23</v>
      </c>
      <c r="D358" s="188">
        <v>11093081001</v>
      </c>
      <c r="E358" s="553" t="str">
        <f>IFERROR(VLOOKUP(D358,'ВИС-2026'!$E$17:$H$2115,2,0),"")</f>
        <v>Угольник 90°, 63 MX</v>
      </c>
      <c r="F358" s="292" t="str">
        <f>IFERROR(VLOOKUP(D358,'ВИС-2026'!$E$17:$H$2115,4,0),"")</f>
        <v>шт</v>
      </c>
      <c r="G358" s="428"/>
      <c r="H358" s="554">
        <f>IFERROR(VLOOKUP(D358,'ВИС-2026'!$E$17:$K$2649,7,0),"")</f>
        <v>154.06</v>
      </c>
      <c r="I358" s="554">
        <f t="shared" si="73"/>
        <v>0</v>
      </c>
      <c r="J358" s="554">
        <f t="shared" si="74"/>
        <v>154.06</v>
      </c>
      <c r="K358" s="554">
        <f t="shared" si="75"/>
        <v>0</v>
      </c>
      <c r="L358" s="554">
        <f t="shared" si="76"/>
        <v>0</v>
      </c>
      <c r="M358" s="554">
        <f t="shared" si="77"/>
        <v>0</v>
      </c>
      <c r="N358" s="104"/>
    </row>
    <row r="359" spans="1:14">
      <c r="A359" s="147"/>
      <c r="B359" s="240"/>
      <c r="C359" s="247"/>
      <c r="D359" s="188"/>
      <c r="E359" s="210"/>
      <c r="F359" s="292" t="str">
        <f>IFERROR(VLOOKUP(D359,'ВИС-2026'!$E$17:$H$2115,5,0),"")</f>
        <v/>
      </c>
      <c r="G359" s="428"/>
      <c r="H359" s="554" t="str">
        <f>IFERROR(VLOOKUP(D359,'ВИС-2026'!$E$17:$K$2649,8,0),"")</f>
        <v/>
      </c>
      <c r="I359" s="554" t="str">
        <f t="shared" si="73"/>
        <v/>
      </c>
      <c r="J359" s="554" t="str">
        <f t="shared" si="74"/>
        <v/>
      </c>
      <c r="K359" s="554" t="str">
        <f t="shared" si="75"/>
        <v/>
      </c>
      <c r="L359" s="554" t="str">
        <f t="shared" si="76"/>
        <v/>
      </c>
      <c r="M359" s="554" t="str">
        <f t="shared" si="77"/>
        <v/>
      </c>
      <c r="N359" s="104"/>
    </row>
    <row r="360" spans="1:14">
      <c r="A360" s="147"/>
      <c r="B360" s="260"/>
      <c r="C360" s="215"/>
      <c r="D360" s="217"/>
      <c r="E360" s="218"/>
      <c r="F360" s="292" t="str">
        <f>IFERROR(VLOOKUP(D360,'ВИС-2026'!$E$17:$H$2115,5,0),"")</f>
        <v/>
      </c>
      <c r="G360" s="428"/>
      <c r="H360" s="554" t="str">
        <f>IFERROR(VLOOKUP(D360,'ВИС-2026'!$E$17:$K$2649,8,0),"")</f>
        <v/>
      </c>
      <c r="I360" s="554" t="str">
        <f t="shared" si="73"/>
        <v/>
      </c>
      <c r="J360" s="554" t="str">
        <f t="shared" si="74"/>
        <v/>
      </c>
      <c r="K360" s="554" t="str">
        <f t="shared" si="75"/>
        <v/>
      </c>
      <c r="L360" s="554" t="str">
        <f t="shared" si="76"/>
        <v/>
      </c>
      <c r="M360" s="554" t="str">
        <f t="shared" si="77"/>
        <v/>
      </c>
      <c r="N360" s="104"/>
    </row>
    <row r="361" spans="1:14" s="73" customFormat="1" ht="30.6">
      <c r="A361" s="148" t="s">
        <v>25</v>
      </c>
      <c r="B361" s="208" t="s">
        <v>26</v>
      </c>
      <c r="C361" s="190" t="s">
        <v>23</v>
      </c>
      <c r="D361" s="188">
        <v>13777011001</v>
      </c>
      <c r="E361" s="553" t="str">
        <f>IFERROR(VLOOKUP(D361,'ВИС-2026'!$E$17:$H$2115,2,0),"")</f>
        <v>Угольник 90° 16 PLATINUM RX</v>
      </c>
      <c r="F361" s="292" t="str">
        <f>IFERROR(VLOOKUP(D361,'ВИС-2026'!$E$17:$H$2115,4,0),"")</f>
        <v>шт</v>
      </c>
      <c r="G361" s="428"/>
      <c r="H361" s="554">
        <f>IFERROR(VLOOKUP(D361,'ВИС-2026'!$E$17:$K$2649,7,0),"")</f>
        <v>5.38</v>
      </c>
      <c r="I361" s="554">
        <f t="shared" si="73"/>
        <v>0</v>
      </c>
      <c r="J361" s="554">
        <f t="shared" si="74"/>
        <v>5.38</v>
      </c>
      <c r="K361" s="554">
        <f t="shared" si="75"/>
        <v>0</v>
      </c>
      <c r="L361" s="554">
        <f t="shared" si="76"/>
        <v>0</v>
      </c>
      <c r="M361" s="554">
        <f t="shared" si="77"/>
        <v>0</v>
      </c>
      <c r="N361" s="104"/>
    </row>
    <row r="362" spans="1:14" ht="30.6">
      <c r="A362" s="148" t="s">
        <v>25</v>
      </c>
      <c r="B362" s="208" t="s">
        <v>26</v>
      </c>
      <c r="C362" s="190" t="s">
        <v>23</v>
      </c>
      <c r="D362" s="188">
        <v>13777021001</v>
      </c>
      <c r="E362" s="553" t="str">
        <f>IFERROR(VLOOKUP(D362,'ВИС-2026'!$E$17:$H$2115,2,0),"")</f>
        <v>Угольник 90° 20 PLATINUM RX</v>
      </c>
      <c r="F362" s="292" t="str">
        <f>IFERROR(VLOOKUP(D362,'ВИС-2026'!$E$17:$H$2115,4,0),"")</f>
        <v>шт</v>
      </c>
      <c r="G362" s="428"/>
      <c r="H362" s="554">
        <f>IFERROR(VLOOKUP(D362,'ВИС-2026'!$E$17:$K$2649,7,0),"")</f>
        <v>6.51</v>
      </c>
      <c r="I362" s="554">
        <f t="shared" si="73"/>
        <v>0</v>
      </c>
      <c r="J362" s="554">
        <f t="shared" si="74"/>
        <v>6.51</v>
      </c>
      <c r="K362" s="554">
        <f t="shared" si="75"/>
        <v>0</v>
      </c>
      <c r="L362" s="554">
        <f t="shared" si="76"/>
        <v>0</v>
      </c>
      <c r="M362" s="554">
        <f t="shared" si="77"/>
        <v>0</v>
      </c>
      <c r="N362" s="104"/>
    </row>
    <row r="363" spans="1:14" s="73" customFormat="1">
      <c r="A363" s="147"/>
      <c r="B363" s="188"/>
      <c r="C363" s="215"/>
      <c r="D363" s="217"/>
      <c r="E363" s="249"/>
      <c r="F363" s="292" t="str">
        <f>IFERROR(VLOOKUP(D363,'ВИС-2026'!$E$17:$H$2115,5,0),"")</f>
        <v/>
      </c>
      <c r="G363" s="428"/>
      <c r="H363" s="554" t="str">
        <f>IFERROR(VLOOKUP(D363,'ВИС-2026'!$E$17:$K$2649,8,0),"")</f>
        <v/>
      </c>
      <c r="I363" s="554" t="str">
        <f t="shared" si="73"/>
        <v/>
      </c>
      <c r="J363" s="554" t="str">
        <f t="shared" si="74"/>
        <v/>
      </c>
      <c r="K363" s="554" t="str">
        <f t="shared" si="75"/>
        <v/>
      </c>
      <c r="L363" s="554" t="str">
        <f t="shared" si="76"/>
        <v/>
      </c>
      <c r="M363" s="554" t="str">
        <f t="shared" si="77"/>
        <v/>
      </c>
      <c r="N363" s="104"/>
    </row>
    <row r="364" spans="1:14" s="73" customFormat="1">
      <c r="A364" s="150"/>
      <c r="B364" s="188" t="s">
        <v>30</v>
      </c>
      <c r="C364" s="190" t="s">
        <v>23</v>
      </c>
      <c r="D364" s="242">
        <v>14570523001</v>
      </c>
      <c r="E364" s="553" t="str">
        <f>IFERROR(VLOOKUP(D364,'ВИС-2026'!$E$17:$H$2115,2,0),"")</f>
        <v>Угольник РЕХАУ 45°, 20 RX+</v>
      </c>
      <c r="F364" s="292" t="str">
        <f>IFERROR(VLOOKUP(D364,'ВИС-2026'!$E$17:$H$2115,4,0),"")</f>
        <v>шт</v>
      </c>
      <c r="G364" s="428"/>
      <c r="H364" s="554">
        <f>IFERROR(VLOOKUP(D364,'ВИС-2026'!$E$17:$K$2649,7,0),"")</f>
        <v>21.57</v>
      </c>
      <c r="I364" s="554">
        <f t="shared" si="73"/>
        <v>0</v>
      </c>
      <c r="J364" s="554">
        <f t="shared" si="74"/>
        <v>21.57</v>
      </c>
      <c r="K364" s="554">
        <f t="shared" si="75"/>
        <v>0</v>
      </c>
      <c r="L364" s="554">
        <f t="shared" si="76"/>
        <v>0</v>
      </c>
      <c r="M364" s="554">
        <f t="shared" si="77"/>
        <v>0</v>
      </c>
      <c r="N364" s="104"/>
    </row>
    <row r="365" spans="1:14" s="73" customFormat="1">
      <c r="A365" s="150"/>
      <c r="B365" s="188" t="s">
        <v>30</v>
      </c>
      <c r="C365" s="190" t="s">
        <v>23</v>
      </c>
      <c r="D365" s="242">
        <v>14570533001</v>
      </c>
      <c r="E365" s="553" t="str">
        <f>IFERROR(VLOOKUP(D365,'ВИС-2026'!$E$17:$H$2115,2,0),"")</f>
        <v>Угольник РЕХАУ 45°, 25 RX+</v>
      </c>
      <c r="F365" s="292" t="str">
        <f>IFERROR(VLOOKUP(D365,'ВИС-2026'!$E$17:$H$2115,4,0),"")</f>
        <v>шт</v>
      </c>
      <c r="G365" s="428"/>
      <c r="H365" s="554">
        <f>IFERROR(VLOOKUP(D365,'ВИС-2026'!$E$17:$K$2649,7,0),"")</f>
        <v>27.66</v>
      </c>
      <c r="I365" s="554">
        <f t="shared" si="73"/>
        <v>0</v>
      </c>
      <c r="J365" s="554">
        <f t="shared" si="74"/>
        <v>27.66</v>
      </c>
      <c r="K365" s="554">
        <f t="shared" si="75"/>
        <v>0</v>
      </c>
      <c r="L365" s="554">
        <f t="shared" si="76"/>
        <v>0</v>
      </c>
      <c r="M365" s="554">
        <f t="shared" si="77"/>
        <v>0</v>
      </c>
      <c r="N365" s="104"/>
    </row>
    <row r="366" spans="1:14" s="73" customFormat="1">
      <c r="A366" s="150"/>
      <c r="B366" s="188" t="s">
        <v>30</v>
      </c>
      <c r="C366" s="190" t="s">
        <v>23</v>
      </c>
      <c r="D366" s="242">
        <v>14570543001</v>
      </c>
      <c r="E366" s="553" t="str">
        <f>IFERROR(VLOOKUP(D366,'ВИС-2026'!$E$17:$H$2115,2,0),"")</f>
        <v>Угольник РЕХАУ 45°, 32 RX+</v>
      </c>
      <c r="F366" s="292" t="str">
        <f>IFERROR(VLOOKUP(D366,'ВИС-2026'!$E$17:$H$2115,4,0),"")</f>
        <v>шт</v>
      </c>
      <c r="G366" s="428"/>
      <c r="H366" s="554">
        <f>IFERROR(VLOOKUP(D366,'ВИС-2026'!$E$17:$K$2649,7,0),"")</f>
        <v>45.03</v>
      </c>
      <c r="I366" s="554">
        <f t="shared" si="73"/>
        <v>0</v>
      </c>
      <c r="J366" s="554">
        <f t="shared" si="74"/>
        <v>45.03</v>
      </c>
      <c r="K366" s="554">
        <f t="shared" si="75"/>
        <v>0</v>
      </c>
      <c r="L366" s="554">
        <f t="shared" si="76"/>
        <v>0</v>
      </c>
      <c r="M366" s="554">
        <f t="shared" si="77"/>
        <v>0</v>
      </c>
      <c r="N366" s="104"/>
    </row>
    <row r="367" spans="1:14" s="73" customFormat="1">
      <c r="A367" s="150"/>
      <c r="B367" s="188" t="s">
        <v>30</v>
      </c>
      <c r="C367" s="190" t="s">
        <v>23</v>
      </c>
      <c r="D367" s="242">
        <v>14570553001</v>
      </c>
      <c r="E367" s="553" t="str">
        <f>IFERROR(VLOOKUP(D367,'ВИС-2026'!$E$17:$H$2115,2,0),"")</f>
        <v>Угольник РЕХАУ 45°, 40 RX+</v>
      </c>
      <c r="F367" s="292" t="str">
        <f>IFERROR(VLOOKUP(D367,'ВИС-2026'!$E$17:$H$2115,4,0),"")</f>
        <v>шт</v>
      </c>
      <c r="G367" s="428"/>
      <c r="H367" s="554">
        <f>IFERROR(VLOOKUP(D367,'ВИС-2026'!$E$17:$K$2649,7,0),"")</f>
        <v>70.52</v>
      </c>
      <c r="I367" s="554">
        <f t="shared" si="73"/>
        <v>0</v>
      </c>
      <c r="J367" s="554">
        <f t="shared" si="74"/>
        <v>70.52</v>
      </c>
      <c r="K367" s="554">
        <f t="shared" si="75"/>
        <v>0</v>
      </c>
      <c r="L367" s="554">
        <f t="shared" si="76"/>
        <v>0</v>
      </c>
      <c r="M367" s="554">
        <f t="shared" si="77"/>
        <v>0</v>
      </c>
      <c r="N367" s="104"/>
    </row>
    <row r="368" spans="1:14" s="73" customFormat="1">
      <c r="A368" s="147"/>
      <c r="B368" s="188"/>
      <c r="C368" s="215"/>
      <c r="D368" s="217"/>
      <c r="E368" s="249"/>
      <c r="F368" s="292" t="str">
        <f>IFERROR(VLOOKUP(D368,'ВИС-2026'!$E$17:$H$2115,5,0),"")</f>
        <v/>
      </c>
      <c r="G368" s="428"/>
      <c r="H368" s="554" t="str">
        <f>IFERROR(VLOOKUP(D368,'ВИС-2026'!$E$17:$K$2649,8,0),"")</f>
        <v/>
      </c>
      <c r="I368" s="554" t="str">
        <f t="shared" si="73"/>
        <v/>
      </c>
      <c r="J368" s="554" t="str">
        <f t="shared" si="74"/>
        <v/>
      </c>
      <c r="K368" s="554" t="str">
        <f t="shared" si="75"/>
        <v/>
      </c>
      <c r="L368" s="554" t="str">
        <f t="shared" si="76"/>
        <v/>
      </c>
      <c r="M368" s="554" t="str">
        <f t="shared" si="77"/>
        <v/>
      </c>
      <c r="N368" s="104"/>
    </row>
    <row r="369" spans="1:14" s="73" customFormat="1">
      <c r="A369" s="147"/>
      <c r="B369" s="260" t="s">
        <v>30</v>
      </c>
      <c r="C369" s="190" t="s">
        <v>23</v>
      </c>
      <c r="D369" s="188">
        <v>11080521001</v>
      </c>
      <c r="E369" s="553" t="str">
        <f>IFERROR(VLOOKUP(D369,'ВИС-2026'!$E$17:$H$2115,2,0),"")</f>
        <v>Угольник 45°, 20 MX</v>
      </c>
      <c r="F369" s="292" t="str">
        <f>IFERROR(VLOOKUP(D369,'ВИС-2026'!$E$17:$H$2115,4,0),"")</f>
        <v>шт</v>
      </c>
      <c r="G369" s="428"/>
      <c r="H369" s="554">
        <f>IFERROR(VLOOKUP(D369,'ВИС-2026'!$E$17:$K$2649,7,0),"")</f>
        <v>13.74</v>
      </c>
      <c r="I369" s="554">
        <f t="shared" si="73"/>
        <v>0</v>
      </c>
      <c r="J369" s="554">
        <f t="shared" si="74"/>
        <v>13.74</v>
      </c>
      <c r="K369" s="554">
        <f t="shared" si="75"/>
        <v>0</v>
      </c>
      <c r="L369" s="554">
        <f t="shared" si="76"/>
        <v>0</v>
      </c>
      <c r="M369" s="554">
        <f t="shared" si="77"/>
        <v>0</v>
      </c>
      <c r="N369" s="104"/>
    </row>
    <row r="370" spans="1:14" s="73" customFormat="1">
      <c r="A370" s="147"/>
      <c r="B370" s="260" t="s">
        <v>30</v>
      </c>
      <c r="C370" s="190" t="s">
        <v>23</v>
      </c>
      <c r="D370" s="188">
        <v>11080531001</v>
      </c>
      <c r="E370" s="553" t="str">
        <f>IFERROR(VLOOKUP(D370,'ВИС-2026'!$E$17:$H$2115,2,0),"")</f>
        <v>Угольник 45°, 25 MX</v>
      </c>
      <c r="F370" s="292" t="str">
        <f>IFERROR(VLOOKUP(D370,'ВИС-2026'!$E$17:$H$2115,4,0),"")</f>
        <v>шт</v>
      </c>
      <c r="G370" s="428"/>
      <c r="H370" s="554">
        <f>IFERROR(VLOOKUP(D370,'ВИС-2026'!$E$17:$K$2649,7,0),"")</f>
        <v>17.62</v>
      </c>
      <c r="I370" s="554">
        <f t="shared" si="73"/>
        <v>0</v>
      </c>
      <c r="J370" s="554">
        <f t="shared" si="74"/>
        <v>17.62</v>
      </c>
      <c r="K370" s="554">
        <f t="shared" si="75"/>
        <v>0</v>
      </c>
      <c r="L370" s="554">
        <f t="shared" si="76"/>
        <v>0</v>
      </c>
      <c r="M370" s="554">
        <f t="shared" si="77"/>
        <v>0</v>
      </c>
      <c r="N370" s="104"/>
    </row>
    <row r="371" spans="1:14" s="73" customFormat="1">
      <c r="A371" s="147"/>
      <c r="B371" s="260" t="s">
        <v>30</v>
      </c>
      <c r="C371" s="190" t="s">
        <v>23</v>
      </c>
      <c r="D371" s="188">
        <v>11080541001</v>
      </c>
      <c r="E371" s="553" t="str">
        <f>IFERROR(VLOOKUP(D371,'ВИС-2026'!$E$17:$H$2115,2,0),"")</f>
        <v>Угольник 45°, 32 MX</v>
      </c>
      <c r="F371" s="292" t="str">
        <f>IFERROR(VLOOKUP(D371,'ВИС-2026'!$E$17:$H$2115,4,0),"")</f>
        <v>шт</v>
      </c>
      <c r="G371" s="428"/>
      <c r="H371" s="554">
        <f>IFERROR(VLOOKUP(D371,'ВИС-2026'!$E$17:$K$2649,7,0),"")</f>
        <v>28.68</v>
      </c>
      <c r="I371" s="554">
        <f t="shared" si="73"/>
        <v>0</v>
      </c>
      <c r="J371" s="554">
        <f t="shared" si="74"/>
        <v>28.68</v>
      </c>
      <c r="K371" s="554">
        <f t="shared" si="75"/>
        <v>0</v>
      </c>
      <c r="L371" s="554">
        <f t="shared" si="76"/>
        <v>0</v>
      </c>
      <c r="M371" s="554">
        <f t="shared" si="77"/>
        <v>0</v>
      </c>
      <c r="N371" s="104"/>
    </row>
    <row r="372" spans="1:14" s="73" customFormat="1">
      <c r="A372" s="147"/>
      <c r="B372" s="260" t="s">
        <v>30</v>
      </c>
      <c r="C372" s="190" t="s">
        <v>23</v>
      </c>
      <c r="D372" s="188">
        <v>11080551001</v>
      </c>
      <c r="E372" s="553" t="str">
        <f>IFERROR(VLOOKUP(D372,'ВИС-2026'!$E$17:$H$2115,2,0),"")</f>
        <v>Угольник 45°, 40 MX</v>
      </c>
      <c r="F372" s="292" t="str">
        <f>IFERROR(VLOOKUP(D372,'ВИС-2026'!$E$17:$H$2115,4,0),"")</f>
        <v>шт</v>
      </c>
      <c r="G372" s="428"/>
      <c r="H372" s="554">
        <f>IFERROR(VLOOKUP(D372,'ВИС-2026'!$E$17:$K$2649,7,0),"")</f>
        <v>48.63</v>
      </c>
      <c r="I372" s="554">
        <f t="shared" si="73"/>
        <v>0</v>
      </c>
      <c r="J372" s="554">
        <f t="shared" si="74"/>
        <v>48.63</v>
      </c>
      <c r="K372" s="554">
        <f t="shared" si="75"/>
        <v>0</v>
      </c>
      <c r="L372" s="554">
        <f t="shared" si="76"/>
        <v>0</v>
      </c>
      <c r="M372" s="554">
        <f t="shared" si="77"/>
        <v>0</v>
      </c>
      <c r="N372" s="104"/>
    </row>
    <row r="373" spans="1:14" s="73" customFormat="1">
      <c r="A373" s="147"/>
      <c r="B373" s="268"/>
      <c r="C373" s="269"/>
      <c r="D373" s="269"/>
      <c r="E373" s="270"/>
      <c r="F373" s="292" t="str">
        <f>IFERROR(VLOOKUP(D373,'ВИС-2026'!$E$17:$H$2115,5,0),"")</f>
        <v/>
      </c>
      <c r="G373" s="428"/>
      <c r="H373" s="554" t="str">
        <f>IFERROR(VLOOKUP(D373,'ВИС-2026'!$E$17:$K$2649,8,0),"")</f>
        <v/>
      </c>
      <c r="I373" s="554" t="str">
        <f t="shared" si="73"/>
        <v/>
      </c>
      <c r="J373" s="554" t="str">
        <f t="shared" si="74"/>
        <v/>
      </c>
      <c r="K373" s="554" t="str">
        <f t="shared" si="75"/>
        <v/>
      </c>
      <c r="L373" s="554" t="str">
        <f t="shared" si="76"/>
        <v/>
      </c>
      <c r="M373" s="554" t="str">
        <f t="shared" si="77"/>
        <v/>
      </c>
      <c r="N373" s="104"/>
    </row>
    <row r="374" spans="1:14" ht="30.6">
      <c r="A374" s="148" t="s">
        <v>25</v>
      </c>
      <c r="B374" s="208" t="s">
        <v>26</v>
      </c>
      <c r="C374" s="190" t="s">
        <v>23</v>
      </c>
      <c r="D374" s="188">
        <v>11600521001</v>
      </c>
      <c r="E374" s="553" t="str">
        <f>IFERROR(VLOOKUP(D374,'ВИС-2026'!$E$17:$H$2115,2,0),"")</f>
        <v>Угольник 45°, 20 PX</v>
      </c>
      <c r="F374" s="292" t="str">
        <f>IFERROR(VLOOKUP(D374,'ВИС-2026'!$E$17:$H$2115,4,0),"")</f>
        <v>шт</v>
      </c>
      <c r="G374" s="428"/>
      <c r="H374" s="554">
        <f>IFERROR(VLOOKUP(D374,'ВИС-2026'!$E$17:$K$2649,7,0),"")</f>
        <v>2.12</v>
      </c>
      <c r="I374" s="554">
        <f t="shared" si="73"/>
        <v>0</v>
      </c>
      <c r="J374" s="554">
        <f t="shared" si="74"/>
        <v>2.12</v>
      </c>
      <c r="K374" s="554">
        <f t="shared" si="75"/>
        <v>0</v>
      </c>
      <c r="L374" s="554">
        <f t="shared" si="76"/>
        <v>0</v>
      </c>
      <c r="M374" s="554">
        <f t="shared" si="77"/>
        <v>0</v>
      </c>
      <c r="N374" s="104"/>
    </row>
    <row r="375" spans="1:14" ht="30.6">
      <c r="A375" s="148" t="s">
        <v>25</v>
      </c>
      <c r="B375" s="208" t="s">
        <v>26</v>
      </c>
      <c r="C375" s="190" t="s">
        <v>23</v>
      </c>
      <c r="D375" s="188">
        <v>11600531001</v>
      </c>
      <c r="E375" s="553" t="str">
        <f>IFERROR(VLOOKUP(D375,'ВИС-2026'!$E$17:$H$2115,2,0),"")</f>
        <v>Угольник 45°, 25 PX</v>
      </c>
      <c r="F375" s="292" t="str">
        <f>IFERROR(VLOOKUP(D375,'ВИС-2026'!$E$17:$H$2115,4,0),"")</f>
        <v>шт</v>
      </c>
      <c r="G375" s="428"/>
      <c r="H375" s="554">
        <f>IFERROR(VLOOKUP(D375,'ВИС-2026'!$E$17:$K$2649,7,0),"")</f>
        <v>3</v>
      </c>
      <c r="I375" s="554">
        <f t="shared" si="73"/>
        <v>0</v>
      </c>
      <c r="J375" s="554">
        <f t="shared" si="74"/>
        <v>3</v>
      </c>
      <c r="K375" s="554">
        <f t="shared" si="75"/>
        <v>0</v>
      </c>
      <c r="L375" s="554">
        <f t="shared" si="76"/>
        <v>0</v>
      </c>
      <c r="M375" s="554">
        <f t="shared" si="77"/>
        <v>0</v>
      </c>
      <c r="N375" s="104"/>
    </row>
    <row r="376" spans="1:14" ht="30.6">
      <c r="A376" s="148" t="s">
        <v>25</v>
      </c>
      <c r="B376" s="208" t="s">
        <v>26</v>
      </c>
      <c r="C376" s="238" t="s">
        <v>23</v>
      </c>
      <c r="D376" s="188">
        <v>14563091001</v>
      </c>
      <c r="E376" s="553" t="str">
        <f>IFERROR(VLOOKUP(D376,'ВИС-2026'!$E$17:$H$2115,2,0),"")</f>
        <v>Угольник 45°, 50 RX+</v>
      </c>
      <c r="F376" s="292" t="str">
        <f>IFERROR(VLOOKUP(D376,'ВИС-2026'!$E$17:$H$2115,4,0),"")</f>
        <v>шт</v>
      </c>
      <c r="G376" s="428"/>
      <c r="H376" s="554">
        <f>IFERROR(VLOOKUP(D376,'ВИС-2026'!$E$17:$K$2649,7,0),"")</f>
        <v>95.16</v>
      </c>
      <c r="I376" s="554">
        <f t="shared" si="73"/>
        <v>0</v>
      </c>
      <c r="J376" s="554">
        <f t="shared" si="74"/>
        <v>95.16</v>
      </c>
      <c r="K376" s="554">
        <f t="shared" si="75"/>
        <v>0</v>
      </c>
      <c r="L376" s="554">
        <f t="shared" si="76"/>
        <v>0</v>
      </c>
      <c r="M376" s="554">
        <f t="shared" si="77"/>
        <v>0</v>
      </c>
      <c r="N376" s="104"/>
    </row>
    <row r="377" spans="1:14" ht="30.6">
      <c r="A377" s="148" t="s">
        <v>25</v>
      </c>
      <c r="B377" s="208" t="s">
        <v>26</v>
      </c>
      <c r="C377" s="238" t="s">
        <v>23</v>
      </c>
      <c r="D377" s="188">
        <v>14563101001</v>
      </c>
      <c r="E377" s="553" t="str">
        <f>IFERROR(VLOOKUP(D377,'ВИС-2026'!$E$17:$H$2115,2,0),"")</f>
        <v>Угольник 45°, 63 RX+</v>
      </c>
      <c r="F377" s="292" t="str">
        <f>IFERROR(VLOOKUP(D377,'ВИС-2026'!$E$17:$H$2115,4,0),"")</f>
        <v>шт</v>
      </c>
      <c r="G377" s="428"/>
      <c r="H377" s="554">
        <f>IFERROR(VLOOKUP(D377,'ВИС-2026'!$E$17:$K$2649,7,0),"")</f>
        <v>135.6</v>
      </c>
      <c r="I377" s="554">
        <f t="shared" si="73"/>
        <v>0</v>
      </c>
      <c r="J377" s="554">
        <f t="shared" si="74"/>
        <v>135.6</v>
      </c>
      <c r="K377" s="554">
        <f t="shared" si="75"/>
        <v>0</v>
      </c>
      <c r="L377" s="554">
        <f t="shared" si="76"/>
        <v>0</v>
      </c>
      <c r="M377" s="554">
        <f t="shared" si="77"/>
        <v>0</v>
      </c>
      <c r="N377" s="104"/>
    </row>
    <row r="378" spans="1:14" s="73" customFormat="1">
      <c r="A378" s="147"/>
      <c r="B378" s="260"/>
      <c r="C378" s="215"/>
      <c r="D378" s="272"/>
      <c r="E378" s="273"/>
      <c r="F378" s="292" t="str">
        <f>IFERROR(VLOOKUP(D378,'ВИС-2026'!$E$17:$H$2115,5,0),"")</f>
        <v/>
      </c>
      <c r="G378" s="428"/>
      <c r="H378" s="554" t="str">
        <f>IFERROR(VLOOKUP(D378,'ВИС-2026'!$E$17:$K$2649,8,0),"")</f>
        <v/>
      </c>
      <c r="I378" s="554" t="str">
        <f t="shared" si="73"/>
        <v/>
      </c>
      <c r="J378" s="554" t="str">
        <f t="shared" si="74"/>
        <v/>
      </c>
      <c r="K378" s="554" t="str">
        <f t="shared" si="75"/>
        <v/>
      </c>
      <c r="L378" s="554" t="str">
        <f t="shared" si="76"/>
        <v/>
      </c>
      <c r="M378" s="554" t="str">
        <f t="shared" si="77"/>
        <v/>
      </c>
      <c r="N378" s="104"/>
    </row>
    <row r="379" spans="1:14" ht="30.6">
      <c r="A379" s="148" t="s">
        <v>25</v>
      </c>
      <c r="B379" s="208" t="s">
        <v>26</v>
      </c>
      <c r="C379" s="190" t="s">
        <v>23</v>
      </c>
      <c r="D379" s="188">
        <v>12717111001</v>
      </c>
      <c r="E379" s="553" t="str">
        <f>IFERROR(VLOOKUP(D379,'ВИС-2026'!$E$17:$H$2115,2,0),"")</f>
        <v>Защитная втулка РЕХАУ на теплоизоляцию, 16 мм, красная</v>
      </c>
      <c r="F379" s="292" t="str">
        <f>IFERROR(VLOOKUP(D379,'ВИС-2026'!$E$17:$H$2115,4,0),"")</f>
        <v>шт</v>
      </c>
      <c r="G379" s="428"/>
      <c r="H379" s="554">
        <f>IFERROR(VLOOKUP(D379,'ВИС-2026'!$E$17:$K$2649,7,0),"")</f>
        <v>0.41</v>
      </c>
      <c r="I379" s="554">
        <f t="shared" si="73"/>
        <v>0</v>
      </c>
      <c r="J379" s="554">
        <f t="shared" si="74"/>
        <v>0.41</v>
      </c>
      <c r="K379" s="554">
        <f t="shared" si="75"/>
        <v>0</v>
      </c>
      <c r="L379" s="554">
        <f t="shared" si="76"/>
        <v>0</v>
      </c>
      <c r="M379" s="554">
        <f t="shared" si="77"/>
        <v>0</v>
      </c>
      <c r="N379" s="104"/>
    </row>
    <row r="380" spans="1:14" s="73" customFormat="1" ht="30.6">
      <c r="A380" s="148" t="s">
        <v>25</v>
      </c>
      <c r="B380" s="208" t="s">
        <v>26</v>
      </c>
      <c r="C380" s="190" t="s">
        <v>23</v>
      </c>
      <c r="D380" s="188">
        <v>12717121001</v>
      </c>
      <c r="E380" s="553" t="str">
        <f>IFERROR(VLOOKUP(D380,'ВИС-2026'!$E$17:$H$2115,2,0),"")</f>
        <v>Защитная втулка РЕХАУ на теплоизоляцию, 16 мм, синяя</v>
      </c>
      <c r="F380" s="292" t="str">
        <f>IFERROR(VLOOKUP(D380,'ВИС-2026'!$E$17:$H$2115,4,0),"")</f>
        <v>шт</v>
      </c>
      <c r="G380" s="428"/>
      <c r="H380" s="554">
        <f>IFERROR(VLOOKUP(D380,'ВИС-2026'!$E$17:$K$2649,7,0),"")</f>
        <v>0.41</v>
      </c>
      <c r="I380" s="554">
        <f t="shared" si="73"/>
        <v>0</v>
      </c>
      <c r="J380" s="554">
        <f t="shared" si="74"/>
        <v>0.41</v>
      </c>
      <c r="K380" s="554">
        <f t="shared" si="75"/>
        <v>0</v>
      </c>
      <c r="L380" s="554">
        <f t="shared" si="76"/>
        <v>0</v>
      </c>
      <c r="M380" s="554">
        <f t="shared" si="77"/>
        <v>0</v>
      </c>
      <c r="N380" s="104"/>
    </row>
    <row r="381" spans="1:14" s="73" customFormat="1" ht="30.6">
      <c r="A381" s="148" t="s">
        <v>25</v>
      </c>
      <c r="B381" s="208" t="s">
        <v>26</v>
      </c>
      <c r="C381" s="190" t="s">
        <v>23</v>
      </c>
      <c r="D381" s="188">
        <v>12717131001</v>
      </c>
      <c r="E381" s="553" t="str">
        <f>IFERROR(VLOOKUP(D381,'ВИС-2026'!$E$17:$H$2115,2,0),"")</f>
        <v>Защитная втулка РЕХАУ на теплоизоляцию, 20 мм, красная</v>
      </c>
      <c r="F381" s="292" t="str">
        <f>IFERROR(VLOOKUP(D381,'ВИС-2026'!$E$17:$H$2115,4,0),"")</f>
        <v>шт</v>
      </c>
      <c r="G381" s="428"/>
      <c r="H381" s="554">
        <f>IFERROR(VLOOKUP(D381,'ВИС-2026'!$E$17:$K$2649,7,0),"")</f>
        <v>0.48</v>
      </c>
      <c r="I381" s="554">
        <f t="shared" si="73"/>
        <v>0</v>
      </c>
      <c r="J381" s="554">
        <f t="shared" si="74"/>
        <v>0.48</v>
      </c>
      <c r="K381" s="554">
        <f t="shared" si="75"/>
        <v>0</v>
      </c>
      <c r="L381" s="554">
        <f t="shared" si="76"/>
        <v>0</v>
      </c>
      <c r="M381" s="554">
        <f t="shared" si="77"/>
        <v>0</v>
      </c>
      <c r="N381" s="104"/>
    </row>
    <row r="382" spans="1:14" ht="30.6">
      <c r="A382" s="148" t="s">
        <v>25</v>
      </c>
      <c r="B382" s="208" t="s">
        <v>26</v>
      </c>
      <c r="C382" s="190" t="s">
        <v>23</v>
      </c>
      <c r="D382" s="188">
        <v>12717141001</v>
      </c>
      <c r="E382" s="553" t="str">
        <f>IFERROR(VLOOKUP(D382,'ВИС-2026'!$E$17:$H$2115,2,0),"")</f>
        <v>Защитная втулка РЕХАУ на теплоизоляцию, 20 мм, синяя</v>
      </c>
      <c r="F382" s="292" t="str">
        <f>IFERROR(VLOOKUP(D382,'ВИС-2026'!$E$17:$H$2115,4,0),"")</f>
        <v>шт</v>
      </c>
      <c r="G382" s="428"/>
      <c r="H382" s="554">
        <f>IFERROR(VLOOKUP(D382,'ВИС-2026'!$E$17:$K$2649,7,0),"")</f>
        <v>0.48</v>
      </c>
      <c r="I382" s="554">
        <f t="shared" si="73"/>
        <v>0</v>
      </c>
      <c r="J382" s="554">
        <f t="shared" si="74"/>
        <v>0.48</v>
      </c>
      <c r="K382" s="554">
        <f t="shared" si="75"/>
        <v>0</v>
      </c>
      <c r="L382" s="554">
        <f t="shared" si="76"/>
        <v>0</v>
      </c>
      <c r="M382" s="554">
        <f t="shared" si="77"/>
        <v>0</v>
      </c>
      <c r="N382" s="104"/>
    </row>
    <row r="383" spans="1:14" s="73" customFormat="1">
      <c r="A383" s="147"/>
      <c r="B383" s="260"/>
      <c r="C383" s="190"/>
      <c r="D383" s="217"/>
      <c r="E383" s="218"/>
      <c r="F383" s="292" t="str">
        <f>IFERROR(VLOOKUP(D383,'ВИС-2026'!$E$17:$H$2115,5,0),"")</f>
        <v/>
      </c>
      <c r="G383" s="428"/>
      <c r="H383" s="554" t="str">
        <f>IFERROR(VLOOKUP(D383,'ВИС-2026'!$E$17:$K$2649,8,0),"")</f>
        <v/>
      </c>
      <c r="I383" s="554" t="str">
        <f t="shared" ref="I383:I446" si="78">IFERROR(H383*G383,"")</f>
        <v/>
      </c>
      <c r="J383" s="554" t="str">
        <f t="shared" ref="J383:J446" si="79">IFERROR((IF(H383="","",H383-H383*$D$7)),"")</f>
        <v/>
      </c>
      <c r="K383" s="554" t="str">
        <f t="shared" ref="K383:K446" si="80">IFERROR(J383*G383, "")</f>
        <v/>
      </c>
      <c r="L383" s="554" t="str">
        <f t="shared" ref="L383:L446" si="81">IFERROR(J383*$D$8, "")</f>
        <v/>
      </c>
      <c r="M383" s="554" t="str">
        <f t="shared" ref="M383:M446" si="82">IFERROR(L383*G383, "")</f>
        <v/>
      </c>
      <c r="N383" s="104"/>
    </row>
    <row r="384" spans="1:14" s="74" customFormat="1">
      <c r="A384" s="147"/>
      <c r="B384" s="260" t="s">
        <v>30</v>
      </c>
      <c r="C384" s="190" t="s">
        <v>23</v>
      </c>
      <c r="D384" s="188">
        <v>12393333001</v>
      </c>
      <c r="E384" s="553" t="str">
        <f>IFERROR(VLOOKUP(D384,'ВИС-2026'!$E$17:$H$2115,2,0),"")</f>
        <v>Фиксатор поворота РЕХАУ пластмас. на 90° для трубы 16/17</v>
      </c>
      <c r="F384" s="292" t="str">
        <f>IFERROR(VLOOKUP(D384,'ВИС-2026'!$E$17:$H$2115,4,0),"")</f>
        <v>шт</v>
      </c>
      <c r="G384" s="428"/>
      <c r="H384" s="554">
        <f>IFERROR(VLOOKUP(D384,'ВИС-2026'!$E$17:$K$2649,7,0),"")</f>
        <v>2.16</v>
      </c>
      <c r="I384" s="554">
        <f t="shared" si="78"/>
        <v>0</v>
      </c>
      <c r="J384" s="554">
        <f t="shared" si="79"/>
        <v>2.16</v>
      </c>
      <c r="K384" s="554">
        <f t="shared" si="80"/>
        <v>0</v>
      </c>
      <c r="L384" s="554">
        <f t="shared" si="81"/>
        <v>0</v>
      </c>
      <c r="M384" s="554">
        <f t="shared" si="82"/>
        <v>0</v>
      </c>
      <c r="N384" s="104"/>
    </row>
    <row r="385" spans="1:14">
      <c r="A385" s="147"/>
      <c r="B385" s="260" t="s">
        <v>30</v>
      </c>
      <c r="C385" s="190" t="s">
        <v>23</v>
      </c>
      <c r="D385" s="188">
        <v>12393433001</v>
      </c>
      <c r="E385" s="553" t="str">
        <f>IFERROR(VLOOKUP(D385,'ВИС-2026'!$E$17:$H$2115,2,0),"")</f>
        <v>Фиксатор поворота РЕХАУ пластмас. на 90° для трубы 20</v>
      </c>
      <c r="F385" s="292" t="str">
        <f>IFERROR(VLOOKUP(D385,'ВИС-2026'!$E$17:$H$2115,4,0),"")</f>
        <v>шт</v>
      </c>
      <c r="G385" s="428"/>
      <c r="H385" s="554">
        <f>IFERROR(VLOOKUP(D385,'ВИС-2026'!$E$17:$K$2649,7,0),"")</f>
        <v>2.72</v>
      </c>
      <c r="I385" s="554">
        <f t="shared" si="78"/>
        <v>0</v>
      </c>
      <c r="J385" s="554">
        <f t="shared" si="79"/>
        <v>2.72</v>
      </c>
      <c r="K385" s="554">
        <f t="shared" si="80"/>
        <v>0</v>
      </c>
      <c r="L385" s="554">
        <f t="shared" si="81"/>
        <v>0</v>
      </c>
      <c r="M385" s="554">
        <f t="shared" si="82"/>
        <v>0</v>
      </c>
      <c r="N385" s="104"/>
    </row>
    <row r="386" spans="1:14" s="73" customFormat="1">
      <c r="A386" s="147"/>
      <c r="B386" s="260" t="s">
        <v>30</v>
      </c>
      <c r="C386" s="190" t="s">
        <v>23</v>
      </c>
      <c r="D386" s="188">
        <v>12391933001</v>
      </c>
      <c r="E386" s="553" t="str">
        <f>IFERROR(VLOOKUP(D386,'ВИС-2026'!$E$17:$H$2115,2,0),"")</f>
        <v>Фиксатор поворота РЕХАУ пластмас. на 90° для трубы 25</v>
      </c>
      <c r="F386" s="292" t="str">
        <f>IFERROR(VLOOKUP(D386,'ВИС-2026'!$E$17:$H$2115,4,0),"")</f>
        <v>шт</v>
      </c>
      <c r="G386" s="428"/>
      <c r="H386" s="554">
        <f>IFERROR(VLOOKUP(D386,'ВИС-2026'!$E$17:$K$2649,7,0),"")</f>
        <v>4.5999999999999996</v>
      </c>
      <c r="I386" s="554">
        <f t="shared" si="78"/>
        <v>0</v>
      </c>
      <c r="J386" s="554">
        <f t="shared" si="79"/>
        <v>4.5999999999999996</v>
      </c>
      <c r="K386" s="554">
        <f t="shared" si="80"/>
        <v>0</v>
      </c>
      <c r="L386" s="554">
        <f t="shared" si="81"/>
        <v>0</v>
      </c>
      <c r="M386" s="554">
        <f t="shared" si="82"/>
        <v>0</v>
      </c>
      <c r="N386" s="104"/>
    </row>
    <row r="387" spans="1:14" s="73" customFormat="1">
      <c r="A387" s="147"/>
      <c r="B387" s="260"/>
      <c r="C387" s="215"/>
      <c r="D387" s="217"/>
      <c r="E387" s="218"/>
      <c r="F387" s="292" t="str">
        <f>IFERROR(VLOOKUP(D387,'ВИС-2026'!$E$17:$H$2115,5,0),"")</f>
        <v/>
      </c>
      <c r="G387" s="428"/>
      <c r="H387" s="554" t="str">
        <f>IFERROR(VLOOKUP(D387,'ВИС-2026'!$E$17:$K$2649,8,0),"")</f>
        <v/>
      </c>
      <c r="I387" s="554" t="str">
        <f t="shared" si="78"/>
        <v/>
      </c>
      <c r="J387" s="554" t="str">
        <f t="shared" si="79"/>
        <v/>
      </c>
      <c r="K387" s="554" t="str">
        <f t="shared" si="80"/>
        <v/>
      </c>
      <c r="L387" s="554" t="str">
        <f t="shared" si="81"/>
        <v/>
      </c>
      <c r="M387" s="554" t="str">
        <f t="shared" si="82"/>
        <v/>
      </c>
      <c r="N387" s="104"/>
    </row>
    <row r="388" spans="1:14" s="73" customFormat="1">
      <c r="A388" s="150"/>
      <c r="B388" s="188" t="s">
        <v>30</v>
      </c>
      <c r="C388" s="190" t="s">
        <v>23</v>
      </c>
      <c r="D388" s="188">
        <v>11388913002</v>
      </c>
      <c r="E388" s="553" t="str">
        <f>IFERROR(VLOOKUP(D388,'ВИС-2026'!$E$17:$H$2115,2,0),"")</f>
        <v>Фиксатор поворота РЕХАУ с кольцами 90°, 20 (оцинк. сталь)</v>
      </c>
      <c r="F388" s="292" t="str">
        <f>IFERROR(VLOOKUP(D388,'ВИС-2026'!$E$17:$H$2115,4,0),"")</f>
        <v>шт</v>
      </c>
      <c r="G388" s="428"/>
      <c r="H388" s="554">
        <f>IFERROR(VLOOKUP(D388,'ВИС-2026'!$E$17:$K$2649,7,0),"")</f>
        <v>2.9</v>
      </c>
      <c r="I388" s="554">
        <f t="shared" si="78"/>
        <v>0</v>
      </c>
      <c r="J388" s="554">
        <f t="shared" si="79"/>
        <v>2.9</v>
      </c>
      <c r="K388" s="554">
        <f t="shared" si="80"/>
        <v>0</v>
      </c>
      <c r="L388" s="554">
        <f t="shared" si="81"/>
        <v>0</v>
      </c>
      <c r="M388" s="554">
        <f t="shared" si="82"/>
        <v>0</v>
      </c>
      <c r="N388" s="104"/>
    </row>
    <row r="389" spans="1:14" s="73" customFormat="1">
      <c r="A389" s="150"/>
      <c r="B389" s="188" t="s">
        <v>30</v>
      </c>
      <c r="C389" s="190" t="s">
        <v>23</v>
      </c>
      <c r="D389" s="188">
        <v>11383513002</v>
      </c>
      <c r="E389" s="553" t="str">
        <f>IFERROR(VLOOKUP(D389,'ВИС-2026'!$E$17:$H$2115,2,0),"")</f>
        <v>Фиксатор поворота РЕХАУ с кольцами 90°, 25 (оцинк. сталь)</v>
      </c>
      <c r="F389" s="292" t="str">
        <f>IFERROR(VLOOKUP(D389,'ВИС-2026'!$E$17:$H$2115,4,0),"")</f>
        <v>шт</v>
      </c>
      <c r="G389" s="428"/>
      <c r="H389" s="554">
        <f>IFERROR(VLOOKUP(D389,'ВИС-2026'!$E$17:$K$2649,7,0),"")</f>
        <v>4.9400000000000004</v>
      </c>
      <c r="I389" s="554">
        <f t="shared" si="78"/>
        <v>0</v>
      </c>
      <c r="J389" s="554">
        <f t="shared" si="79"/>
        <v>4.9400000000000004</v>
      </c>
      <c r="K389" s="554">
        <f t="shared" si="80"/>
        <v>0</v>
      </c>
      <c r="L389" s="554">
        <f t="shared" si="81"/>
        <v>0</v>
      </c>
      <c r="M389" s="554">
        <f t="shared" si="82"/>
        <v>0</v>
      </c>
      <c r="N389" s="104"/>
    </row>
    <row r="390" spans="1:14" s="73" customFormat="1">
      <c r="A390" s="147"/>
      <c r="B390" s="260"/>
      <c r="C390" s="215"/>
      <c r="D390" s="188">
        <v>12611533001</v>
      </c>
      <c r="E390" s="553" t="str">
        <f>IFERROR(VLOOKUP(D390,'ВИС-2026'!$E$17:$H$2115,2,0),"")</f>
        <v>Фиксатор поворота РЕХАУ с кольцами 90°, 32 (оцинк. сталь)</v>
      </c>
      <c r="F390" s="292" t="str">
        <f>IFERROR(VLOOKUP(D390,'ВИС-2026'!$E$17:$H$2115,4,0),"")</f>
        <v>шт</v>
      </c>
      <c r="G390" s="428"/>
      <c r="H390" s="554">
        <f>IFERROR(VLOOKUP(D390,'ВИС-2026'!$E$17:$K$2649,7,0),"")</f>
        <v>7.8</v>
      </c>
      <c r="I390" s="554">
        <f t="shared" ref="I390:I391" si="83">IFERROR(H390*G390,"")</f>
        <v>0</v>
      </c>
      <c r="J390" s="554">
        <f t="shared" ref="J390:J391" si="84">IFERROR((IF(H390="","",H390-H390*$D$7)),"")</f>
        <v>7.8</v>
      </c>
      <c r="K390" s="554">
        <f t="shared" ref="K390:K391" si="85">IFERROR(J390*G390, "")</f>
        <v>0</v>
      </c>
      <c r="L390" s="554">
        <f t="shared" ref="L390:L391" si="86">IFERROR(J390*$D$8, "")</f>
        <v>0</v>
      </c>
      <c r="M390" s="554">
        <f t="shared" ref="M390:M391" si="87">IFERROR(L390*G390, "")</f>
        <v>0</v>
      </c>
      <c r="N390" s="104"/>
    </row>
    <row r="391" spans="1:14" s="73" customFormat="1">
      <c r="A391" s="147"/>
      <c r="B391" s="260"/>
      <c r="C391" s="215"/>
      <c r="D391" s="188"/>
      <c r="E391" s="553" t="str">
        <f>IFERROR(VLOOKUP(D391,'ВИС-2026'!$E$17:$H$2115,2,0),"")</f>
        <v/>
      </c>
      <c r="F391" s="292" t="str">
        <f>IFERROR(VLOOKUP(D391,'ВИС-2026'!$E$17:$H$2115,4,0),"")</f>
        <v/>
      </c>
      <c r="G391" s="428"/>
      <c r="H391" s="554" t="str">
        <f>IFERROR(VLOOKUP(D391,'ВИС-2026'!$E$17:$K$2649,7,0),"")</f>
        <v/>
      </c>
      <c r="I391" s="554" t="str">
        <f t="shared" si="83"/>
        <v/>
      </c>
      <c r="J391" s="554" t="str">
        <f t="shared" si="84"/>
        <v/>
      </c>
      <c r="K391" s="554" t="str">
        <f t="shared" si="85"/>
        <v/>
      </c>
      <c r="L391" s="554" t="str">
        <f t="shared" si="86"/>
        <v/>
      </c>
      <c r="M391" s="554" t="str">
        <f t="shared" si="87"/>
        <v/>
      </c>
      <c r="N391" s="104"/>
    </row>
    <row r="392" spans="1:14" s="73" customFormat="1">
      <c r="A392" s="147"/>
      <c r="B392" s="188" t="s">
        <v>30</v>
      </c>
      <c r="C392" s="190" t="s">
        <v>23</v>
      </c>
      <c r="D392" s="240">
        <v>12584083002</v>
      </c>
      <c r="E392" s="553" t="str">
        <f>IFERROR(VLOOKUP(D392,'ВИС-2026'!$E$17:$H$2115,2,0),"")</f>
        <v>Фиксатор поворота РЕХАУ 16/17/90°, без колец (оцинк. сталь)</v>
      </c>
      <c r="F392" s="292" t="str">
        <f>IFERROR(VLOOKUP(D392,'ВИС-2026'!$E$17:$H$2115,4,0),"")</f>
        <v>шт</v>
      </c>
      <c r="G392" s="428"/>
      <c r="H392" s="554">
        <f>IFERROR(VLOOKUP(D392,'ВИС-2026'!$E$17:$K$2649,7,0),"")</f>
        <v>2.3199999999999998</v>
      </c>
      <c r="I392" s="554">
        <f t="shared" ref="I392" si="88">IFERROR(H392*G392,"")</f>
        <v>0</v>
      </c>
      <c r="J392" s="554">
        <f t="shared" ref="J392" si="89">IFERROR((IF(H392="","",H392-H392*$D$7)),"")</f>
        <v>2.3199999999999998</v>
      </c>
      <c r="K392" s="554">
        <f t="shared" ref="K392" si="90">IFERROR(J392*G392, "")</f>
        <v>0</v>
      </c>
      <c r="L392" s="554">
        <f t="shared" ref="L392" si="91">IFERROR(J392*$D$8, "")</f>
        <v>0</v>
      </c>
      <c r="M392" s="554">
        <f t="shared" ref="M392" si="92">IFERROR(L392*G392, "")</f>
        <v>0</v>
      </c>
      <c r="N392" s="104"/>
    </row>
    <row r="393" spans="1:14" s="73" customFormat="1">
      <c r="A393" s="147"/>
      <c r="B393" s="188" t="s">
        <v>30</v>
      </c>
      <c r="C393" s="190" t="s">
        <v>23</v>
      </c>
      <c r="D393" s="240">
        <v>12587983002</v>
      </c>
      <c r="E393" s="553" t="str">
        <f>IFERROR(VLOOKUP(D393,'ВИС-2026'!$E$17:$H$2115,2,0),"")</f>
        <v>Фиксатор поворота РЕХАУ 20/90°, без колец (оцинк. сталь)</v>
      </c>
      <c r="F393" s="292" t="str">
        <f>IFERROR(VLOOKUP(D393,'ВИС-2026'!$E$17:$H$2115,4,0),"")</f>
        <v>шт</v>
      </c>
      <c r="G393" s="428"/>
      <c r="H393" s="554">
        <f>IFERROR(VLOOKUP(D393,'ВИС-2026'!$E$17:$K$2649,7,0),"")</f>
        <v>2.9</v>
      </c>
      <c r="I393" s="554">
        <f t="shared" ref="I393:I394" si="93">IFERROR(H393*G393,"")</f>
        <v>0</v>
      </c>
      <c r="J393" s="554">
        <f t="shared" ref="J393:J394" si="94">IFERROR((IF(H393="","",H393-H393*$D$7)),"")</f>
        <v>2.9</v>
      </c>
      <c r="K393" s="554">
        <f t="shared" ref="K393:K394" si="95">IFERROR(J393*G393, "")</f>
        <v>0</v>
      </c>
      <c r="L393" s="554">
        <f t="shared" ref="L393:L394" si="96">IFERROR(J393*$D$8, "")</f>
        <v>0</v>
      </c>
      <c r="M393" s="554">
        <f t="shared" ref="M393:M394" si="97">IFERROR(L393*G393, "")</f>
        <v>0</v>
      </c>
      <c r="N393" s="104"/>
    </row>
    <row r="394" spans="1:14" s="73" customFormat="1">
      <c r="A394" s="147"/>
      <c r="B394" s="188" t="s">
        <v>30</v>
      </c>
      <c r="C394" s="190" t="s">
        <v>23</v>
      </c>
      <c r="D394" s="240">
        <v>12572493002</v>
      </c>
      <c r="E394" s="553" t="str">
        <f>IFERROR(VLOOKUP(D394,'ВИС-2026'!$E$17:$H$2115,2,0),"")</f>
        <v>Фиксатор поворота РЕХАУ 25/90°, без колец (оцинк. сталь)</v>
      </c>
      <c r="F394" s="292" t="str">
        <f>IFERROR(VLOOKUP(D394,'ВИС-2026'!$E$17:$H$2115,4,0),"")</f>
        <v>шт</v>
      </c>
      <c r="G394" s="428"/>
      <c r="H394" s="554">
        <f>IFERROR(VLOOKUP(D394,'ВИС-2026'!$E$17:$K$2649,7,0),"")</f>
        <v>4.9400000000000004</v>
      </c>
      <c r="I394" s="554">
        <f t="shared" si="93"/>
        <v>0</v>
      </c>
      <c r="J394" s="554">
        <f t="shared" si="94"/>
        <v>4.9400000000000004</v>
      </c>
      <c r="K394" s="554">
        <f t="shared" si="95"/>
        <v>0</v>
      </c>
      <c r="L394" s="554">
        <f t="shared" si="96"/>
        <v>0</v>
      </c>
      <c r="M394" s="554">
        <f t="shared" si="97"/>
        <v>0</v>
      </c>
      <c r="N394" s="104"/>
    </row>
    <row r="395" spans="1:14">
      <c r="A395" s="149"/>
      <c r="B395" s="225"/>
      <c r="C395" s="226"/>
      <c r="D395" s="225"/>
      <c r="E395" s="227"/>
      <c r="F395" s="292" t="str">
        <f>IFERROR(VLOOKUP(D395,'ВИС-2026'!$E$17:$H$2115,5,0),"")</f>
        <v/>
      </c>
      <c r="G395" s="428"/>
      <c r="H395" s="554" t="str">
        <f>IFERROR(VLOOKUP(D395,'ВИС-2026'!$E$17:$K$2649,8,0),"")</f>
        <v/>
      </c>
      <c r="I395" s="554" t="str">
        <f t="shared" si="78"/>
        <v/>
      </c>
      <c r="J395" s="554" t="str">
        <f t="shared" si="79"/>
        <v/>
      </c>
      <c r="K395" s="554" t="str">
        <f t="shared" si="80"/>
        <v/>
      </c>
      <c r="L395" s="554" t="str">
        <f t="shared" si="81"/>
        <v/>
      </c>
      <c r="M395" s="554" t="str">
        <f t="shared" si="82"/>
        <v/>
      </c>
      <c r="N395" s="104"/>
    </row>
    <row r="396" spans="1:14" s="73" customFormat="1">
      <c r="A396" s="147"/>
      <c r="B396" s="188" t="s">
        <v>30</v>
      </c>
      <c r="C396" s="190" t="s">
        <v>23</v>
      </c>
      <c r="D396" s="242">
        <v>14563473001</v>
      </c>
      <c r="E396" s="553" t="str">
        <f>IFERROR(VLOOKUP(D396,'ВИС-2026'!$E$17:$H$2115,2,0),"")</f>
        <v>Угольник-переходник РЕХАУ с наружной резьбой 16-R 1/2 RX+</v>
      </c>
      <c r="F396" s="292" t="str">
        <f>IFERROR(VLOOKUP(D396,'ВИС-2026'!$E$17:$H$2115,4,0),"")</f>
        <v>шт</v>
      </c>
      <c r="G396" s="428"/>
      <c r="H396" s="554">
        <f>IFERROR(VLOOKUP(D396,'ВИС-2026'!$E$17:$K$2649,7,0),"")</f>
        <v>9.7100000000000009</v>
      </c>
      <c r="I396" s="554">
        <f t="shared" si="78"/>
        <v>0</v>
      </c>
      <c r="J396" s="554">
        <f t="shared" si="79"/>
        <v>9.7100000000000009</v>
      </c>
      <c r="K396" s="554">
        <f t="shared" si="80"/>
        <v>0</v>
      </c>
      <c r="L396" s="554">
        <f t="shared" si="81"/>
        <v>0</v>
      </c>
      <c r="M396" s="554">
        <f t="shared" si="82"/>
        <v>0</v>
      </c>
      <c r="N396" s="104"/>
    </row>
    <row r="397" spans="1:14" s="73" customFormat="1">
      <c r="A397" s="147"/>
      <c r="B397" s="188" t="s">
        <v>30</v>
      </c>
      <c r="C397" s="190" t="s">
        <v>23</v>
      </c>
      <c r="D397" s="246">
        <v>14563483001</v>
      </c>
      <c r="E397" s="553" t="str">
        <f>IFERROR(VLOOKUP(D397,'ВИС-2026'!$E$17:$H$2115,2,0),"")</f>
        <v>Угольник-переходник РЕХАУ с наружной резьбой 20-R 1/2 RX+</v>
      </c>
      <c r="F397" s="292" t="str">
        <f>IFERROR(VLOOKUP(D397,'ВИС-2026'!$E$17:$H$2115,4,0),"")</f>
        <v>шт</v>
      </c>
      <c r="G397" s="428"/>
      <c r="H397" s="554">
        <f>IFERROR(VLOOKUP(D397,'ВИС-2026'!$E$17:$K$2649,7,0),"")</f>
        <v>12.09</v>
      </c>
      <c r="I397" s="554">
        <f t="shared" si="78"/>
        <v>0</v>
      </c>
      <c r="J397" s="554">
        <f t="shared" si="79"/>
        <v>12.09</v>
      </c>
      <c r="K397" s="554">
        <f t="shared" si="80"/>
        <v>0</v>
      </c>
      <c r="L397" s="554">
        <f t="shared" si="81"/>
        <v>0</v>
      </c>
      <c r="M397" s="554">
        <f t="shared" si="82"/>
        <v>0</v>
      </c>
      <c r="N397" s="104"/>
    </row>
    <row r="398" spans="1:14" s="73" customFormat="1">
      <c r="A398" s="147"/>
      <c r="B398" s="188" t="s">
        <v>30</v>
      </c>
      <c r="C398" s="190" t="s">
        <v>23</v>
      </c>
      <c r="D398" s="242">
        <v>14563493001</v>
      </c>
      <c r="E398" s="553" t="str">
        <f>IFERROR(VLOOKUP(D398,'ВИС-2026'!$E$17:$H$2115,2,0),"")</f>
        <v>Угольник-переходник РЕХАУ с наружной резьбой 20-R 3/4 RX+</v>
      </c>
      <c r="F398" s="292" t="str">
        <f>IFERROR(VLOOKUP(D398,'ВИС-2026'!$E$17:$H$2115,4,0),"")</f>
        <v>шт</v>
      </c>
      <c r="G398" s="428"/>
      <c r="H398" s="554">
        <f>IFERROR(VLOOKUP(D398,'ВИС-2026'!$E$17:$K$2649,7,0),"")</f>
        <v>14.62</v>
      </c>
      <c r="I398" s="554">
        <f t="shared" si="78"/>
        <v>0</v>
      </c>
      <c r="J398" s="554">
        <f t="shared" si="79"/>
        <v>14.62</v>
      </c>
      <c r="K398" s="554">
        <f t="shared" si="80"/>
        <v>0</v>
      </c>
      <c r="L398" s="554">
        <f t="shared" si="81"/>
        <v>0</v>
      </c>
      <c r="M398" s="554">
        <f t="shared" si="82"/>
        <v>0</v>
      </c>
      <c r="N398" s="104"/>
    </row>
    <row r="399" spans="1:14" s="73" customFormat="1">
      <c r="A399" s="147"/>
      <c r="B399" s="188" t="s">
        <v>30</v>
      </c>
      <c r="C399" s="190" t="s">
        <v>23</v>
      </c>
      <c r="D399" s="242">
        <v>14563503001</v>
      </c>
      <c r="E399" s="553" t="str">
        <f>IFERROR(VLOOKUP(D399,'ВИС-2026'!$E$17:$H$2115,2,0),"")</f>
        <v>Угольник-переходник РЕХАУ с наружной резьбой 25-R 3/4 RX+</v>
      </c>
      <c r="F399" s="292" t="str">
        <f>IFERROR(VLOOKUP(D399,'ВИС-2026'!$E$17:$H$2115,4,0),"")</f>
        <v>шт</v>
      </c>
      <c r="G399" s="428"/>
      <c r="H399" s="554">
        <f>IFERROR(VLOOKUP(D399,'ВИС-2026'!$E$17:$K$2649,7,0),"")</f>
        <v>18.86</v>
      </c>
      <c r="I399" s="554">
        <f t="shared" si="78"/>
        <v>0</v>
      </c>
      <c r="J399" s="554">
        <f t="shared" si="79"/>
        <v>18.86</v>
      </c>
      <c r="K399" s="554">
        <f t="shared" si="80"/>
        <v>0</v>
      </c>
      <c r="L399" s="554">
        <f t="shared" si="81"/>
        <v>0</v>
      </c>
      <c r="M399" s="554">
        <f t="shared" si="82"/>
        <v>0</v>
      </c>
      <c r="N399" s="104"/>
    </row>
    <row r="400" spans="1:14" s="73" customFormat="1">
      <c r="A400" s="147"/>
      <c r="B400" s="188" t="s">
        <v>30</v>
      </c>
      <c r="C400" s="190" t="s">
        <v>23</v>
      </c>
      <c r="D400" s="242">
        <v>14563523001</v>
      </c>
      <c r="E400" s="553" t="str">
        <f>IFERROR(VLOOKUP(D400,'ВИС-2026'!$E$17:$H$2115,2,0),"")</f>
        <v>Угольник-переходник РЕХАУ с наружной резьбой 32-R 1 RX+</v>
      </c>
      <c r="F400" s="292" t="str">
        <f>IFERROR(VLOOKUP(D400,'ВИС-2026'!$E$17:$H$2115,4,0),"")</f>
        <v>шт</v>
      </c>
      <c r="G400" s="428"/>
      <c r="H400" s="554">
        <f>IFERROR(VLOOKUP(D400,'ВИС-2026'!$E$17:$K$2649,7,0),"")</f>
        <v>42.24</v>
      </c>
      <c r="I400" s="554">
        <f t="shared" si="78"/>
        <v>0</v>
      </c>
      <c r="J400" s="554">
        <f t="shared" si="79"/>
        <v>42.24</v>
      </c>
      <c r="K400" s="554">
        <f t="shared" si="80"/>
        <v>0</v>
      </c>
      <c r="L400" s="554">
        <f t="shared" si="81"/>
        <v>0</v>
      </c>
      <c r="M400" s="554">
        <f t="shared" si="82"/>
        <v>0</v>
      </c>
      <c r="N400" s="104"/>
    </row>
    <row r="401" spans="1:14">
      <c r="A401" s="147"/>
      <c r="B401" s="188"/>
      <c r="C401" s="224"/>
      <c r="D401" s="188"/>
      <c r="E401" s="210"/>
      <c r="F401" s="292" t="str">
        <f>IFERROR(VLOOKUP(D401,'ВИС-2026'!$E$17:$H$2115,5,0),"")</f>
        <v/>
      </c>
      <c r="G401" s="428"/>
      <c r="H401" s="554" t="str">
        <f>IFERROR(VLOOKUP(D401,'ВИС-2026'!$E$17:$K$2649,8,0),"")</f>
        <v/>
      </c>
      <c r="I401" s="554" t="str">
        <f t="shared" si="78"/>
        <v/>
      </c>
      <c r="J401" s="554" t="str">
        <f t="shared" si="79"/>
        <v/>
      </c>
      <c r="K401" s="554" t="str">
        <f t="shared" si="80"/>
        <v/>
      </c>
      <c r="L401" s="554" t="str">
        <f t="shared" si="81"/>
        <v/>
      </c>
      <c r="M401" s="554" t="str">
        <f t="shared" si="82"/>
        <v/>
      </c>
      <c r="N401" s="104"/>
    </row>
    <row r="402" spans="1:14" s="73" customFormat="1">
      <c r="A402" s="147"/>
      <c r="B402" s="188" t="s">
        <v>30</v>
      </c>
      <c r="C402" s="238" t="s">
        <v>23</v>
      </c>
      <c r="D402" s="188">
        <v>11096751001</v>
      </c>
      <c r="E402" s="553" t="str">
        <f>IFERROR(VLOOKUP(D402,'ВИС-2026'!$E$17:$H$2115,2,0),"")</f>
        <v>Угольник-переходник с наружной резьбой 16-R 1/2 MX</v>
      </c>
      <c r="F402" s="292" t="str">
        <f>IFERROR(VLOOKUP(D402,'ВИС-2026'!$E$17:$H$2115,4,0),"")</f>
        <v>шт</v>
      </c>
      <c r="G402" s="428"/>
      <c r="H402" s="554">
        <f>IFERROR(VLOOKUP(D402,'ВИС-2026'!$E$17:$K$2649,7,0),"")</f>
        <v>6.19</v>
      </c>
      <c r="I402" s="554">
        <f t="shared" si="78"/>
        <v>0</v>
      </c>
      <c r="J402" s="554">
        <f t="shared" si="79"/>
        <v>6.19</v>
      </c>
      <c r="K402" s="554">
        <f t="shared" si="80"/>
        <v>0</v>
      </c>
      <c r="L402" s="554">
        <f t="shared" si="81"/>
        <v>0</v>
      </c>
      <c r="M402" s="554">
        <f t="shared" si="82"/>
        <v>0</v>
      </c>
      <c r="N402" s="104"/>
    </row>
    <row r="403" spans="1:14" s="73" customFormat="1">
      <c r="A403" s="147"/>
      <c r="B403" s="188" t="s">
        <v>30</v>
      </c>
      <c r="C403" s="238" t="s">
        <v>23</v>
      </c>
      <c r="D403" s="188">
        <v>11096931001</v>
      </c>
      <c r="E403" s="553" t="str">
        <f>IFERROR(VLOOKUP(D403,'ВИС-2026'!$E$17:$H$2115,2,0),"")</f>
        <v>Угольник-переходник с наружной резьбой 20-R 1/2 MX</v>
      </c>
      <c r="F403" s="292" t="str">
        <f>IFERROR(VLOOKUP(D403,'ВИС-2026'!$E$17:$H$2115,4,0),"")</f>
        <v>шт</v>
      </c>
      <c r="G403" s="428"/>
      <c r="H403" s="554">
        <f>IFERROR(VLOOKUP(D403,'ВИС-2026'!$E$17:$K$2649,7,0),"")</f>
        <v>7.7</v>
      </c>
      <c r="I403" s="554">
        <f t="shared" si="78"/>
        <v>0</v>
      </c>
      <c r="J403" s="554">
        <f t="shared" si="79"/>
        <v>7.7</v>
      </c>
      <c r="K403" s="554">
        <f t="shared" si="80"/>
        <v>0</v>
      </c>
      <c r="L403" s="554">
        <f t="shared" si="81"/>
        <v>0</v>
      </c>
      <c r="M403" s="554">
        <f t="shared" si="82"/>
        <v>0</v>
      </c>
      <c r="N403" s="104"/>
    </row>
    <row r="404" spans="1:14">
      <c r="A404" s="147"/>
      <c r="B404" s="188" t="s">
        <v>30</v>
      </c>
      <c r="C404" s="238" t="s">
        <v>23</v>
      </c>
      <c r="D404" s="188">
        <v>11097081001</v>
      </c>
      <c r="E404" s="553" t="str">
        <f>IFERROR(VLOOKUP(D404,'ВИС-2026'!$E$17:$H$2115,2,0),"")</f>
        <v>Угольник-переходник с наружной резьбой 20-R 3/4 MX</v>
      </c>
      <c r="F404" s="292" t="str">
        <f>IFERROR(VLOOKUP(D404,'ВИС-2026'!$E$17:$H$2115,4,0),"")</f>
        <v>шт</v>
      </c>
      <c r="G404" s="428"/>
      <c r="H404" s="554">
        <f>IFERROR(VLOOKUP(D404,'ВИС-2026'!$E$17:$K$2649,7,0),"")</f>
        <v>9.77</v>
      </c>
      <c r="I404" s="554">
        <f t="shared" si="78"/>
        <v>0</v>
      </c>
      <c r="J404" s="554">
        <f t="shared" si="79"/>
        <v>9.77</v>
      </c>
      <c r="K404" s="554">
        <f t="shared" si="80"/>
        <v>0</v>
      </c>
      <c r="L404" s="554">
        <f t="shared" si="81"/>
        <v>0</v>
      </c>
      <c r="M404" s="554">
        <f t="shared" si="82"/>
        <v>0</v>
      </c>
      <c r="N404" s="104"/>
    </row>
    <row r="405" spans="1:14" s="74" customFormat="1">
      <c r="A405" s="147"/>
      <c r="B405" s="188" t="s">
        <v>30</v>
      </c>
      <c r="C405" s="238" t="s">
        <v>23</v>
      </c>
      <c r="D405" s="188">
        <v>11097161001</v>
      </c>
      <c r="E405" s="553" t="str">
        <f>IFERROR(VLOOKUP(D405,'ВИС-2026'!$E$17:$H$2115,2,0),"")</f>
        <v>Угольник-переходник с наружной резьбой 25-R 3/4 MX</v>
      </c>
      <c r="F405" s="292" t="str">
        <f>IFERROR(VLOOKUP(D405,'ВИС-2026'!$E$17:$H$2115,4,0),"")</f>
        <v>шт</v>
      </c>
      <c r="G405" s="428"/>
      <c r="H405" s="554">
        <f>IFERROR(VLOOKUP(D405,'ВИС-2026'!$E$17:$K$2649,7,0),"")</f>
        <v>13.57</v>
      </c>
      <c r="I405" s="554">
        <f t="shared" si="78"/>
        <v>0</v>
      </c>
      <c r="J405" s="554">
        <f t="shared" si="79"/>
        <v>13.57</v>
      </c>
      <c r="K405" s="554">
        <f t="shared" si="80"/>
        <v>0</v>
      </c>
      <c r="L405" s="554">
        <f t="shared" si="81"/>
        <v>0</v>
      </c>
      <c r="M405" s="554">
        <f t="shared" si="82"/>
        <v>0</v>
      </c>
      <c r="N405" s="104"/>
    </row>
    <row r="406" spans="1:14" s="74" customFormat="1">
      <c r="A406" s="147"/>
      <c r="B406" s="188" t="s">
        <v>30</v>
      </c>
      <c r="C406" s="238" t="s">
        <v>23</v>
      </c>
      <c r="D406" s="188">
        <v>11093521001</v>
      </c>
      <c r="E406" s="553" t="str">
        <f>IFERROR(VLOOKUP(D406,'ВИС-2026'!$E$17:$H$2115,2,0),"")</f>
        <v>Угольник-переходник с наружной резьбой 32-R 1 MX</v>
      </c>
      <c r="F406" s="292" t="str">
        <f>IFERROR(VLOOKUP(D406,'ВИС-2026'!$E$17:$H$2115,4,0),"")</f>
        <v>шт</v>
      </c>
      <c r="G406" s="428"/>
      <c r="H406" s="554">
        <f>IFERROR(VLOOKUP(D406,'ВИС-2026'!$E$17:$K$2649,7,0),"")</f>
        <v>26.9</v>
      </c>
      <c r="I406" s="554">
        <f t="shared" si="78"/>
        <v>0</v>
      </c>
      <c r="J406" s="554">
        <f t="shared" si="79"/>
        <v>26.9</v>
      </c>
      <c r="K406" s="554">
        <f t="shared" si="80"/>
        <v>0</v>
      </c>
      <c r="L406" s="554">
        <f t="shared" si="81"/>
        <v>0</v>
      </c>
      <c r="M406" s="554">
        <f t="shared" si="82"/>
        <v>0</v>
      </c>
      <c r="N406" s="104"/>
    </row>
    <row r="407" spans="1:14" s="73" customFormat="1">
      <c r="A407" s="147"/>
      <c r="B407" s="188"/>
      <c r="C407" s="224"/>
      <c r="D407" s="188"/>
      <c r="E407" s="210"/>
      <c r="F407" s="292" t="str">
        <f>IFERROR(VLOOKUP(D407,'ВИС-2026'!$E$17:$H$2115,5,0),"")</f>
        <v/>
      </c>
      <c r="G407" s="428"/>
      <c r="H407" s="554" t="str">
        <f>IFERROR(VLOOKUP(D407,'ВИС-2026'!$E$17:$K$2649,8,0),"")</f>
        <v/>
      </c>
      <c r="I407" s="554" t="str">
        <f t="shared" si="78"/>
        <v/>
      </c>
      <c r="J407" s="554" t="str">
        <f t="shared" si="79"/>
        <v/>
      </c>
      <c r="K407" s="554" t="str">
        <f t="shared" si="80"/>
        <v/>
      </c>
      <c r="L407" s="554" t="str">
        <f t="shared" si="81"/>
        <v/>
      </c>
      <c r="M407" s="554" t="str">
        <f t="shared" si="82"/>
        <v/>
      </c>
      <c r="N407" s="104"/>
    </row>
    <row r="408" spans="1:14" s="73" customFormat="1" ht="30.6">
      <c r="A408" s="148" t="s">
        <v>25</v>
      </c>
      <c r="B408" s="208" t="s">
        <v>26</v>
      </c>
      <c r="C408" s="238" t="s">
        <v>23</v>
      </c>
      <c r="D408" s="188">
        <v>14563511001</v>
      </c>
      <c r="E408" s="553" t="str">
        <f>IFERROR(VLOOKUP(D408,'ВИС-2026'!$E$17:$H$2115,2,0),"")</f>
        <v>Угольник-переходник с наружной резьбой 32-R 3/4 RX+</v>
      </c>
      <c r="F408" s="292" t="str">
        <f>IFERROR(VLOOKUP(D408,'ВИС-2026'!$E$17:$H$2115,4,0),"")</f>
        <v>шт</v>
      </c>
      <c r="G408" s="428"/>
      <c r="H408" s="554">
        <f>IFERROR(VLOOKUP(D408,'ВИС-2026'!$E$17:$K$2649,7,0),"")</f>
        <v>30.74</v>
      </c>
      <c r="I408" s="554">
        <f t="shared" si="78"/>
        <v>0</v>
      </c>
      <c r="J408" s="554">
        <f t="shared" si="79"/>
        <v>30.74</v>
      </c>
      <c r="K408" s="554">
        <f t="shared" si="80"/>
        <v>0</v>
      </c>
      <c r="L408" s="554">
        <f t="shared" si="81"/>
        <v>0</v>
      </c>
      <c r="M408" s="554">
        <f t="shared" si="82"/>
        <v>0</v>
      </c>
      <c r="N408" s="104"/>
    </row>
    <row r="409" spans="1:14" s="73" customFormat="1">
      <c r="A409" s="147"/>
      <c r="B409" s="281"/>
      <c r="C409" s="282"/>
      <c r="D409" s="217"/>
      <c r="E409" s="218"/>
      <c r="F409" s="292" t="str">
        <f>IFERROR(VLOOKUP(D409,'ВИС-2026'!$E$17:$H$2115,5,0),"")</f>
        <v/>
      </c>
      <c r="G409" s="428"/>
      <c r="H409" s="554" t="str">
        <f>IFERROR(VLOOKUP(D409,'ВИС-2026'!$E$17:$K$2649,8,0),"")</f>
        <v/>
      </c>
      <c r="I409" s="554" t="str">
        <f t="shared" si="78"/>
        <v/>
      </c>
      <c r="J409" s="554" t="str">
        <f t="shared" si="79"/>
        <v/>
      </c>
      <c r="K409" s="554" t="str">
        <f t="shared" si="80"/>
        <v/>
      </c>
      <c r="L409" s="554" t="str">
        <f t="shared" si="81"/>
        <v/>
      </c>
      <c r="M409" s="554" t="str">
        <f t="shared" si="82"/>
        <v/>
      </c>
      <c r="N409" s="104"/>
    </row>
    <row r="410" spans="1:14" s="73" customFormat="1">
      <c r="A410" s="147"/>
      <c r="B410" s="188" t="s">
        <v>30</v>
      </c>
      <c r="C410" s="190" t="s">
        <v>23</v>
      </c>
      <c r="D410" s="242">
        <v>14563533001</v>
      </c>
      <c r="E410" s="553" t="str">
        <f>IFERROR(VLOOKUP(D410,'ВИС-2026'!$E$17:$H$2115,2,0),"")</f>
        <v>Угольник-переходник РЕХАУ с внутренней резьбой 16-Rp 1/2 RX+</v>
      </c>
      <c r="F410" s="292" t="str">
        <f>IFERROR(VLOOKUP(D410,'ВИС-2026'!$E$17:$H$2115,4,0),"")</f>
        <v>шт</v>
      </c>
      <c r="G410" s="428"/>
      <c r="H410" s="554">
        <f>IFERROR(VLOOKUP(D410,'ВИС-2026'!$E$17:$K$2649,7,0),"")</f>
        <v>10.029999999999999</v>
      </c>
      <c r="I410" s="554">
        <f t="shared" si="78"/>
        <v>0</v>
      </c>
      <c r="J410" s="554">
        <f t="shared" si="79"/>
        <v>10.029999999999999</v>
      </c>
      <c r="K410" s="554">
        <f t="shared" si="80"/>
        <v>0</v>
      </c>
      <c r="L410" s="554">
        <f t="shared" si="81"/>
        <v>0</v>
      </c>
      <c r="M410" s="554">
        <f t="shared" si="82"/>
        <v>0</v>
      </c>
      <c r="N410" s="104"/>
    </row>
    <row r="411" spans="1:14" s="73" customFormat="1">
      <c r="A411" s="147"/>
      <c r="B411" s="188" t="s">
        <v>30</v>
      </c>
      <c r="C411" s="190" t="s">
        <v>23</v>
      </c>
      <c r="D411" s="242">
        <v>14563543001</v>
      </c>
      <c r="E411" s="553" t="str">
        <f>IFERROR(VLOOKUP(D411,'ВИС-2026'!$E$17:$H$2115,2,0),"")</f>
        <v>Угольник-переходник РЕХАУ с внутренней резьбой 16-Rp 3/4 RX+</v>
      </c>
      <c r="F411" s="292" t="str">
        <f>IFERROR(VLOOKUP(D411,'ВИС-2026'!$E$17:$H$2115,4,0),"")</f>
        <v>шт</v>
      </c>
      <c r="G411" s="428"/>
      <c r="H411" s="554">
        <f>IFERROR(VLOOKUP(D411,'ВИС-2026'!$E$17:$K$2649,7,0),"")</f>
        <v>13.66</v>
      </c>
      <c r="I411" s="554">
        <f t="shared" si="78"/>
        <v>0</v>
      </c>
      <c r="J411" s="554">
        <f t="shared" si="79"/>
        <v>13.66</v>
      </c>
      <c r="K411" s="554">
        <f t="shared" si="80"/>
        <v>0</v>
      </c>
      <c r="L411" s="554">
        <f t="shared" si="81"/>
        <v>0</v>
      </c>
      <c r="M411" s="554">
        <f t="shared" si="82"/>
        <v>0</v>
      </c>
      <c r="N411" s="104"/>
    </row>
    <row r="412" spans="1:14" s="73" customFormat="1">
      <c r="A412" s="147"/>
      <c r="B412" s="188" t="s">
        <v>30</v>
      </c>
      <c r="C412" s="190" t="s">
        <v>23</v>
      </c>
      <c r="D412" s="242">
        <v>14563553001</v>
      </c>
      <c r="E412" s="553" t="str">
        <f>IFERROR(VLOOKUP(D412,'ВИС-2026'!$E$17:$H$2115,2,0),"")</f>
        <v>Угольник-переходник РЕХАУ с внутренней резьбой 20-Rp 1/2 RX+</v>
      </c>
      <c r="F412" s="292" t="str">
        <f>IFERROR(VLOOKUP(D412,'ВИС-2026'!$E$17:$H$2115,4,0),"")</f>
        <v>шт</v>
      </c>
      <c r="G412" s="428"/>
      <c r="H412" s="554">
        <f>IFERROR(VLOOKUP(D412,'ВИС-2026'!$E$17:$K$2649,7,0),"")</f>
        <v>12.4</v>
      </c>
      <c r="I412" s="554">
        <f t="shared" si="78"/>
        <v>0</v>
      </c>
      <c r="J412" s="554">
        <f t="shared" si="79"/>
        <v>12.4</v>
      </c>
      <c r="K412" s="554">
        <f t="shared" si="80"/>
        <v>0</v>
      </c>
      <c r="L412" s="554">
        <f t="shared" si="81"/>
        <v>0</v>
      </c>
      <c r="M412" s="554">
        <f t="shared" si="82"/>
        <v>0</v>
      </c>
      <c r="N412" s="104"/>
    </row>
    <row r="413" spans="1:14" s="73" customFormat="1">
      <c r="A413" s="147"/>
      <c r="B413" s="188" t="s">
        <v>30</v>
      </c>
      <c r="C413" s="190" t="s">
        <v>23</v>
      </c>
      <c r="D413" s="242">
        <v>14563563001</v>
      </c>
      <c r="E413" s="553" t="str">
        <f>IFERROR(VLOOKUP(D413,'ВИС-2026'!$E$17:$H$2115,2,0),"")</f>
        <v>Угольник-переходник РЕХАУ с внутренней резьбой 20-Rp 3/4 RX+</v>
      </c>
      <c r="F413" s="292" t="str">
        <f>IFERROR(VLOOKUP(D413,'ВИС-2026'!$E$17:$H$2115,4,0),"")</f>
        <v>шт</v>
      </c>
      <c r="G413" s="428"/>
      <c r="H413" s="554">
        <f>IFERROR(VLOOKUP(D413,'ВИС-2026'!$E$17:$K$2649,7,0),"")</f>
        <v>16.62</v>
      </c>
      <c r="I413" s="554">
        <f t="shared" si="78"/>
        <v>0</v>
      </c>
      <c r="J413" s="554">
        <f t="shared" si="79"/>
        <v>16.62</v>
      </c>
      <c r="K413" s="554">
        <f t="shared" si="80"/>
        <v>0</v>
      </c>
      <c r="L413" s="554">
        <f t="shared" si="81"/>
        <v>0</v>
      </c>
      <c r="M413" s="554">
        <f t="shared" si="82"/>
        <v>0</v>
      </c>
      <c r="N413" s="104"/>
    </row>
    <row r="414" spans="1:14" s="73" customFormat="1">
      <c r="A414" s="147"/>
      <c r="B414" s="188" t="s">
        <v>30</v>
      </c>
      <c r="C414" s="190" t="s">
        <v>23</v>
      </c>
      <c r="D414" s="242">
        <v>14563573001</v>
      </c>
      <c r="E414" s="553" t="str">
        <f>IFERROR(VLOOKUP(D414,'ВИС-2026'!$E$17:$H$2115,2,0),"")</f>
        <v>Угольник-переходник РЕХАУ с внутренней резьбой 25-Rp 1 RX+</v>
      </c>
      <c r="F414" s="292" t="str">
        <f>IFERROR(VLOOKUP(D414,'ВИС-2026'!$E$17:$H$2115,4,0),"")</f>
        <v>шт</v>
      </c>
      <c r="G414" s="428"/>
      <c r="H414" s="554">
        <f>IFERROR(VLOOKUP(D414,'ВИС-2026'!$E$17:$K$2649,7,0),"")</f>
        <v>27.82</v>
      </c>
      <c r="I414" s="554">
        <f t="shared" si="78"/>
        <v>0</v>
      </c>
      <c r="J414" s="554">
        <f t="shared" si="79"/>
        <v>27.82</v>
      </c>
      <c r="K414" s="554">
        <f t="shared" si="80"/>
        <v>0</v>
      </c>
      <c r="L414" s="554">
        <f t="shared" si="81"/>
        <v>0</v>
      </c>
      <c r="M414" s="554">
        <f t="shared" si="82"/>
        <v>0</v>
      </c>
      <c r="N414" s="104"/>
    </row>
    <row r="415" spans="1:14" s="73" customFormat="1">
      <c r="A415" s="147"/>
      <c r="B415" s="281"/>
      <c r="C415" s="282"/>
      <c r="D415" s="217"/>
      <c r="E415" s="218"/>
      <c r="F415" s="292" t="str">
        <f>IFERROR(VLOOKUP(D415,'ВИС-2026'!$E$17:$H$2115,5,0),"")</f>
        <v/>
      </c>
      <c r="G415" s="428"/>
      <c r="H415" s="554" t="str">
        <f>IFERROR(VLOOKUP(D415,'ВИС-2026'!$E$17:$K$2649,8,0),"")</f>
        <v/>
      </c>
      <c r="I415" s="554" t="str">
        <f t="shared" si="78"/>
        <v/>
      </c>
      <c r="J415" s="554" t="str">
        <f t="shared" si="79"/>
        <v/>
      </c>
      <c r="K415" s="554" t="str">
        <f t="shared" si="80"/>
        <v/>
      </c>
      <c r="L415" s="554" t="str">
        <f t="shared" si="81"/>
        <v/>
      </c>
      <c r="M415" s="554" t="str">
        <f t="shared" si="82"/>
        <v/>
      </c>
      <c r="N415" s="104"/>
    </row>
    <row r="416" spans="1:14" s="73" customFormat="1">
      <c r="A416" s="147"/>
      <c r="B416" s="188" t="s">
        <v>30</v>
      </c>
      <c r="C416" s="238" t="s">
        <v>23</v>
      </c>
      <c r="D416" s="188">
        <v>11096831001</v>
      </c>
      <c r="E416" s="553" t="str">
        <f>IFERROR(VLOOKUP(D416,'ВИС-2026'!$E$17:$H$2115,2,0),"")</f>
        <v>Угольник-переходник с внутренней резьбой 16-Rp 1/2 MX</v>
      </c>
      <c r="F416" s="292" t="str">
        <f>IFERROR(VLOOKUP(D416,'ВИС-2026'!$E$17:$H$2115,4,0),"")</f>
        <v>шт</v>
      </c>
      <c r="G416" s="428"/>
      <c r="H416" s="554">
        <f>IFERROR(VLOOKUP(D416,'ВИС-2026'!$E$17:$K$2649,7,0),"")</f>
        <v>6.27</v>
      </c>
      <c r="I416" s="554">
        <f t="shared" si="78"/>
        <v>0</v>
      </c>
      <c r="J416" s="554">
        <f t="shared" si="79"/>
        <v>6.27</v>
      </c>
      <c r="K416" s="554">
        <f t="shared" si="80"/>
        <v>0</v>
      </c>
      <c r="L416" s="554">
        <f t="shared" si="81"/>
        <v>0</v>
      </c>
      <c r="M416" s="554">
        <f t="shared" si="82"/>
        <v>0</v>
      </c>
      <c r="N416" s="104"/>
    </row>
    <row r="417" spans="1:14" s="73" customFormat="1">
      <c r="A417" s="147"/>
      <c r="B417" s="188" t="s">
        <v>30</v>
      </c>
      <c r="C417" s="238" t="s">
        <v>23</v>
      </c>
      <c r="D417" s="188">
        <v>11093541001</v>
      </c>
      <c r="E417" s="553" t="str">
        <f>IFERROR(VLOOKUP(D417,'ВИС-2026'!$E$17:$H$2115,2,0),"")</f>
        <v>Угольник-переходник с внутренней резьбой 16-Rp 3/4 MX</v>
      </c>
      <c r="F417" s="292" t="str">
        <f>IFERROR(VLOOKUP(D417,'ВИС-2026'!$E$17:$H$2115,4,0),"")</f>
        <v>шт</v>
      </c>
      <c r="G417" s="428"/>
      <c r="H417" s="554">
        <f>IFERROR(VLOOKUP(D417,'ВИС-2026'!$E$17:$K$2649,7,0),"")</f>
        <v>11.61</v>
      </c>
      <c r="I417" s="554">
        <f t="shared" si="78"/>
        <v>0</v>
      </c>
      <c r="J417" s="554">
        <f t="shared" si="79"/>
        <v>11.61</v>
      </c>
      <c r="K417" s="554">
        <f t="shared" si="80"/>
        <v>0</v>
      </c>
      <c r="L417" s="554">
        <f t="shared" si="81"/>
        <v>0</v>
      </c>
      <c r="M417" s="554">
        <f t="shared" si="82"/>
        <v>0</v>
      </c>
      <c r="N417" s="104"/>
    </row>
    <row r="418" spans="1:14" s="73" customFormat="1">
      <c r="A418" s="147"/>
      <c r="B418" s="188" t="s">
        <v>30</v>
      </c>
      <c r="C418" s="238" t="s">
        <v>23</v>
      </c>
      <c r="D418" s="188">
        <v>11097121001</v>
      </c>
      <c r="E418" s="553" t="str">
        <f>IFERROR(VLOOKUP(D418,'ВИС-2026'!$E$17:$H$2115,2,0),"")</f>
        <v>Угольник-переходник с внутренней резьбой 20-Rp 1/2 MX</v>
      </c>
      <c r="F418" s="292" t="str">
        <f>IFERROR(VLOOKUP(D418,'ВИС-2026'!$E$17:$H$2115,4,0),"")</f>
        <v>шт</v>
      </c>
      <c r="G418" s="428"/>
      <c r="H418" s="554">
        <f>IFERROR(VLOOKUP(D418,'ВИС-2026'!$E$17:$K$2649,7,0),"")</f>
        <v>7.89</v>
      </c>
      <c r="I418" s="554">
        <f t="shared" si="78"/>
        <v>0</v>
      </c>
      <c r="J418" s="554">
        <f t="shared" si="79"/>
        <v>7.89</v>
      </c>
      <c r="K418" s="554">
        <f t="shared" si="80"/>
        <v>0</v>
      </c>
      <c r="L418" s="554">
        <f t="shared" si="81"/>
        <v>0</v>
      </c>
      <c r="M418" s="554">
        <f t="shared" si="82"/>
        <v>0</v>
      </c>
      <c r="N418" s="104"/>
    </row>
    <row r="419" spans="1:14" s="73" customFormat="1">
      <c r="A419" s="147"/>
      <c r="B419" s="188" t="s">
        <v>30</v>
      </c>
      <c r="C419" s="238" t="s">
        <v>23</v>
      </c>
      <c r="D419" s="188">
        <v>11097151001</v>
      </c>
      <c r="E419" s="553" t="str">
        <f>IFERROR(VLOOKUP(D419,'ВИС-2026'!$E$17:$H$2115,2,0),"")</f>
        <v>Угольник-переходник с внутренней резьбой 20-Rp 3/4 MX</v>
      </c>
      <c r="F419" s="292" t="str">
        <f>IFERROR(VLOOKUP(D419,'ВИС-2026'!$E$17:$H$2115,4,0),"")</f>
        <v>шт</v>
      </c>
      <c r="G419" s="428"/>
      <c r="H419" s="554">
        <f>IFERROR(VLOOKUP(D419,'ВИС-2026'!$E$17:$K$2649,7,0),"")</f>
        <v>11.71</v>
      </c>
      <c r="I419" s="554">
        <f t="shared" si="78"/>
        <v>0</v>
      </c>
      <c r="J419" s="554">
        <f t="shared" si="79"/>
        <v>11.71</v>
      </c>
      <c r="K419" s="554">
        <f t="shared" si="80"/>
        <v>0</v>
      </c>
      <c r="L419" s="554">
        <f t="shared" si="81"/>
        <v>0</v>
      </c>
      <c r="M419" s="554">
        <f t="shared" si="82"/>
        <v>0</v>
      </c>
      <c r="N419" s="104"/>
    </row>
    <row r="420" spans="1:14" s="73" customFormat="1">
      <c r="A420" s="147"/>
      <c r="B420" s="240" t="s">
        <v>30</v>
      </c>
      <c r="C420" s="238" t="s">
        <v>23</v>
      </c>
      <c r="D420" s="256">
        <v>11093571001</v>
      </c>
      <c r="E420" s="553" t="str">
        <f>IFERROR(VLOOKUP(D420,'ВИС-2026'!$E$17:$H$2115,2,0),"")</f>
        <v>Угольник-переходник с внутренней резьбой 25-Rp 1 MX</v>
      </c>
      <c r="F420" s="292" t="str">
        <f>IFERROR(VLOOKUP(D420,'ВИС-2026'!$E$17:$H$2115,4,0),"")</f>
        <v>шт</v>
      </c>
      <c r="G420" s="428"/>
      <c r="H420" s="554">
        <f>IFERROR(VLOOKUP(D420,'ВИС-2026'!$E$17:$K$2649,7,0),"")</f>
        <v>23.08</v>
      </c>
      <c r="I420" s="554">
        <f t="shared" si="78"/>
        <v>0</v>
      </c>
      <c r="J420" s="554">
        <f t="shared" si="79"/>
        <v>23.08</v>
      </c>
      <c r="K420" s="554">
        <f t="shared" si="80"/>
        <v>0</v>
      </c>
      <c r="L420" s="554">
        <f t="shared" si="81"/>
        <v>0</v>
      </c>
      <c r="M420" s="554">
        <f t="shared" si="82"/>
        <v>0</v>
      </c>
      <c r="N420" s="104"/>
    </row>
    <row r="421" spans="1:14" s="73" customFormat="1">
      <c r="A421" s="147"/>
      <c r="B421" s="281"/>
      <c r="C421" s="282"/>
      <c r="D421" s="217"/>
      <c r="E421" s="218"/>
      <c r="F421" s="292" t="str">
        <f>IFERROR(VLOOKUP(D421,'ВИС-2026'!$E$17:$H$2115,5,0),"")</f>
        <v/>
      </c>
      <c r="G421" s="428"/>
      <c r="H421" s="554" t="str">
        <f>IFERROR(VLOOKUP(D421,'ВИС-2026'!$E$17:$K$2649,8,0),"")</f>
        <v/>
      </c>
      <c r="I421" s="554" t="str">
        <f t="shared" si="78"/>
        <v/>
      </c>
      <c r="J421" s="554" t="str">
        <f t="shared" si="79"/>
        <v/>
      </c>
      <c r="K421" s="554" t="str">
        <f t="shared" si="80"/>
        <v/>
      </c>
      <c r="L421" s="554" t="str">
        <f t="shared" si="81"/>
        <v/>
      </c>
      <c r="M421" s="554" t="str">
        <f t="shared" si="82"/>
        <v/>
      </c>
      <c r="N421" s="104"/>
    </row>
    <row r="422" spans="1:14" s="73" customFormat="1" ht="30.6">
      <c r="A422" s="148" t="s">
        <v>25</v>
      </c>
      <c r="B422" s="208" t="s">
        <v>26</v>
      </c>
      <c r="C422" s="238" t="s">
        <v>23</v>
      </c>
      <c r="D422" s="188">
        <v>14563541001</v>
      </c>
      <c r="E422" s="553" t="str">
        <f>IFERROR(VLOOKUP(D422,'ВИС-2026'!$E$17:$H$2115,2,0),"")</f>
        <v>Угольник-переходник с внутренней резьбой 16-Rp 3/4 RX+</v>
      </c>
      <c r="F422" s="292" t="str">
        <f>IFERROR(VLOOKUP(D422,'ВИС-2026'!$E$17:$H$2115,4,0),"")</f>
        <v>шт</v>
      </c>
      <c r="G422" s="428"/>
      <c r="H422" s="554">
        <f>IFERROR(VLOOKUP(D422,'ВИС-2026'!$E$17:$K$2649,7,0),"")</f>
        <v>11.96</v>
      </c>
      <c r="I422" s="554">
        <f t="shared" si="78"/>
        <v>0</v>
      </c>
      <c r="J422" s="554">
        <f t="shared" si="79"/>
        <v>11.96</v>
      </c>
      <c r="K422" s="554">
        <f t="shared" si="80"/>
        <v>0</v>
      </c>
      <c r="L422" s="554">
        <f t="shared" si="81"/>
        <v>0</v>
      </c>
      <c r="M422" s="554">
        <f t="shared" si="82"/>
        <v>0</v>
      </c>
      <c r="N422" s="104"/>
    </row>
    <row r="423" spans="1:14" s="73" customFormat="1" ht="30.6">
      <c r="A423" s="148" t="s">
        <v>25</v>
      </c>
      <c r="B423" s="208" t="s">
        <v>26</v>
      </c>
      <c r="C423" s="238" t="s">
        <v>23</v>
      </c>
      <c r="D423" s="188">
        <v>14563551001</v>
      </c>
      <c r="E423" s="553" t="str">
        <f>IFERROR(VLOOKUP(D423,'ВИС-2026'!$E$17:$H$2115,2,0),"")</f>
        <v>Угольник-переходник с внутренней резьбой 20-Rp 1/2 RX+</v>
      </c>
      <c r="F423" s="292" t="str">
        <f>IFERROR(VLOOKUP(D423,'ВИС-2026'!$E$17:$H$2115,4,0),"")</f>
        <v>шт</v>
      </c>
      <c r="G423" s="428"/>
      <c r="H423" s="554">
        <f>IFERROR(VLOOKUP(D423,'ВИС-2026'!$E$17:$K$2649,7,0),"")</f>
        <v>11.96</v>
      </c>
      <c r="I423" s="554">
        <f t="shared" si="78"/>
        <v>0</v>
      </c>
      <c r="J423" s="554">
        <f t="shared" si="79"/>
        <v>11.96</v>
      </c>
      <c r="K423" s="554">
        <f t="shared" si="80"/>
        <v>0</v>
      </c>
      <c r="L423" s="554">
        <f t="shared" si="81"/>
        <v>0</v>
      </c>
      <c r="M423" s="554">
        <f t="shared" si="82"/>
        <v>0</v>
      </c>
      <c r="N423" s="104"/>
    </row>
    <row r="424" spans="1:14" s="73" customFormat="1">
      <c r="A424" s="147"/>
      <c r="B424" s="283"/>
      <c r="C424" s="282"/>
      <c r="D424" s="217"/>
      <c r="E424" s="218"/>
      <c r="F424" s="292" t="str">
        <f>IFERROR(VLOOKUP(D424,'ВИС-2026'!$E$17:$H$2115,5,0),"")</f>
        <v/>
      </c>
      <c r="G424" s="428"/>
      <c r="H424" s="554" t="str">
        <f>IFERROR(VLOOKUP(D424,'ВИС-2026'!$E$17:$K$2649,8,0),"")</f>
        <v/>
      </c>
      <c r="I424" s="554" t="str">
        <f t="shared" si="78"/>
        <v/>
      </c>
      <c r="J424" s="554" t="str">
        <f t="shared" si="79"/>
        <v/>
      </c>
      <c r="K424" s="554" t="str">
        <f t="shared" si="80"/>
        <v/>
      </c>
      <c r="L424" s="554" t="str">
        <f t="shared" si="81"/>
        <v/>
      </c>
      <c r="M424" s="554" t="str">
        <f t="shared" si="82"/>
        <v/>
      </c>
      <c r="N424" s="104"/>
    </row>
    <row r="425" spans="1:14" s="73" customFormat="1">
      <c r="A425" s="147"/>
      <c r="B425" s="188" t="s">
        <v>30</v>
      </c>
      <c r="C425" s="190" t="s">
        <v>23</v>
      </c>
      <c r="D425" s="242">
        <v>14563583001</v>
      </c>
      <c r="E425" s="553" t="str">
        <f>IFERROR(VLOOKUP(D425,'ВИС-2026'!$E$17:$H$2115,2,0),"")</f>
        <v>Угольник настенный РЕХАУ с внутр. резьбой 16-Rp 1/2 RX+</v>
      </c>
      <c r="F425" s="292" t="str">
        <f>IFERROR(VLOOKUP(D425,'ВИС-2026'!$E$17:$H$2115,4,0),"")</f>
        <v>шт</v>
      </c>
      <c r="G425" s="428"/>
      <c r="H425" s="554">
        <f>IFERROR(VLOOKUP(D425,'ВИС-2026'!$E$17:$K$2649,7,0),"")</f>
        <v>13.31</v>
      </c>
      <c r="I425" s="554">
        <f t="shared" si="78"/>
        <v>0</v>
      </c>
      <c r="J425" s="554">
        <f t="shared" si="79"/>
        <v>13.31</v>
      </c>
      <c r="K425" s="554">
        <f t="shared" si="80"/>
        <v>0</v>
      </c>
      <c r="L425" s="554">
        <f t="shared" si="81"/>
        <v>0</v>
      </c>
      <c r="M425" s="554">
        <f t="shared" si="82"/>
        <v>0</v>
      </c>
      <c r="N425" s="104"/>
    </row>
    <row r="426" spans="1:14" s="73" customFormat="1">
      <c r="A426" s="147"/>
      <c r="B426" s="188" t="s">
        <v>30</v>
      </c>
      <c r="C426" s="190" t="s">
        <v>23</v>
      </c>
      <c r="D426" s="242">
        <v>14563593001</v>
      </c>
      <c r="E426" s="553" t="str">
        <f>IFERROR(VLOOKUP(D426,'ВИС-2026'!$E$17:$H$2115,2,0),"")</f>
        <v>Угольник настенный РЕХАУ с внутр. резьбой 20-Rp 1/2 RX+</v>
      </c>
      <c r="F426" s="292" t="str">
        <f>IFERROR(VLOOKUP(D426,'ВИС-2026'!$E$17:$H$2115,4,0),"")</f>
        <v>шт</v>
      </c>
      <c r="G426" s="428"/>
      <c r="H426" s="554">
        <f>IFERROR(VLOOKUP(D426,'ВИС-2026'!$E$17:$K$2649,7,0),"")</f>
        <v>14.35</v>
      </c>
      <c r="I426" s="554">
        <f t="shared" si="78"/>
        <v>0</v>
      </c>
      <c r="J426" s="554">
        <f t="shared" si="79"/>
        <v>14.35</v>
      </c>
      <c r="K426" s="554">
        <f t="shared" si="80"/>
        <v>0</v>
      </c>
      <c r="L426" s="554">
        <f t="shared" si="81"/>
        <v>0</v>
      </c>
      <c r="M426" s="554">
        <f t="shared" si="82"/>
        <v>0</v>
      </c>
      <c r="N426" s="104"/>
    </row>
    <row r="427" spans="1:14" s="73" customFormat="1">
      <c r="A427" s="147"/>
      <c r="B427" s="188" t="s">
        <v>30</v>
      </c>
      <c r="C427" s="190" t="s">
        <v>23</v>
      </c>
      <c r="D427" s="242">
        <v>14563603001</v>
      </c>
      <c r="E427" s="553" t="str">
        <f>IFERROR(VLOOKUP(D427,'ВИС-2026'!$E$17:$H$2115,2,0),"")</f>
        <v>Угольник настенный РЕХАУ с внутр. резьбой 20-Rp 3/4 RX+</v>
      </c>
      <c r="F427" s="292" t="str">
        <f>IFERROR(VLOOKUP(D427,'ВИС-2026'!$E$17:$H$2115,4,0),"")</f>
        <v>шт</v>
      </c>
      <c r="G427" s="428"/>
      <c r="H427" s="554">
        <f>IFERROR(VLOOKUP(D427,'ВИС-2026'!$E$17:$K$2649,7,0),"")</f>
        <v>16.149999999999999</v>
      </c>
      <c r="I427" s="554">
        <f t="shared" si="78"/>
        <v>0</v>
      </c>
      <c r="J427" s="554">
        <f t="shared" si="79"/>
        <v>16.149999999999999</v>
      </c>
      <c r="K427" s="554">
        <f t="shared" si="80"/>
        <v>0</v>
      </c>
      <c r="L427" s="554">
        <f t="shared" si="81"/>
        <v>0</v>
      </c>
      <c r="M427" s="554">
        <f t="shared" si="82"/>
        <v>0</v>
      </c>
      <c r="N427" s="104"/>
    </row>
    <row r="428" spans="1:14" s="73" customFormat="1">
      <c r="A428" s="147"/>
      <c r="B428" s="188" t="s">
        <v>30</v>
      </c>
      <c r="C428" s="190" t="s">
        <v>23</v>
      </c>
      <c r="D428" s="242">
        <v>14563613001</v>
      </c>
      <c r="E428" s="553" t="str">
        <f>IFERROR(VLOOKUP(D428,'ВИС-2026'!$E$17:$H$2115,2,0),"")</f>
        <v>Угольник настенный РЕХАУ с внутр. резьбой 25-Rp 3/4 RX+</v>
      </c>
      <c r="F428" s="292" t="str">
        <f>IFERROR(VLOOKUP(D428,'ВИС-2026'!$E$17:$H$2115,4,0),"")</f>
        <v>шт</v>
      </c>
      <c r="G428" s="428"/>
      <c r="H428" s="554">
        <f>IFERROR(VLOOKUP(D428,'ВИС-2026'!$E$17:$K$2649,7,0),"")</f>
        <v>21.8</v>
      </c>
      <c r="I428" s="554">
        <f t="shared" si="78"/>
        <v>0</v>
      </c>
      <c r="J428" s="554">
        <f t="shared" si="79"/>
        <v>21.8</v>
      </c>
      <c r="K428" s="554">
        <f t="shared" si="80"/>
        <v>0</v>
      </c>
      <c r="L428" s="554">
        <f t="shared" si="81"/>
        <v>0</v>
      </c>
      <c r="M428" s="554">
        <f t="shared" si="82"/>
        <v>0</v>
      </c>
      <c r="N428" s="104"/>
    </row>
    <row r="429" spans="1:14" s="73" customFormat="1">
      <c r="A429" s="147"/>
      <c r="B429" s="188"/>
      <c r="C429" s="190"/>
      <c r="D429" s="217"/>
      <c r="E429" s="218"/>
      <c r="F429" s="292" t="str">
        <f>IFERROR(VLOOKUP(D429,'ВИС-2026'!$E$17:$H$2115,5,0),"")</f>
        <v/>
      </c>
      <c r="G429" s="428"/>
      <c r="H429" s="554" t="str">
        <f>IFERROR(VLOOKUP(D429,'ВИС-2026'!$E$17:$K$2649,8,0),"")</f>
        <v/>
      </c>
      <c r="I429" s="554" t="str">
        <f t="shared" si="78"/>
        <v/>
      </c>
      <c r="J429" s="554" t="str">
        <f t="shared" si="79"/>
        <v/>
      </c>
      <c r="K429" s="554" t="str">
        <f t="shared" si="80"/>
        <v/>
      </c>
      <c r="L429" s="554" t="str">
        <f t="shared" si="81"/>
        <v/>
      </c>
      <c r="M429" s="554" t="str">
        <f t="shared" si="82"/>
        <v/>
      </c>
      <c r="N429" s="104"/>
    </row>
    <row r="430" spans="1:14" s="73" customFormat="1">
      <c r="A430" s="147"/>
      <c r="B430" s="188" t="s">
        <v>30</v>
      </c>
      <c r="C430" s="190" t="s">
        <v>23</v>
      </c>
      <c r="D430" s="242">
        <v>14563623001</v>
      </c>
      <c r="E430" s="553" t="str">
        <f>IFERROR(VLOOKUP(D430,'ВИС-2026'!$E$17:$H$2115,2,0),"")</f>
        <v>Угольник настенный РЕХАУ с длинным патрубком, внутр. резьба 16-Rp 1/2 RX+</v>
      </c>
      <c r="F430" s="292" t="str">
        <f>IFERROR(VLOOKUP(D430,'ВИС-2026'!$E$17:$H$2115,4,0),"")</f>
        <v>шт</v>
      </c>
      <c r="G430" s="428"/>
      <c r="H430" s="554">
        <f>IFERROR(VLOOKUP(D430,'ВИС-2026'!$E$17:$K$2649,7,0),"")</f>
        <v>15.81</v>
      </c>
      <c r="I430" s="554">
        <f t="shared" si="78"/>
        <v>0</v>
      </c>
      <c r="J430" s="554">
        <f t="shared" si="79"/>
        <v>15.81</v>
      </c>
      <c r="K430" s="554">
        <f t="shared" si="80"/>
        <v>0</v>
      </c>
      <c r="L430" s="554">
        <f t="shared" si="81"/>
        <v>0</v>
      </c>
      <c r="M430" s="554">
        <f t="shared" si="82"/>
        <v>0</v>
      </c>
      <c r="N430" s="104"/>
    </row>
    <row r="431" spans="1:14" s="73" customFormat="1">
      <c r="A431" s="147"/>
      <c r="B431" s="188" t="s">
        <v>30</v>
      </c>
      <c r="C431" s="190" t="s">
        <v>23</v>
      </c>
      <c r="D431" s="242">
        <v>14563633001</v>
      </c>
      <c r="E431" s="553" t="str">
        <f>IFERROR(VLOOKUP(D431,'ВИС-2026'!$E$17:$H$2115,2,0),"")</f>
        <v>Угольник настенный РЕХАУ с длинным патрубком, внутр. резьба 20-Rp 1/2 RX+</v>
      </c>
      <c r="F431" s="292" t="str">
        <f>IFERROR(VLOOKUP(D431,'ВИС-2026'!$E$17:$H$2115,4,0),"")</f>
        <v>шт</v>
      </c>
      <c r="G431" s="428"/>
      <c r="H431" s="554">
        <f>IFERROR(VLOOKUP(D431,'ВИС-2026'!$E$17:$K$2649,7,0),"")</f>
        <v>18.100000000000001</v>
      </c>
      <c r="I431" s="554">
        <f t="shared" si="78"/>
        <v>0</v>
      </c>
      <c r="J431" s="554">
        <f t="shared" si="79"/>
        <v>18.100000000000001</v>
      </c>
      <c r="K431" s="554">
        <f t="shared" si="80"/>
        <v>0</v>
      </c>
      <c r="L431" s="554">
        <f t="shared" si="81"/>
        <v>0</v>
      </c>
      <c r="M431" s="554">
        <f t="shared" si="82"/>
        <v>0</v>
      </c>
      <c r="N431" s="104"/>
    </row>
    <row r="432" spans="1:14" s="73" customFormat="1">
      <c r="A432" s="147"/>
      <c r="B432" s="188"/>
      <c r="C432" s="190"/>
      <c r="D432" s="242"/>
      <c r="E432" s="243"/>
      <c r="F432" s="292" t="str">
        <f>IFERROR(VLOOKUP(D432,'ВИС-2026'!$E$17:$H$2115,5,0),"")</f>
        <v/>
      </c>
      <c r="G432" s="428"/>
      <c r="H432" s="554" t="str">
        <f>IFERROR(VLOOKUP(D432,'ВИС-2026'!$E$17:$K$2649,8,0),"")</f>
        <v/>
      </c>
      <c r="I432" s="554" t="str">
        <f t="shared" si="78"/>
        <v/>
      </c>
      <c r="J432" s="554" t="str">
        <f t="shared" si="79"/>
        <v/>
      </c>
      <c r="K432" s="554" t="str">
        <f t="shared" si="80"/>
        <v/>
      </c>
      <c r="L432" s="554" t="str">
        <f t="shared" si="81"/>
        <v/>
      </c>
      <c r="M432" s="554" t="str">
        <f t="shared" si="82"/>
        <v/>
      </c>
      <c r="N432" s="104"/>
    </row>
    <row r="433" spans="1:14" s="73" customFormat="1">
      <c r="A433" s="147"/>
      <c r="B433" s="188" t="s">
        <v>30</v>
      </c>
      <c r="C433" s="190" t="s">
        <v>23</v>
      </c>
      <c r="D433" s="242">
        <v>14563643001</v>
      </c>
      <c r="E433" s="553" t="str">
        <f>IFERROR(VLOOKUP(D433,'ВИС-2026'!$E$17:$H$2115,2,0),"")</f>
        <v>Угольник настенный РЕХАУ с наружной резьбой 16-R 1/2 RX+</v>
      </c>
      <c r="F433" s="292" t="str">
        <f>IFERROR(VLOOKUP(D433,'ВИС-2026'!$E$17:$H$2115,4,0),"")</f>
        <v>шт</v>
      </c>
      <c r="G433" s="428"/>
      <c r="H433" s="554">
        <f>IFERROR(VLOOKUP(D433,'ВИС-2026'!$E$17:$K$2649,7,0),"")</f>
        <v>15.26</v>
      </c>
      <c r="I433" s="554">
        <f t="shared" si="78"/>
        <v>0</v>
      </c>
      <c r="J433" s="554">
        <f t="shared" si="79"/>
        <v>15.26</v>
      </c>
      <c r="K433" s="554">
        <f t="shared" si="80"/>
        <v>0</v>
      </c>
      <c r="L433" s="554">
        <f t="shared" si="81"/>
        <v>0</v>
      </c>
      <c r="M433" s="554">
        <f t="shared" si="82"/>
        <v>0</v>
      </c>
      <c r="N433" s="104"/>
    </row>
    <row r="434" spans="1:14" s="73" customFormat="1">
      <c r="A434" s="147"/>
      <c r="B434" s="188" t="s">
        <v>30</v>
      </c>
      <c r="C434" s="190" t="s">
        <v>23</v>
      </c>
      <c r="D434" s="242">
        <v>14563653001</v>
      </c>
      <c r="E434" s="553" t="str">
        <f>IFERROR(VLOOKUP(D434,'ВИС-2026'!$E$17:$H$2115,2,0),"")</f>
        <v>Угольник настенный РЕХАУ с наружной резьбой 20-R 1/2 RX+</v>
      </c>
      <c r="F434" s="292" t="str">
        <f>IFERROR(VLOOKUP(D434,'ВИС-2026'!$E$17:$H$2115,4,0),"")</f>
        <v>шт</v>
      </c>
      <c r="G434" s="428"/>
      <c r="H434" s="554">
        <f>IFERROR(VLOOKUP(D434,'ВИС-2026'!$E$17:$K$2649,7,0),"")</f>
        <v>20.61</v>
      </c>
      <c r="I434" s="554">
        <f t="shared" si="78"/>
        <v>0</v>
      </c>
      <c r="J434" s="554">
        <f t="shared" si="79"/>
        <v>20.61</v>
      </c>
      <c r="K434" s="554">
        <f t="shared" si="80"/>
        <v>0</v>
      </c>
      <c r="L434" s="554">
        <f t="shared" si="81"/>
        <v>0</v>
      </c>
      <c r="M434" s="554">
        <f t="shared" si="82"/>
        <v>0</v>
      </c>
      <c r="N434" s="104"/>
    </row>
    <row r="435" spans="1:14" s="73" customFormat="1">
      <c r="A435" s="147"/>
      <c r="B435" s="283"/>
      <c r="C435" s="282"/>
      <c r="D435" s="217"/>
      <c r="E435" s="218"/>
      <c r="F435" s="292" t="str">
        <f>IFERROR(VLOOKUP(D435,'ВИС-2026'!$E$17:$H$2115,5,0),"")</f>
        <v/>
      </c>
      <c r="G435" s="428"/>
      <c r="H435" s="554" t="str">
        <f>IFERROR(VLOOKUP(D435,'ВИС-2026'!$E$17:$K$2649,8,0),"")</f>
        <v/>
      </c>
      <c r="I435" s="554" t="str">
        <f t="shared" si="78"/>
        <v/>
      </c>
      <c r="J435" s="554" t="str">
        <f t="shared" si="79"/>
        <v/>
      </c>
      <c r="K435" s="554" t="str">
        <f t="shared" si="80"/>
        <v/>
      </c>
      <c r="L435" s="554" t="str">
        <f t="shared" si="81"/>
        <v/>
      </c>
      <c r="M435" s="554" t="str">
        <f t="shared" si="82"/>
        <v/>
      </c>
      <c r="N435" s="104"/>
    </row>
    <row r="436" spans="1:14" s="73" customFormat="1">
      <c r="A436" s="147"/>
      <c r="B436" s="240" t="s">
        <v>30</v>
      </c>
      <c r="C436" s="238" t="s">
        <v>23</v>
      </c>
      <c r="D436" s="188">
        <v>11096631001</v>
      </c>
      <c r="E436" s="553" t="str">
        <f>IFERROR(VLOOKUP(D436,'ВИС-2026'!$E$17:$H$2115,2,0),"")</f>
        <v>Угольник настенный с внутр. резьбой 16-Rp 1/2 MX</v>
      </c>
      <c r="F436" s="292" t="str">
        <f>IFERROR(VLOOKUP(D436,'ВИС-2026'!$E$17:$H$2115,4,0),"")</f>
        <v>шт</v>
      </c>
      <c r="G436" s="428"/>
      <c r="H436" s="554">
        <f>IFERROR(VLOOKUP(D436,'ВИС-2026'!$E$17:$K$2649,7,0),"")</f>
        <v>7.78</v>
      </c>
      <c r="I436" s="554">
        <f t="shared" si="78"/>
        <v>0</v>
      </c>
      <c r="J436" s="554">
        <f t="shared" si="79"/>
        <v>7.78</v>
      </c>
      <c r="K436" s="554">
        <f t="shared" si="80"/>
        <v>0</v>
      </c>
      <c r="L436" s="554">
        <f t="shared" si="81"/>
        <v>0</v>
      </c>
      <c r="M436" s="554">
        <f t="shared" si="82"/>
        <v>0</v>
      </c>
      <c r="N436" s="104"/>
    </row>
    <row r="437" spans="1:14" s="73" customFormat="1">
      <c r="A437" s="147"/>
      <c r="B437" s="240" t="s">
        <v>30</v>
      </c>
      <c r="C437" s="238" t="s">
        <v>23</v>
      </c>
      <c r="D437" s="188">
        <v>11096781001</v>
      </c>
      <c r="E437" s="553" t="str">
        <f>IFERROR(VLOOKUP(D437,'ВИС-2026'!$E$17:$H$2115,2,0),"")</f>
        <v>Угольник настенный с внутр. резьбой 20-Rp 1/2 MX</v>
      </c>
      <c r="F437" s="292" t="str">
        <f>IFERROR(VLOOKUP(D437,'ВИС-2026'!$E$17:$H$2115,4,0),"")</f>
        <v>шт</v>
      </c>
      <c r="G437" s="428"/>
      <c r="H437" s="554">
        <f>IFERROR(VLOOKUP(D437,'ВИС-2026'!$E$17:$K$2649,7,0),"")</f>
        <v>9.14</v>
      </c>
      <c r="I437" s="554">
        <f t="shared" si="78"/>
        <v>0</v>
      </c>
      <c r="J437" s="554">
        <f t="shared" si="79"/>
        <v>9.14</v>
      </c>
      <c r="K437" s="554">
        <f t="shared" si="80"/>
        <v>0</v>
      </c>
      <c r="L437" s="554">
        <f t="shared" si="81"/>
        <v>0</v>
      </c>
      <c r="M437" s="554">
        <f t="shared" si="82"/>
        <v>0</v>
      </c>
      <c r="N437" s="104"/>
    </row>
    <row r="438" spans="1:14" s="73" customFormat="1">
      <c r="A438" s="147"/>
      <c r="B438" s="240" t="s">
        <v>30</v>
      </c>
      <c r="C438" s="238" t="s">
        <v>23</v>
      </c>
      <c r="D438" s="188">
        <v>11097071001</v>
      </c>
      <c r="E438" s="553" t="str">
        <f>IFERROR(VLOOKUP(D438,'ВИС-2026'!$E$17:$H$2115,2,0),"")</f>
        <v>Угольник настенный с внутр. резьбой 20-Rp 3/4 MX</v>
      </c>
      <c r="F438" s="292" t="str">
        <f>IFERROR(VLOOKUP(D438,'ВИС-2026'!$E$17:$H$2115,4,0),"")</f>
        <v>шт</v>
      </c>
      <c r="G438" s="428"/>
      <c r="H438" s="554">
        <f>IFERROR(VLOOKUP(D438,'ВИС-2026'!$E$17:$K$2649,7,0),"")</f>
        <v>10.28</v>
      </c>
      <c r="I438" s="554">
        <f t="shared" si="78"/>
        <v>0</v>
      </c>
      <c r="J438" s="554">
        <f t="shared" si="79"/>
        <v>10.28</v>
      </c>
      <c r="K438" s="554">
        <f t="shared" si="80"/>
        <v>0</v>
      </c>
      <c r="L438" s="554">
        <f t="shared" si="81"/>
        <v>0</v>
      </c>
      <c r="M438" s="554">
        <f t="shared" si="82"/>
        <v>0</v>
      </c>
      <c r="N438" s="104"/>
    </row>
    <row r="439" spans="1:14" s="73" customFormat="1">
      <c r="A439" s="147"/>
      <c r="B439" s="240" t="s">
        <v>30</v>
      </c>
      <c r="C439" s="238" t="s">
        <v>23</v>
      </c>
      <c r="D439" s="256">
        <v>11093611001</v>
      </c>
      <c r="E439" s="553" t="str">
        <f>IFERROR(VLOOKUP(D439,'ВИС-2026'!$E$17:$H$2115,2,0),"")</f>
        <v>Угольник настенный с внутр. резьбой 25-Rp 3/4 MX</v>
      </c>
      <c r="F439" s="292" t="str">
        <f>IFERROR(VLOOKUP(D439,'ВИС-2026'!$E$17:$H$2115,4,0),"")</f>
        <v>шт</v>
      </c>
      <c r="G439" s="428"/>
      <c r="H439" s="554">
        <f>IFERROR(VLOOKUP(D439,'ВИС-2026'!$E$17:$K$2649,7,0),"")</f>
        <v>13.88</v>
      </c>
      <c r="I439" s="554">
        <f t="shared" si="78"/>
        <v>0</v>
      </c>
      <c r="J439" s="554">
        <f t="shared" si="79"/>
        <v>13.88</v>
      </c>
      <c r="K439" s="554">
        <f t="shared" si="80"/>
        <v>0</v>
      </c>
      <c r="L439" s="554">
        <f t="shared" si="81"/>
        <v>0</v>
      </c>
      <c r="M439" s="554">
        <f t="shared" si="82"/>
        <v>0</v>
      </c>
      <c r="N439" s="104"/>
    </row>
    <row r="440" spans="1:14" s="73" customFormat="1">
      <c r="A440" s="147"/>
      <c r="B440" s="281"/>
      <c r="C440" s="282"/>
      <c r="D440" s="217"/>
      <c r="E440" s="218"/>
      <c r="F440" s="292" t="str">
        <f>IFERROR(VLOOKUP(D440,'ВИС-2026'!$E$17:$H$2115,5,0),"")</f>
        <v/>
      </c>
      <c r="G440" s="428"/>
      <c r="H440" s="554" t="str">
        <f>IFERROR(VLOOKUP(D440,'ВИС-2026'!$E$17:$K$2649,8,0),"")</f>
        <v/>
      </c>
      <c r="I440" s="554" t="str">
        <f t="shared" si="78"/>
        <v/>
      </c>
      <c r="J440" s="554" t="str">
        <f t="shared" si="79"/>
        <v/>
      </c>
      <c r="K440" s="554" t="str">
        <f t="shared" si="80"/>
        <v/>
      </c>
      <c r="L440" s="554" t="str">
        <f t="shared" si="81"/>
        <v/>
      </c>
      <c r="M440" s="554" t="str">
        <f t="shared" si="82"/>
        <v/>
      </c>
      <c r="N440" s="104"/>
    </row>
    <row r="441" spans="1:14" s="73" customFormat="1">
      <c r="A441" s="147"/>
      <c r="B441" s="240" t="s">
        <v>30</v>
      </c>
      <c r="C441" s="238" t="s">
        <v>23</v>
      </c>
      <c r="D441" s="188">
        <v>11096761001</v>
      </c>
      <c r="E441" s="553" t="str">
        <f>IFERROR(VLOOKUP(D441,'ВИС-2026'!$E$17:$H$2115,2,0),"")</f>
        <v>Угольник настенный с длинным патрубком, внутр. резьба 16-Rp 1/2 MX</v>
      </c>
      <c r="F441" s="292" t="str">
        <f>IFERROR(VLOOKUP(D441,'ВИС-2026'!$E$17:$H$2115,4,0),"")</f>
        <v>шт</v>
      </c>
      <c r="G441" s="428"/>
      <c r="H441" s="554">
        <f>IFERROR(VLOOKUP(D441,'ВИС-2026'!$E$17:$K$2649,7,0),"")</f>
        <v>10.78</v>
      </c>
      <c r="I441" s="554">
        <f t="shared" si="78"/>
        <v>0</v>
      </c>
      <c r="J441" s="554">
        <f t="shared" si="79"/>
        <v>10.78</v>
      </c>
      <c r="K441" s="554">
        <f t="shared" si="80"/>
        <v>0</v>
      </c>
      <c r="L441" s="554">
        <f t="shared" si="81"/>
        <v>0</v>
      </c>
      <c r="M441" s="554">
        <f t="shared" si="82"/>
        <v>0</v>
      </c>
      <c r="N441" s="104"/>
    </row>
    <row r="442" spans="1:14" s="73" customFormat="1">
      <c r="A442" s="147"/>
      <c r="B442" s="240" t="s">
        <v>30</v>
      </c>
      <c r="C442" s="238" t="s">
        <v>23</v>
      </c>
      <c r="D442" s="188">
        <v>11096881001</v>
      </c>
      <c r="E442" s="553" t="str">
        <f>IFERROR(VLOOKUP(D442,'ВИС-2026'!$E$17:$H$2115,2,0),"")</f>
        <v xml:space="preserve">Угольник настенный с длинным патрубком, внутр. резьба 20-Rp 1/2 MX </v>
      </c>
      <c r="F442" s="292" t="str">
        <f>IFERROR(VLOOKUP(D442,'ВИС-2026'!$E$17:$H$2115,4,0),"")</f>
        <v>шт</v>
      </c>
      <c r="G442" s="428"/>
      <c r="H442" s="554">
        <f>IFERROR(VLOOKUP(D442,'ВИС-2026'!$E$17:$K$2649,7,0),"")</f>
        <v>11.97</v>
      </c>
      <c r="I442" s="554">
        <f t="shared" si="78"/>
        <v>0</v>
      </c>
      <c r="J442" s="554">
        <f t="shared" si="79"/>
        <v>11.97</v>
      </c>
      <c r="K442" s="554">
        <f t="shared" si="80"/>
        <v>0</v>
      </c>
      <c r="L442" s="554">
        <f t="shared" si="81"/>
        <v>0</v>
      </c>
      <c r="M442" s="554">
        <f t="shared" si="82"/>
        <v>0</v>
      </c>
      <c r="N442" s="104"/>
    </row>
    <row r="443" spans="1:14" s="73" customFormat="1">
      <c r="A443" s="147"/>
      <c r="B443" s="283"/>
      <c r="C443" s="282"/>
      <c r="D443" s="217"/>
      <c r="E443" s="218"/>
      <c r="F443" s="292" t="str">
        <f>IFERROR(VLOOKUP(D443,'ВИС-2026'!$E$17:$H$2115,5,0),"")</f>
        <v/>
      </c>
      <c r="G443" s="428"/>
      <c r="H443" s="554" t="str">
        <f>IFERROR(VLOOKUP(D443,'ВИС-2026'!$E$17:$K$2649,8,0),"")</f>
        <v/>
      </c>
      <c r="I443" s="554" t="str">
        <f t="shared" si="78"/>
        <v/>
      </c>
      <c r="J443" s="554" t="str">
        <f t="shared" si="79"/>
        <v/>
      </c>
      <c r="K443" s="554" t="str">
        <f t="shared" si="80"/>
        <v/>
      </c>
      <c r="L443" s="554" t="str">
        <f t="shared" si="81"/>
        <v/>
      </c>
      <c r="M443" s="554" t="str">
        <f t="shared" si="82"/>
        <v/>
      </c>
      <c r="N443" s="104"/>
    </row>
    <row r="444" spans="1:14" s="73" customFormat="1">
      <c r="A444" s="147"/>
      <c r="B444" s="240" t="s">
        <v>30</v>
      </c>
      <c r="C444" s="238" t="s">
        <v>23</v>
      </c>
      <c r="D444" s="188">
        <v>11097211001</v>
      </c>
      <c r="E444" s="553" t="str">
        <f>IFERROR(VLOOKUP(D444,'ВИС-2026'!$E$17:$H$2115,2,0),"")</f>
        <v>Угольник настенный с наружной резьбой 16-R 1/2 MX</v>
      </c>
      <c r="F444" s="292" t="str">
        <f>IFERROR(VLOOKUP(D444,'ВИС-2026'!$E$17:$H$2115,4,0),"")</f>
        <v>шт</v>
      </c>
      <c r="G444" s="428"/>
      <c r="H444" s="554">
        <f>IFERROR(VLOOKUP(D444,'ВИС-2026'!$E$17:$K$2649,7,0),"")</f>
        <v>9.7200000000000006</v>
      </c>
      <c r="I444" s="554">
        <f t="shared" si="78"/>
        <v>0</v>
      </c>
      <c r="J444" s="554">
        <f t="shared" si="79"/>
        <v>9.7200000000000006</v>
      </c>
      <c r="K444" s="554">
        <f t="shared" si="80"/>
        <v>0</v>
      </c>
      <c r="L444" s="554">
        <f t="shared" si="81"/>
        <v>0</v>
      </c>
      <c r="M444" s="554">
        <f t="shared" si="82"/>
        <v>0</v>
      </c>
      <c r="N444" s="104"/>
    </row>
    <row r="445" spans="1:14" s="73" customFormat="1">
      <c r="A445" s="147"/>
      <c r="B445" s="240" t="s">
        <v>30</v>
      </c>
      <c r="C445" s="238" t="s">
        <v>23</v>
      </c>
      <c r="D445" s="256">
        <v>11093651001</v>
      </c>
      <c r="E445" s="553" t="str">
        <f>IFERROR(VLOOKUP(D445,'ВИС-2026'!$E$17:$H$2115,2,0),"")</f>
        <v>Угольник настенный с наружной резьбой 20-R 1/2 MX</v>
      </c>
      <c r="F445" s="292" t="str">
        <f>IFERROR(VLOOKUP(D445,'ВИС-2026'!$E$17:$H$2115,4,0),"")</f>
        <v>шт</v>
      </c>
      <c r="G445" s="428"/>
      <c r="H445" s="554">
        <f>IFERROR(VLOOKUP(D445,'ВИС-2026'!$E$17:$K$2649,7,0),"")</f>
        <v>13.88</v>
      </c>
      <c r="I445" s="554">
        <f t="shared" si="78"/>
        <v>0</v>
      </c>
      <c r="J445" s="554">
        <f t="shared" si="79"/>
        <v>13.88</v>
      </c>
      <c r="K445" s="554">
        <f t="shared" si="80"/>
        <v>0</v>
      </c>
      <c r="L445" s="554">
        <f t="shared" si="81"/>
        <v>0</v>
      </c>
      <c r="M445" s="554">
        <f t="shared" si="82"/>
        <v>0</v>
      </c>
      <c r="N445" s="104"/>
    </row>
    <row r="446" spans="1:14" s="73" customFormat="1">
      <c r="A446" s="147"/>
      <c r="B446" s="283"/>
      <c r="C446" s="282"/>
      <c r="D446" s="217"/>
      <c r="E446" s="218"/>
      <c r="F446" s="292" t="str">
        <f>IFERROR(VLOOKUP(D446,'ВИС-2026'!$E$17:$H$2115,5,0),"")</f>
        <v/>
      </c>
      <c r="G446" s="428"/>
      <c r="H446" s="554" t="str">
        <f>IFERROR(VLOOKUP(D446,'ВИС-2026'!$E$17:$K$2649,8,0),"")</f>
        <v/>
      </c>
      <c r="I446" s="554" t="str">
        <f t="shared" si="78"/>
        <v/>
      </c>
      <c r="J446" s="554" t="str">
        <f t="shared" si="79"/>
        <v/>
      </c>
      <c r="K446" s="554" t="str">
        <f t="shared" si="80"/>
        <v/>
      </c>
      <c r="L446" s="554" t="str">
        <f t="shared" si="81"/>
        <v/>
      </c>
      <c r="M446" s="554" t="str">
        <f t="shared" si="82"/>
        <v/>
      </c>
      <c r="N446" s="104"/>
    </row>
    <row r="447" spans="1:14" s="73" customFormat="1" ht="30.6">
      <c r="A447" s="148" t="s">
        <v>25</v>
      </c>
      <c r="B447" s="208" t="s">
        <v>26</v>
      </c>
      <c r="C447" s="238" t="s">
        <v>23</v>
      </c>
      <c r="D447" s="188">
        <v>14563591001</v>
      </c>
      <c r="E447" s="553" t="str">
        <f>IFERROR(VLOOKUP(D447,'ВИС-2026'!$E$17:$H$2115,2,0),"")</f>
        <v>Угольник настенный с внутр. резьбой 20-Rp 1/2 RX+</v>
      </c>
      <c r="F447" s="292" t="str">
        <f>IFERROR(VLOOKUP(D447,'ВИС-2026'!$E$17:$H$2115,4,0),"")</f>
        <v>шт</v>
      </c>
      <c r="G447" s="428"/>
      <c r="H447" s="554">
        <f>IFERROR(VLOOKUP(D447,'ВИС-2026'!$E$17:$K$2649,7,0),"")</f>
        <v>15.73</v>
      </c>
      <c r="I447" s="554">
        <f t="shared" ref="I447" si="98">IFERROR(H447*G447,"")</f>
        <v>0</v>
      </c>
      <c r="J447" s="554">
        <f t="shared" ref="J447" si="99">IFERROR((IF(H447="","",H447-H447*$D$7)),"")</f>
        <v>15.73</v>
      </c>
      <c r="K447" s="554">
        <f t="shared" ref="K447" si="100">IFERROR(J447*G447, "")</f>
        <v>0</v>
      </c>
      <c r="L447" s="554">
        <f t="shared" ref="L447" si="101">IFERROR(J447*$D$8, "")</f>
        <v>0</v>
      </c>
      <c r="M447" s="554">
        <f t="shared" ref="M447" si="102">IFERROR(L447*G447, "")</f>
        <v>0</v>
      </c>
      <c r="N447" s="104"/>
    </row>
    <row r="448" spans="1:14" s="73" customFormat="1">
      <c r="A448" s="147"/>
      <c r="B448" s="281"/>
      <c r="C448" s="282"/>
      <c r="D448" s="217"/>
      <c r="E448" s="218"/>
      <c r="F448" s="292" t="str">
        <f>IFERROR(VLOOKUP(D448,'ВИС-2026'!$E$17:$H$2115,5,0),"")</f>
        <v/>
      </c>
      <c r="G448" s="428"/>
      <c r="H448" s="554" t="str">
        <f>IFERROR(VLOOKUP(D448,'ВИС-2026'!$E$17:$K$2649,8,0),"")</f>
        <v/>
      </c>
      <c r="I448" s="554" t="str">
        <f t="shared" ref="I448" si="103">IFERROR(H448*G448,"")</f>
        <v/>
      </c>
      <c r="J448" s="554" t="str">
        <f t="shared" ref="J448" si="104">IFERROR((IF(H448="","",H448-H448*$D$7)),"")</f>
        <v/>
      </c>
      <c r="K448" s="554" t="str">
        <f t="shared" ref="K448" si="105">IFERROR(J448*G448, "")</f>
        <v/>
      </c>
      <c r="L448" s="554" t="str">
        <f t="shared" ref="L448" si="106">IFERROR(J448*$D$8, "")</f>
        <v/>
      </c>
      <c r="M448" s="554" t="str">
        <f t="shared" ref="M448" si="107">IFERROR(L448*G448, "")</f>
        <v/>
      </c>
      <c r="N448" s="104"/>
    </row>
    <row r="449" spans="1:14" s="73" customFormat="1" ht="30.6">
      <c r="A449" s="148" t="s">
        <v>25</v>
      </c>
      <c r="B449" s="208" t="s">
        <v>26</v>
      </c>
      <c r="C449" s="238" t="s">
        <v>23</v>
      </c>
      <c r="D449" s="188">
        <v>14563651001</v>
      </c>
      <c r="E449" s="553" t="str">
        <f>IFERROR(VLOOKUP(D449,'ВИС-2026'!$E$17:$H$2115,2,0),"")</f>
        <v>Угольник настенный с наружной резьбой 20-R 1/2 RX+</v>
      </c>
      <c r="F449" s="292" t="str">
        <f>IFERROR(VLOOKUP(D449,'ВИС-2026'!$E$17:$H$2115,4,0),"")</f>
        <v>шт</v>
      </c>
      <c r="G449" s="428"/>
      <c r="H449" s="554">
        <f>IFERROR(VLOOKUP(D449,'ВИС-2026'!$E$17:$K$2649,7,0),"")</f>
        <v>15.7</v>
      </c>
      <c r="I449" s="554">
        <f t="shared" ref="I449:I504" si="108">IFERROR(H449*G449,"")</f>
        <v>0</v>
      </c>
      <c r="J449" s="554">
        <f t="shared" ref="J449:J504" si="109">IFERROR((IF(H449="","",H449-H449*$D$7)),"")</f>
        <v>15.7</v>
      </c>
      <c r="K449" s="554">
        <f t="shared" ref="K449:K504" si="110">IFERROR(J449*G449, "")</f>
        <v>0</v>
      </c>
      <c r="L449" s="554">
        <f t="shared" ref="L449:L504" si="111">IFERROR(J449*$D$8, "")</f>
        <v>0</v>
      </c>
      <c r="M449" s="554">
        <f t="shared" ref="M449:M504" si="112">IFERROR(L449*G449, "")</f>
        <v>0</v>
      </c>
      <c r="N449" s="104"/>
    </row>
    <row r="450" spans="1:14" s="73" customFormat="1">
      <c r="A450" s="147"/>
      <c r="B450" s="281"/>
      <c r="C450" s="282"/>
      <c r="D450" s="217"/>
      <c r="E450" s="218"/>
      <c r="F450" s="292" t="str">
        <f>IFERROR(VLOOKUP(D450,'ВИС-2026'!$E$17:$H$2115,5,0),"")</f>
        <v/>
      </c>
      <c r="G450" s="428"/>
      <c r="H450" s="554" t="str">
        <f>IFERROR(VLOOKUP(D450,'ВИС-2026'!$E$17:$K$2649,8,0),"")</f>
        <v/>
      </c>
      <c r="I450" s="554" t="str">
        <f t="shared" si="108"/>
        <v/>
      </c>
      <c r="J450" s="554" t="str">
        <f t="shared" si="109"/>
        <v/>
      </c>
      <c r="K450" s="554" t="str">
        <f t="shared" si="110"/>
        <v/>
      </c>
      <c r="L450" s="554" t="str">
        <f t="shared" si="111"/>
        <v/>
      </c>
      <c r="M450" s="554" t="str">
        <f t="shared" si="112"/>
        <v/>
      </c>
      <c r="N450" s="104"/>
    </row>
    <row r="451" spans="1:14" s="73" customFormat="1" ht="26.45">
      <c r="A451" s="147"/>
      <c r="B451" s="188" t="s">
        <v>30</v>
      </c>
      <c r="C451" s="190" t="s">
        <v>23</v>
      </c>
      <c r="D451" s="242">
        <v>14563713001</v>
      </c>
      <c r="E451" s="553" t="str">
        <f>IFERROR(VLOOKUP(D451,'ВИС-2026'!$E$17:$H$2115,2,0),"")</f>
        <v>Угольник настенный РЕХАУ для фальшстены с внутр. резьбой 16-Rp 1/2 длинный, 59 мм RX+</v>
      </c>
      <c r="F451" s="292" t="str">
        <f>IFERROR(VLOOKUP(D451,'ВИС-2026'!$E$17:$H$2115,4,0),"")</f>
        <v>шт</v>
      </c>
      <c r="G451" s="428"/>
      <c r="H451" s="554">
        <f>IFERROR(VLOOKUP(D451,'ВИС-2026'!$E$17:$K$2649,7,0),"")</f>
        <v>28.39</v>
      </c>
      <c r="I451" s="554">
        <f t="shared" si="108"/>
        <v>0</v>
      </c>
      <c r="J451" s="554">
        <f t="shared" si="109"/>
        <v>28.39</v>
      </c>
      <c r="K451" s="554">
        <f t="shared" si="110"/>
        <v>0</v>
      </c>
      <c r="L451" s="554">
        <f t="shared" si="111"/>
        <v>0</v>
      </c>
      <c r="M451" s="554">
        <f t="shared" si="112"/>
        <v>0</v>
      </c>
      <c r="N451" s="104"/>
    </row>
    <row r="452" spans="1:14" s="73" customFormat="1">
      <c r="A452" s="147"/>
      <c r="B452" s="281"/>
      <c r="C452" s="282"/>
      <c r="D452" s="217"/>
      <c r="E452" s="218"/>
      <c r="F452" s="292" t="str">
        <f>IFERROR(VLOOKUP(D452,'ВИС-2026'!$E$17:$H$2115,5,0),"")</f>
        <v/>
      </c>
      <c r="G452" s="428"/>
      <c r="H452" s="554" t="str">
        <f>IFERROR(VLOOKUP(D452,'ВИС-2026'!$E$17:$K$2649,8,0),"")</f>
        <v/>
      </c>
      <c r="I452" s="554" t="str">
        <f t="shared" si="108"/>
        <v/>
      </c>
      <c r="J452" s="554" t="str">
        <f t="shared" si="109"/>
        <v/>
      </c>
      <c r="K452" s="554" t="str">
        <f t="shared" si="110"/>
        <v/>
      </c>
      <c r="L452" s="554" t="str">
        <f t="shared" si="111"/>
        <v/>
      </c>
      <c r="M452" s="554" t="str">
        <f t="shared" si="112"/>
        <v/>
      </c>
      <c r="N452" s="104"/>
    </row>
    <row r="453" spans="1:14" s="73" customFormat="1" ht="26.45">
      <c r="A453" s="147"/>
      <c r="B453" s="240" t="s">
        <v>30</v>
      </c>
      <c r="C453" s="238" t="s">
        <v>23</v>
      </c>
      <c r="D453" s="188">
        <v>11093711001</v>
      </c>
      <c r="E453" s="553" t="str">
        <f>IFERROR(VLOOKUP(D453,'ВИС-2026'!$E$17:$H$2115,2,0),"")</f>
        <v>Угольник настенный для фальштсены с внутр. резьбой 16-Rp 1/2 длинный, 59 мм MX</v>
      </c>
      <c r="F453" s="292" t="str">
        <f>IFERROR(VLOOKUP(D453,'ВИС-2026'!$E$17:$H$2115,4,0),"")</f>
        <v>шт</v>
      </c>
      <c r="G453" s="428"/>
      <c r="H453" s="554">
        <f>IFERROR(VLOOKUP(D453,'ВИС-2026'!$E$17:$K$2649,7,0),"")</f>
        <v>18.079999999999998</v>
      </c>
      <c r="I453" s="554">
        <f t="shared" si="108"/>
        <v>0</v>
      </c>
      <c r="J453" s="554">
        <f t="shared" si="109"/>
        <v>18.079999999999998</v>
      </c>
      <c r="K453" s="554">
        <f t="shared" si="110"/>
        <v>0</v>
      </c>
      <c r="L453" s="554">
        <f t="shared" si="111"/>
        <v>0</v>
      </c>
      <c r="M453" s="554">
        <f t="shared" si="112"/>
        <v>0</v>
      </c>
      <c r="N453" s="104"/>
    </row>
    <row r="454" spans="1:14" s="73" customFormat="1">
      <c r="A454" s="147"/>
      <c r="B454" s="281"/>
      <c r="C454" s="282"/>
      <c r="D454" s="217"/>
      <c r="E454" s="218"/>
      <c r="F454" s="292" t="str">
        <f>IFERROR(VLOOKUP(D454,'ВИС-2026'!$E$17:$H$2115,5,0),"")</f>
        <v/>
      </c>
      <c r="G454" s="428"/>
      <c r="H454" s="554" t="str">
        <f>IFERROR(VLOOKUP(D454,'ВИС-2026'!$E$17:$K$2649,8,0),"")</f>
        <v/>
      </c>
      <c r="I454" s="554" t="str">
        <f t="shared" si="108"/>
        <v/>
      </c>
      <c r="J454" s="554" t="str">
        <f t="shared" si="109"/>
        <v/>
      </c>
      <c r="K454" s="554" t="str">
        <f t="shared" si="110"/>
        <v/>
      </c>
      <c r="L454" s="554" t="str">
        <f t="shared" si="111"/>
        <v/>
      </c>
      <c r="M454" s="554" t="str">
        <f t="shared" si="112"/>
        <v/>
      </c>
      <c r="N454" s="104"/>
    </row>
    <row r="455" spans="1:14" s="73" customFormat="1" ht="30.6">
      <c r="A455" s="148" t="s">
        <v>25</v>
      </c>
      <c r="B455" s="208" t="s">
        <v>26</v>
      </c>
      <c r="C455" s="238" t="s">
        <v>23</v>
      </c>
      <c r="D455" s="188">
        <v>14563671001</v>
      </c>
      <c r="E455" s="553" t="str">
        <f>IFERROR(VLOOKUP(D455,'ВИС-2026'!$E$17:$H$2115,2,0),"")</f>
        <v>Угольник настенный с квадратными фланцами 16-Rp1/2 RX+</v>
      </c>
      <c r="F455" s="292" t="str">
        <f>IFERROR(VLOOKUP(D455,'ВИС-2026'!$E$17:$H$2115,4,0),"")</f>
        <v>шт</v>
      </c>
      <c r="G455" s="428"/>
      <c r="H455" s="554">
        <f>IFERROR(VLOOKUP(D455,'ВИС-2026'!$E$17:$K$2649,7,0),"")</f>
        <v>10.87</v>
      </c>
      <c r="I455" s="554">
        <f t="shared" si="108"/>
        <v>0</v>
      </c>
      <c r="J455" s="554">
        <f t="shared" si="109"/>
        <v>10.87</v>
      </c>
      <c r="K455" s="554">
        <f t="shared" si="110"/>
        <v>0</v>
      </c>
      <c r="L455" s="554">
        <f t="shared" si="111"/>
        <v>0</v>
      </c>
      <c r="M455" s="554">
        <f t="shared" si="112"/>
        <v>0</v>
      </c>
      <c r="N455" s="104"/>
    </row>
    <row r="456" spans="1:14" s="73" customFormat="1">
      <c r="A456" s="147"/>
      <c r="B456" s="240"/>
      <c r="C456" s="238"/>
      <c r="D456" s="188"/>
      <c r="E456" s="210"/>
      <c r="F456" s="292" t="str">
        <f>IFERROR(VLOOKUP(D456,'ВИС-2026'!$E$17:$H$2115,5,0),"")</f>
        <v/>
      </c>
      <c r="G456" s="428"/>
      <c r="H456" s="554" t="str">
        <f>IFERROR(VLOOKUP(D456,'ВИС-2026'!$E$17:$K$2649,8,0),"")</f>
        <v/>
      </c>
      <c r="I456" s="554" t="str">
        <f t="shared" si="108"/>
        <v/>
      </c>
      <c r="J456" s="554" t="str">
        <f t="shared" si="109"/>
        <v/>
      </c>
      <c r="K456" s="554" t="str">
        <f t="shared" si="110"/>
        <v/>
      </c>
      <c r="L456" s="554" t="str">
        <f t="shared" si="111"/>
        <v/>
      </c>
      <c r="M456" s="554" t="str">
        <f t="shared" si="112"/>
        <v/>
      </c>
      <c r="N456" s="104"/>
    </row>
    <row r="457" spans="1:14" s="73" customFormat="1">
      <c r="A457" s="147"/>
      <c r="B457" s="240" t="s">
        <v>30</v>
      </c>
      <c r="C457" s="238" t="s">
        <v>23</v>
      </c>
      <c r="D457" s="242">
        <v>14563743001</v>
      </c>
      <c r="E457" s="553" t="str">
        <f>IFERROR(VLOOKUP(D457,'ВИС-2026'!$E$17:$H$2115,2,0),"")</f>
        <v>Угольник настенный РЕХАУ для гипсокартонных плит 16-Rp1/2x28 RX+</v>
      </c>
      <c r="F457" s="292" t="str">
        <f>IFERROR(VLOOKUP(D457,'ВИС-2026'!$E$17:$H$2115,4,0),"")</f>
        <v>шт</v>
      </c>
      <c r="G457" s="428"/>
      <c r="H457" s="554">
        <f>IFERROR(VLOOKUP(D457,'ВИС-2026'!$E$17:$K$2649,7,0),"")</f>
        <v>43.69</v>
      </c>
      <c r="I457" s="554">
        <f t="shared" si="108"/>
        <v>0</v>
      </c>
      <c r="J457" s="554">
        <f t="shared" si="109"/>
        <v>43.69</v>
      </c>
      <c r="K457" s="554">
        <f t="shared" si="110"/>
        <v>0</v>
      </c>
      <c r="L457" s="554">
        <f t="shared" si="111"/>
        <v>0</v>
      </c>
      <c r="M457" s="554">
        <f t="shared" si="112"/>
        <v>0</v>
      </c>
      <c r="N457" s="104"/>
    </row>
    <row r="458" spans="1:14" s="73" customFormat="1">
      <c r="A458" s="147"/>
      <c r="B458" s="240" t="s">
        <v>30</v>
      </c>
      <c r="C458" s="238" t="s">
        <v>23</v>
      </c>
      <c r="D458" s="242">
        <v>14563753001</v>
      </c>
      <c r="E458" s="553" t="str">
        <f>IFERROR(VLOOKUP(D458,'ВИС-2026'!$E$17:$H$2115,2,0),"")</f>
        <v>Угольник настенный РЕХАУ для гипсокартонных плит 20-Rp1/2x28 RX+</v>
      </c>
      <c r="F458" s="292" t="str">
        <f>IFERROR(VLOOKUP(D458,'ВИС-2026'!$E$17:$H$2115,4,0),"")</f>
        <v>шт</v>
      </c>
      <c r="G458" s="428"/>
      <c r="H458" s="554">
        <f>IFERROR(VLOOKUP(D458,'ВИС-2026'!$E$17:$K$2649,7,0),"")</f>
        <v>45.32</v>
      </c>
      <c r="I458" s="554">
        <f t="shared" si="108"/>
        <v>0</v>
      </c>
      <c r="J458" s="554">
        <f t="shared" si="109"/>
        <v>45.32</v>
      </c>
      <c r="K458" s="554">
        <f t="shared" si="110"/>
        <v>0</v>
      </c>
      <c r="L458" s="554">
        <f t="shared" si="111"/>
        <v>0</v>
      </c>
      <c r="M458" s="554">
        <f t="shared" si="112"/>
        <v>0</v>
      </c>
      <c r="N458" s="104"/>
    </row>
    <row r="459" spans="1:14" s="73" customFormat="1">
      <c r="A459" s="147"/>
      <c r="B459" s="240"/>
      <c r="C459" s="238"/>
      <c r="D459" s="188"/>
      <c r="E459" s="210"/>
      <c r="F459" s="292" t="str">
        <f>IFERROR(VLOOKUP(D459,'ВИС-2026'!$E$17:$H$2115,5,0),"")</f>
        <v/>
      </c>
      <c r="G459" s="428"/>
      <c r="H459" s="554" t="str">
        <f>IFERROR(VLOOKUP(D459,'ВИС-2026'!$E$17:$K$2649,8,0),"")</f>
        <v/>
      </c>
      <c r="I459" s="554" t="str">
        <f t="shared" si="108"/>
        <v/>
      </c>
      <c r="J459" s="554" t="str">
        <f t="shared" si="109"/>
        <v/>
      </c>
      <c r="K459" s="554" t="str">
        <f t="shared" si="110"/>
        <v/>
      </c>
      <c r="L459" s="554" t="str">
        <f t="shared" si="111"/>
        <v/>
      </c>
      <c r="M459" s="554" t="str">
        <f t="shared" si="112"/>
        <v/>
      </c>
      <c r="N459" s="104"/>
    </row>
    <row r="460" spans="1:14" s="73" customFormat="1">
      <c r="A460" s="147"/>
      <c r="B460" s="240" t="s">
        <v>30</v>
      </c>
      <c r="C460" s="238" t="s">
        <v>23</v>
      </c>
      <c r="D460" s="188">
        <v>11093741001</v>
      </c>
      <c r="E460" s="553" t="str">
        <f>IFERROR(VLOOKUP(D460,'ВИС-2026'!$E$17:$H$2115,2,0),"")</f>
        <v>Угольник настенный для гипсокартонных плит 16-Rp1/2x28 MX</v>
      </c>
      <c r="F460" s="292" t="str">
        <f>IFERROR(VLOOKUP(D460,'ВИС-2026'!$E$17:$H$2115,4,0),"")</f>
        <v>шт</v>
      </c>
      <c r="G460" s="428"/>
      <c r="H460" s="554">
        <f>IFERROR(VLOOKUP(D460,'ВИС-2026'!$E$17:$K$2649,7,0),"")</f>
        <v>36.4</v>
      </c>
      <c r="I460" s="554">
        <f t="shared" si="108"/>
        <v>0</v>
      </c>
      <c r="J460" s="554">
        <f t="shared" si="109"/>
        <v>36.4</v>
      </c>
      <c r="K460" s="554">
        <f t="shared" si="110"/>
        <v>0</v>
      </c>
      <c r="L460" s="554">
        <f t="shared" si="111"/>
        <v>0</v>
      </c>
      <c r="M460" s="554">
        <f t="shared" si="112"/>
        <v>0</v>
      </c>
      <c r="N460" s="104"/>
    </row>
    <row r="461" spans="1:14" s="73" customFormat="1">
      <c r="A461" s="147"/>
      <c r="B461" s="240" t="s">
        <v>30</v>
      </c>
      <c r="C461" s="238" t="s">
        <v>23</v>
      </c>
      <c r="D461" s="256">
        <v>11093751001</v>
      </c>
      <c r="E461" s="553" t="str">
        <f>IFERROR(VLOOKUP(D461,'ВИС-2026'!$E$17:$H$2115,2,0),"")</f>
        <v>Угольник настенный для гипсокартонных плит 20-Rp1/2x28 MX</v>
      </c>
      <c r="F461" s="292" t="str">
        <f>IFERROR(VLOOKUP(D461,'ВИС-2026'!$E$17:$H$2115,4,0),"")</f>
        <v>шт</v>
      </c>
      <c r="G461" s="428"/>
      <c r="H461" s="554">
        <f>IFERROR(VLOOKUP(D461,'ВИС-2026'!$E$17:$K$2649,7,0),"")</f>
        <v>37.770000000000003</v>
      </c>
      <c r="I461" s="554">
        <f t="shared" si="108"/>
        <v>0</v>
      </c>
      <c r="J461" s="554">
        <f t="shared" si="109"/>
        <v>37.770000000000003</v>
      </c>
      <c r="K461" s="554">
        <f t="shared" si="110"/>
        <v>0</v>
      </c>
      <c r="L461" s="554">
        <f t="shared" si="111"/>
        <v>0</v>
      </c>
      <c r="M461" s="554">
        <f t="shared" si="112"/>
        <v>0</v>
      </c>
      <c r="N461" s="104"/>
    </row>
    <row r="462" spans="1:14" s="73" customFormat="1">
      <c r="A462" s="147"/>
      <c r="B462" s="283"/>
      <c r="C462" s="238"/>
      <c r="D462" s="188"/>
      <c r="E462" s="210"/>
      <c r="F462" s="292" t="str">
        <f>IFERROR(VLOOKUP(D462,'ВИС-2026'!$E$17:$H$2115,5,0),"")</f>
        <v/>
      </c>
      <c r="G462" s="428"/>
      <c r="H462" s="554" t="str">
        <f>IFERROR(VLOOKUP(D462,'ВИС-2026'!$E$17:$K$2649,8,0),"")</f>
        <v/>
      </c>
      <c r="I462" s="554" t="str">
        <f t="shared" si="108"/>
        <v/>
      </c>
      <c r="J462" s="554" t="str">
        <f t="shared" si="109"/>
        <v/>
      </c>
      <c r="K462" s="554" t="str">
        <f t="shared" si="110"/>
        <v/>
      </c>
      <c r="L462" s="554" t="str">
        <f t="shared" si="111"/>
        <v/>
      </c>
      <c r="M462" s="554" t="str">
        <f t="shared" si="112"/>
        <v/>
      </c>
      <c r="N462" s="104"/>
    </row>
    <row r="463" spans="1:14" s="73" customFormat="1" ht="30.6">
      <c r="A463" s="148" t="s">
        <v>25</v>
      </c>
      <c r="B463" s="208" t="s">
        <v>26</v>
      </c>
      <c r="C463" s="190" t="s">
        <v>23</v>
      </c>
      <c r="D463" s="188">
        <v>11455311001</v>
      </c>
      <c r="E463" s="553" t="str">
        <f>IFERROR(VLOOKUP(D463,'ВИС-2026'!$E$17:$H$2115,2,0),"")</f>
        <v>Фильтр сетчатый косой DN 15-Rp1/2 RX+</v>
      </c>
      <c r="F463" s="292" t="str">
        <f>IFERROR(VLOOKUP(D463,'ВИС-2026'!$E$17:$H$2115,4,0),"")</f>
        <v>шт</v>
      </c>
      <c r="G463" s="428"/>
      <c r="H463" s="554">
        <f>IFERROR(VLOOKUP(D463,'ВИС-2026'!$E$17:$K$2649,7,0),"")</f>
        <v>17.739999999999998</v>
      </c>
      <c r="I463" s="554">
        <f t="shared" si="108"/>
        <v>0</v>
      </c>
      <c r="J463" s="554">
        <f t="shared" si="109"/>
        <v>17.739999999999998</v>
      </c>
      <c r="K463" s="554">
        <f t="shared" si="110"/>
        <v>0</v>
      </c>
      <c r="L463" s="554">
        <f t="shared" si="111"/>
        <v>0</v>
      </c>
      <c r="M463" s="554">
        <f t="shared" si="112"/>
        <v>0</v>
      </c>
      <c r="N463" s="104"/>
    </row>
    <row r="464" spans="1:14" s="73" customFormat="1" ht="30.6">
      <c r="A464" s="148" t="s">
        <v>25</v>
      </c>
      <c r="B464" s="208" t="s">
        <v>26</v>
      </c>
      <c r="C464" s="190" t="s">
        <v>23</v>
      </c>
      <c r="D464" s="188">
        <v>11455321001</v>
      </c>
      <c r="E464" s="553" t="str">
        <f>IFERROR(VLOOKUP(D464,'ВИС-2026'!$E$17:$H$2115,2,0),"")</f>
        <v>Фильтр сетчатый косой DN 20-Rp3/4 RX+</v>
      </c>
      <c r="F464" s="292" t="str">
        <f>IFERROR(VLOOKUP(D464,'ВИС-2026'!$E$17:$H$2115,4,0),"")</f>
        <v>шт</v>
      </c>
      <c r="G464" s="428"/>
      <c r="H464" s="554">
        <f>IFERROR(VLOOKUP(D464,'ВИС-2026'!$E$17:$K$2649,7,0),"")</f>
        <v>27</v>
      </c>
      <c r="I464" s="554">
        <f t="shared" si="108"/>
        <v>0</v>
      </c>
      <c r="J464" s="554">
        <f t="shared" si="109"/>
        <v>27</v>
      </c>
      <c r="K464" s="554">
        <f t="shared" si="110"/>
        <v>0</v>
      </c>
      <c r="L464" s="554">
        <f t="shared" si="111"/>
        <v>0</v>
      </c>
      <c r="M464" s="554">
        <f t="shared" si="112"/>
        <v>0</v>
      </c>
      <c r="N464" s="104"/>
    </row>
    <row r="465" spans="1:14" s="73" customFormat="1" ht="30.6">
      <c r="A465" s="148" t="s">
        <v>25</v>
      </c>
      <c r="B465" s="208" t="s">
        <v>26</v>
      </c>
      <c r="C465" s="190" t="s">
        <v>23</v>
      </c>
      <c r="D465" s="188">
        <v>11455331001</v>
      </c>
      <c r="E465" s="553" t="str">
        <f>IFERROR(VLOOKUP(D465,'ВИС-2026'!$E$17:$H$2115,2,0),"")</f>
        <v>Фильтр сетчатый косой DN 25-Rp1 RX+</v>
      </c>
      <c r="F465" s="292" t="str">
        <f>IFERROR(VLOOKUP(D465,'ВИС-2026'!$E$17:$H$2115,4,0),"")</f>
        <v>шт</v>
      </c>
      <c r="G465" s="428"/>
      <c r="H465" s="554">
        <f>IFERROR(VLOOKUP(D465,'ВИС-2026'!$E$17:$K$2649,7,0),"")</f>
        <v>38.75</v>
      </c>
      <c r="I465" s="554">
        <f t="shared" si="108"/>
        <v>0</v>
      </c>
      <c r="J465" s="554">
        <f t="shared" si="109"/>
        <v>38.75</v>
      </c>
      <c r="K465" s="554">
        <f t="shared" si="110"/>
        <v>0</v>
      </c>
      <c r="L465" s="554">
        <f t="shared" si="111"/>
        <v>0</v>
      </c>
      <c r="M465" s="554">
        <f t="shared" si="112"/>
        <v>0</v>
      </c>
      <c r="N465" s="104"/>
    </row>
    <row r="466" spans="1:14" s="73" customFormat="1">
      <c r="A466" s="147"/>
      <c r="B466" s="240"/>
      <c r="C466" s="190"/>
      <c r="D466" s="188"/>
      <c r="E466" s="210"/>
      <c r="F466" s="292" t="str">
        <f>IFERROR(VLOOKUP(D466,'ВИС-2026'!$E$17:$H$2115,5,0),"")</f>
        <v/>
      </c>
      <c r="G466" s="428"/>
      <c r="H466" s="554" t="str">
        <f>IFERROR(VLOOKUP(D466,'ВИС-2026'!$E$17:$K$2649,8,0),"")</f>
        <v/>
      </c>
      <c r="I466" s="554" t="str">
        <f t="shared" si="108"/>
        <v/>
      </c>
      <c r="J466" s="554" t="str">
        <f t="shared" si="109"/>
        <v/>
      </c>
      <c r="K466" s="554" t="str">
        <f t="shared" si="110"/>
        <v/>
      </c>
      <c r="L466" s="554" t="str">
        <f t="shared" si="111"/>
        <v/>
      </c>
      <c r="M466" s="554" t="str">
        <f t="shared" si="112"/>
        <v/>
      </c>
      <c r="N466" s="104"/>
    </row>
    <row r="467" spans="1:14" s="73" customFormat="1">
      <c r="A467" s="152"/>
      <c r="B467" s="188" t="s">
        <v>397</v>
      </c>
      <c r="C467" s="190" t="s">
        <v>23</v>
      </c>
      <c r="D467" s="188">
        <v>12296961001</v>
      </c>
      <c r="E467" s="553" t="str">
        <f>IFERROR(VLOOKUP(D467,'ВИС-2026'!$E$17:$H$2115,2,0),"")</f>
        <v xml:space="preserve">Защитная лента RAUTITAN </v>
      </c>
      <c r="F467" s="292" t="str">
        <f>IFERROR(VLOOKUP(D467,'ВИС-2026'!$E$17:$H$2115,4,0),"")</f>
        <v>шт</v>
      </c>
      <c r="G467" s="428"/>
      <c r="H467" s="554">
        <f>IFERROR(VLOOKUP(D467,'ВИС-2026'!$E$17:$K$2649,7,0),"")</f>
        <v>8.7100000000000009</v>
      </c>
      <c r="I467" s="554">
        <f t="shared" si="108"/>
        <v>0</v>
      </c>
      <c r="J467" s="554">
        <f t="shared" si="109"/>
        <v>8.7100000000000009</v>
      </c>
      <c r="K467" s="554">
        <f t="shared" si="110"/>
        <v>0</v>
      </c>
      <c r="L467" s="554">
        <f t="shared" si="111"/>
        <v>0</v>
      </c>
      <c r="M467" s="554">
        <f t="shared" si="112"/>
        <v>0</v>
      </c>
      <c r="N467" s="104"/>
    </row>
    <row r="468" spans="1:14" s="73" customFormat="1">
      <c r="A468" s="147"/>
      <c r="B468" s="240"/>
      <c r="C468" s="247"/>
      <c r="D468" s="264"/>
      <c r="E468" s="210"/>
      <c r="F468" s="292" t="str">
        <f>IFERROR(VLOOKUP(D468,'ВИС-2026'!$E$17:$H$2115,5,0),"")</f>
        <v/>
      </c>
      <c r="G468" s="428"/>
      <c r="H468" s="554" t="str">
        <f>IFERROR(VLOOKUP(D468,'ВИС-2026'!$E$17:$K$2649,8,0),"")</f>
        <v/>
      </c>
      <c r="I468" s="554" t="str">
        <f t="shared" si="108"/>
        <v/>
      </c>
      <c r="J468" s="554" t="str">
        <f t="shared" si="109"/>
        <v/>
      </c>
      <c r="K468" s="554" t="str">
        <f t="shared" si="110"/>
        <v/>
      </c>
      <c r="L468" s="554" t="str">
        <f t="shared" si="111"/>
        <v/>
      </c>
      <c r="M468" s="554" t="str">
        <f t="shared" si="112"/>
        <v/>
      </c>
      <c r="N468" s="104"/>
    </row>
    <row r="469" spans="1:14" s="73" customFormat="1">
      <c r="A469" s="147"/>
      <c r="B469" s="188" t="s">
        <v>30</v>
      </c>
      <c r="C469" s="190" t="s">
        <v>23</v>
      </c>
      <c r="D469" s="188">
        <v>11055293008</v>
      </c>
      <c r="E469" s="553" t="str">
        <f>IFERROR(VLOOKUP(D469,'ВИС-2026'!$E$17:$H$2115,2,0),"")</f>
        <v>Кронштейн РЕХАУ, тип O 75 / 150</v>
      </c>
      <c r="F469" s="292" t="str">
        <f>IFERROR(VLOOKUP(D469,'ВИС-2026'!$E$17:$H$2115,4,0),"")</f>
        <v>шт</v>
      </c>
      <c r="G469" s="428"/>
      <c r="H469" s="554">
        <f>IFERROR(VLOOKUP(D469,'ВИС-2026'!$E$17:$K$2649,7,0),"")</f>
        <v>9.76</v>
      </c>
      <c r="I469" s="554">
        <f t="shared" si="108"/>
        <v>0</v>
      </c>
      <c r="J469" s="554">
        <f t="shared" si="109"/>
        <v>9.76</v>
      </c>
      <c r="K469" s="554">
        <f t="shared" si="110"/>
        <v>0</v>
      </c>
      <c r="L469" s="554">
        <f t="shared" si="111"/>
        <v>0</v>
      </c>
      <c r="M469" s="554">
        <f t="shared" si="112"/>
        <v>0</v>
      </c>
      <c r="N469" s="104"/>
    </row>
    <row r="470" spans="1:14" s="73" customFormat="1">
      <c r="A470" s="147"/>
      <c r="B470" s="188" t="s">
        <v>30</v>
      </c>
      <c r="C470" s="190" t="s">
        <v>23</v>
      </c>
      <c r="D470" s="188">
        <v>11055363008</v>
      </c>
      <c r="E470" s="553" t="str">
        <f>IFERROR(VLOOKUP(D470,'ВИС-2026'!$E$17:$H$2115,2,0),"")</f>
        <v>Кронштейн РЕХАУ 75 / 150</v>
      </c>
      <c r="F470" s="292" t="str">
        <f>IFERROR(VLOOKUP(D470,'ВИС-2026'!$E$17:$H$2115,4,0),"")</f>
        <v>шт</v>
      </c>
      <c r="G470" s="428"/>
      <c r="H470" s="554">
        <f>IFERROR(VLOOKUP(D470,'ВИС-2026'!$E$17:$K$2649,7,0),"")</f>
        <v>7.58</v>
      </c>
      <c r="I470" s="554">
        <f t="shared" si="108"/>
        <v>0</v>
      </c>
      <c r="J470" s="554">
        <f t="shared" si="109"/>
        <v>7.58</v>
      </c>
      <c r="K470" s="554">
        <f t="shared" si="110"/>
        <v>0</v>
      </c>
      <c r="L470" s="554">
        <f t="shared" si="111"/>
        <v>0</v>
      </c>
      <c r="M470" s="554">
        <f t="shared" si="112"/>
        <v>0</v>
      </c>
      <c r="N470" s="104"/>
    </row>
    <row r="471" spans="1:14" s="73" customFormat="1">
      <c r="A471" s="147"/>
      <c r="B471" s="188" t="s">
        <v>30</v>
      </c>
      <c r="C471" s="190" t="s">
        <v>23</v>
      </c>
      <c r="D471" s="188">
        <v>11055323008</v>
      </c>
      <c r="E471" s="553" t="str">
        <f>IFERROR(VLOOKUP(D471,'ВИС-2026'!$E$17:$H$2115,2,0),"")</f>
        <v>Кронштейн РЕХАУ, тип Z 30</v>
      </c>
      <c r="F471" s="292" t="str">
        <f>IFERROR(VLOOKUP(D471,'ВИС-2026'!$E$17:$H$2115,4,0),"")</f>
        <v>шт</v>
      </c>
      <c r="G471" s="428"/>
      <c r="H471" s="554">
        <f>IFERROR(VLOOKUP(D471,'ВИС-2026'!$E$17:$K$2649,7,0),"")</f>
        <v>4.42</v>
      </c>
      <c r="I471" s="554">
        <f t="shared" si="108"/>
        <v>0</v>
      </c>
      <c r="J471" s="554">
        <f t="shared" si="109"/>
        <v>4.42</v>
      </c>
      <c r="K471" s="554">
        <f t="shared" si="110"/>
        <v>0</v>
      </c>
      <c r="L471" s="554">
        <f t="shared" si="111"/>
        <v>0</v>
      </c>
      <c r="M471" s="554">
        <f t="shared" si="112"/>
        <v>0</v>
      </c>
      <c r="N471" s="104"/>
    </row>
    <row r="472" spans="1:14" s="73" customFormat="1">
      <c r="A472" s="147"/>
      <c r="B472" s="188" t="s">
        <v>30</v>
      </c>
      <c r="C472" s="190" t="s">
        <v>23</v>
      </c>
      <c r="D472" s="286">
        <v>11056233008</v>
      </c>
      <c r="E472" s="553" t="str">
        <f>IFERROR(VLOOKUP(D472,'ВИС-2026'!$E$17:$H$2115,2,0),"")</f>
        <v>Монтажная шина РЕХАУ, 2 м</v>
      </c>
      <c r="F472" s="292" t="str">
        <f>IFERROR(VLOOKUP(D472,'ВИС-2026'!$E$17:$H$2115,4,0),"")</f>
        <v>шт</v>
      </c>
      <c r="G472" s="428"/>
      <c r="H472" s="554">
        <f>IFERROR(VLOOKUP(D472,'ВИС-2026'!$E$17:$K$2649,7,0),"")</f>
        <v>28.15</v>
      </c>
      <c r="I472" s="554">
        <f t="shared" si="108"/>
        <v>0</v>
      </c>
      <c r="J472" s="554">
        <f t="shared" si="109"/>
        <v>28.15</v>
      </c>
      <c r="K472" s="554">
        <f t="shared" si="110"/>
        <v>0</v>
      </c>
      <c r="L472" s="554">
        <f t="shared" si="111"/>
        <v>0</v>
      </c>
      <c r="M472" s="554">
        <f t="shared" si="112"/>
        <v>0</v>
      </c>
      <c r="N472" s="104"/>
    </row>
    <row r="473" spans="1:14" s="73" customFormat="1">
      <c r="A473" s="147"/>
      <c r="B473" s="188"/>
      <c r="C473" s="190"/>
      <c r="D473" s="286"/>
      <c r="E473" s="287"/>
      <c r="F473" s="292" t="str">
        <f>IFERROR(VLOOKUP(D473,'ВИС-2026'!$E$17:$H$2115,5,0),"")</f>
        <v/>
      </c>
      <c r="G473" s="428"/>
      <c r="H473" s="554" t="str">
        <f>IFERROR(VLOOKUP(D473,'ВИС-2026'!$E$17:$K$2649,8,0),"")</f>
        <v/>
      </c>
      <c r="I473" s="554" t="str">
        <f t="shared" si="108"/>
        <v/>
      </c>
      <c r="J473" s="554" t="str">
        <f t="shared" si="109"/>
        <v/>
      </c>
      <c r="K473" s="554" t="str">
        <f t="shared" si="110"/>
        <v/>
      </c>
      <c r="L473" s="554" t="str">
        <f t="shared" si="111"/>
        <v/>
      </c>
      <c r="M473" s="554" t="str">
        <f t="shared" si="112"/>
        <v/>
      </c>
      <c r="N473" s="104"/>
    </row>
    <row r="474" spans="1:14" s="73" customFormat="1">
      <c r="A474" s="150"/>
      <c r="B474" s="188" t="s">
        <v>397</v>
      </c>
      <c r="C474" s="190" t="s">
        <v>23</v>
      </c>
      <c r="D474" s="188">
        <v>11055351008</v>
      </c>
      <c r="E474" s="553" t="str">
        <f>IFERROR(VLOOKUP(D474,'ВИС-2026'!$E$17:$H$2115,2,0),"")</f>
        <v>Кронштейн, тип Е</v>
      </c>
      <c r="F474" s="292" t="str">
        <f>IFERROR(VLOOKUP(D474,'ВИС-2026'!$E$17:$H$2115,4,0),"")</f>
        <v>шт</v>
      </c>
      <c r="G474" s="428"/>
      <c r="H474" s="554">
        <f>IFERROR(VLOOKUP(D474,'ВИС-2026'!$E$17:$K$2649,7,0),"")</f>
        <v>4.1500000000000004</v>
      </c>
      <c r="I474" s="554">
        <f t="shared" si="108"/>
        <v>0</v>
      </c>
      <c r="J474" s="554">
        <f t="shared" si="109"/>
        <v>4.1500000000000004</v>
      </c>
      <c r="K474" s="554">
        <f t="shared" si="110"/>
        <v>0</v>
      </c>
      <c r="L474" s="554">
        <f t="shared" si="111"/>
        <v>0</v>
      </c>
      <c r="M474" s="554">
        <f t="shared" si="112"/>
        <v>0</v>
      </c>
      <c r="N474" s="104"/>
    </row>
    <row r="475" spans="1:14" s="73" customFormat="1">
      <c r="A475" s="149"/>
      <c r="B475" s="225"/>
      <c r="C475" s="226"/>
      <c r="D475" s="288"/>
      <c r="E475" s="289"/>
      <c r="F475" s="292" t="str">
        <f>IFERROR(VLOOKUP(D475,'ВИС-2026'!$E$17:$H$2115,5,0),"")</f>
        <v/>
      </c>
      <c r="G475" s="428"/>
      <c r="H475" s="554" t="str">
        <f>IFERROR(VLOOKUP(D475,'ВИС-2026'!$E$17:$K$2649,8,0),"")</f>
        <v/>
      </c>
      <c r="I475" s="554" t="str">
        <f t="shared" si="108"/>
        <v/>
      </c>
      <c r="J475" s="554" t="str">
        <f t="shared" si="109"/>
        <v/>
      </c>
      <c r="K475" s="554" t="str">
        <f t="shared" si="110"/>
        <v/>
      </c>
      <c r="L475" s="554" t="str">
        <f t="shared" si="111"/>
        <v/>
      </c>
      <c r="M475" s="554" t="str">
        <f t="shared" si="112"/>
        <v/>
      </c>
      <c r="N475" s="104"/>
    </row>
    <row r="476" spans="1:14" s="73" customFormat="1">
      <c r="A476" s="147"/>
      <c r="B476" s="188" t="s">
        <v>30</v>
      </c>
      <c r="C476" s="190" t="s">
        <v>23</v>
      </c>
      <c r="D476" s="188">
        <v>11316443001</v>
      </c>
      <c r="E476" s="553" t="str">
        <f>IFERROR(VLOOKUP(D476,'ВИС-2026'!$E$17:$H$2115,2,0),"")</f>
        <v>Распределительный коллектор РЕХАУ G 3/4 2 отвода G 3/4</v>
      </c>
      <c r="F476" s="292" t="str">
        <f>IFERROR(VLOOKUP(D476,'ВИС-2026'!$E$17:$H$2115,4,0),"")</f>
        <v>шт</v>
      </c>
      <c r="G476" s="428"/>
      <c r="H476" s="554">
        <f>IFERROR(VLOOKUP(D476,'ВИС-2026'!$E$17:$K$2649,7,0),"")</f>
        <v>59.41</v>
      </c>
      <c r="I476" s="554">
        <f t="shared" si="108"/>
        <v>0</v>
      </c>
      <c r="J476" s="554">
        <f t="shared" si="109"/>
        <v>59.41</v>
      </c>
      <c r="K476" s="554">
        <f t="shared" si="110"/>
        <v>0</v>
      </c>
      <c r="L476" s="554">
        <f t="shared" si="111"/>
        <v>0</v>
      </c>
      <c r="M476" s="554">
        <f t="shared" si="112"/>
        <v>0</v>
      </c>
      <c r="N476" s="104"/>
    </row>
    <row r="477" spans="1:14" s="73" customFormat="1">
      <c r="A477" s="147"/>
      <c r="B477" s="188" t="s">
        <v>30</v>
      </c>
      <c r="C477" s="190" t="s">
        <v>23</v>
      </c>
      <c r="D477" s="188">
        <v>11316453001</v>
      </c>
      <c r="E477" s="553" t="str">
        <f>IFERROR(VLOOKUP(D477,'ВИС-2026'!$E$17:$H$2115,2,0),"")</f>
        <v>Распределительный коллектор РЕХАУ G 3/4 3 отвода G 3/4</v>
      </c>
      <c r="F477" s="292" t="str">
        <f>IFERROR(VLOOKUP(D477,'ВИС-2026'!$E$17:$H$2115,4,0),"")</f>
        <v>шт</v>
      </c>
      <c r="G477" s="428"/>
      <c r="H477" s="554">
        <f>IFERROR(VLOOKUP(D477,'ВИС-2026'!$E$17:$K$2649,7,0),"")</f>
        <v>88.29</v>
      </c>
      <c r="I477" s="554">
        <f t="shared" si="108"/>
        <v>0</v>
      </c>
      <c r="J477" s="554">
        <f t="shared" si="109"/>
        <v>88.29</v>
      </c>
      <c r="K477" s="554">
        <f t="shared" si="110"/>
        <v>0</v>
      </c>
      <c r="L477" s="554">
        <f t="shared" si="111"/>
        <v>0</v>
      </c>
      <c r="M477" s="554">
        <f t="shared" si="112"/>
        <v>0</v>
      </c>
      <c r="N477" s="104"/>
    </row>
    <row r="478" spans="1:14" s="73" customFormat="1">
      <c r="A478" s="147"/>
      <c r="B478" s="188" t="s">
        <v>30</v>
      </c>
      <c r="C478" s="190" t="s">
        <v>23</v>
      </c>
      <c r="D478" s="188">
        <v>11316473001</v>
      </c>
      <c r="E478" s="553" t="str">
        <f>IFERROR(VLOOKUP(D478,'ВИС-2026'!$E$17:$H$2115,2,0),"")</f>
        <v>Распределительный коллектор РЕХАУ G 3/4 4 отвода G 3/4</v>
      </c>
      <c r="F478" s="292" t="str">
        <f>IFERROR(VLOOKUP(D478,'ВИС-2026'!$E$17:$H$2115,4,0),"")</f>
        <v>шт</v>
      </c>
      <c r="G478" s="428"/>
      <c r="H478" s="554">
        <f>IFERROR(VLOOKUP(D478,'ВИС-2026'!$E$17:$K$2649,7,0),"")</f>
        <v>116.24</v>
      </c>
      <c r="I478" s="554">
        <f t="shared" si="108"/>
        <v>0</v>
      </c>
      <c r="J478" s="554">
        <f t="shared" si="109"/>
        <v>116.24</v>
      </c>
      <c r="K478" s="554">
        <f t="shared" si="110"/>
        <v>0</v>
      </c>
      <c r="L478" s="554">
        <f t="shared" si="111"/>
        <v>0</v>
      </c>
      <c r="M478" s="554">
        <f t="shared" si="112"/>
        <v>0</v>
      </c>
      <c r="N478" s="104"/>
    </row>
    <row r="479" spans="1:14" s="73" customFormat="1">
      <c r="A479" s="147"/>
      <c r="B479" s="188" t="s">
        <v>30</v>
      </c>
      <c r="C479" s="190" t="s">
        <v>23</v>
      </c>
      <c r="D479" s="188">
        <v>11077551001</v>
      </c>
      <c r="E479" s="553" t="str">
        <f>IFERROR(VLOOKUP(D479,'ВИС-2026'!$E$17:$H$2115,2,0),"")</f>
        <v>Заглушка для коллектора РЕХАУ с наружной резьбой 3/4 MX хром.</v>
      </c>
      <c r="F479" s="292" t="str">
        <f>IFERROR(VLOOKUP(D479,'ВИС-2026'!$E$17:$H$2115,4,0),"")</f>
        <v>шт</v>
      </c>
      <c r="G479" s="428"/>
      <c r="H479" s="554">
        <f>IFERROR(VLOOKUP(D479,'ВИС-2026'!$E$17:$K$2649,7,0),"")</f>
        <v>5.03</v>
      </c>
      <c r="I479" s="554">
        <f t="shared" si="108"/>
        <v>0</v>
      </c>
      <c r="J479" s="554">
        <f t="shared" si="109"/>
        <v>5.03</v>
      </c>
      <c r="K479" s="554">
        <f t="shared" si="110"/>
        <v>0</v>
      </c>
      <c r="L479" s="554">
        <f t="shared" si="111"/>
        <v>0</v>
      </c>
      <c r="M479" s="554">
        <f t="shared" si="112"/>
        <v>0</v>
      </c>
      <c r="N479" s="104"/>
    </row>
    <row r="480" spans="1:14" s="73" customFormat="1">
      <c r="A480" s="147"/>
      <c r="B480" s="188" t="s">
        <v>30</v>
      </c>
      <c r="C480" s="190" t="s">
        <v>23</v>
      </c>
      <c r="D480" s="188">
        <v>11077561001</v>
      </c>
      <c r="E480" s="553" t="str">
        <f>IFERROR(VLOOKUP(D480,'ВИС-2026'!$E$17:$H$2115,2,0),"")</f>
        <v>Заглушка для коллектора РЕХАУ с внутренней резьбой 3/4 MX хром.</v>
      </c>
      <c r="F480" s="292" t="str">
        <f>IFERROR(VLOOKUP(D480,'ВИС-2026'!$E$17:$H$2115,4,0),"")</f>
        <v>шт</v>
      </c>
      <c r="G480" s="428"/>
      <c r="H480" s="554">
        <f>IFERROR(VLOOKUP(D480,'ВИС-2026'!$E$17:$K$2649,7,0),"")</f>
        <v>5.03</v>
      </c>
      <c r="I480" s="554">
        <f t="shared" si="108"/>
        <v>0</v>
      </c>
      <c r="J480" s="554">
        <f t="shared" si="109"/>
        <v>5.03</v>
      </c>
      <c r="K480" s="554">
        <f t="shared" si="110"/>
        <v>0</v>
      </c>
      <c r="L480" s="554">
        <f t="shared" si="111"/>
        <v>0</v>
      </c>
      <c r="M480" s="554">
        <f t="shared" si="112"/>
        <v>0</v>
      </c>
      <c r="N480" s="104"/>
    </row>
    <row r="481" spans="1:14" s="73" customFormat="1">
      <c r="A481" s="147"/>
      <c r="B481" s="188"/>
      <c r="C481" s="224"/>
      <c r="D481" s="188"/>
      <c r="E481" s="210"/>
      <c r="F481" s="558" t="str">
        <f>IFERROR(VLOOKUP(D481,'ВИС-2026'!$E$17:$H$2115,5,0),"")</f>
        <v/>
      </c>
      <c r="G481" s="428"/>
      <c r="H481" s="559" t="str">
        <f>IFERROR(VLOOKUP(D481,'ВИС-2026'!$E$17:$K$2649,8,0),"")</f>
        <v/>
      </c>
      <c r="I481" s="559" t="str">
        <f t="shared" si="108"/>
        <v/>
      </c>
      <c r="J481" s="559" t="str">
        <f t="shared" si="109"/>
        <v/>
      </c>
      <c r="K481" s="559" t="str">
        <f t="shared" si="110"/>
        <v/>
      </c>
      <c r="L481" s="559" t="str">
        <f t="shared" si="111"/>
        <v/>
      </c>
      <c r="M481" s="559" t="str">
        <f t="shared" si="112"/>
        <v/>
      </c>
      <c r="N481" s="104"/>
    </row>
    <row r="482" spans="1:14" s="73" customFormat="1">
      <c r="A482" s="147"/>
      <c r="B482" s="188" t="s">
        <v>30</v>
      </c>
      <c r="C482" s="190" t="s">
        <v>23</v>
      </c>
      <c r="D482" s="188">
        <v>11093871001</v>
      </c>
      <c r="E482" s="553" t="str">
        <f>IFERROR(VLOOKUP(D482,'ВИС-2026'!$E$17:$H$2115,2,0),"")</f>
        <v>Заглушка РЕХАУ для полимерн. трубы 16 MX</v>
      </c>
      <c r="F482" s="292" t="str">
        <f>IFERROR(VLOOKUP(D482,'ВИС-2026'!$E$17:$H$2115,4,0),"")</f>
        <v>шт</v>
      </c>
      <c r="G482" s="428"/>
      <c r="H482" s="554">
        <f>IFERROR(VLOOKUP(D482,'ВИС-2026'!$E$17:$K$2649,7,0),"")</f>
        <v>4.03</v>
      </c>
      <c r="I482" s="554">
        <f t="shared" si="108"/>
        <v>0</v>
      </c>
      <c r="J482" s="554">
        <f t="shared" si="109"/>
        <v>4.03</v>
      </c>
      <c r="K482" s="554">
        <f t="shared" si="110"/>
        <v>0</v>
      </c>
      <c r="L482" s="554">
        <f t="shared" si="111"/>
        <v>0</v>
      </c>
      <c r="M482" s="554">
        <f t="shared" si="112"/>
        <v>0</v>
      </c>
      <c r="N482" s="104"/>
    </row>
    <row r="483" spans="1:14" s="73" customFormat="1">
      <c r="A483" s="147"/>
      <c r="B483" s="188" t="s">
        <v>30</v>
      </c>
      <c r="C483" s="190" t="s">
        <v>23</v>
      </c>
      <c r="D483" s="256">
        <v>11093881001</v>
      </c>
      <c r="E483" s="553" t="str">
        <f>IFERROR(VLOOKUP(D483,'ВИС-2026'!$E$17:$H$2115,2,0),"")</f>
        <v>Заглушка для полимерн. трубы 20 MX</v>
      </c>
      <c r="F483" s="292" t="str">
        <f>IFERROR(VLOOKUP(D483,'ВИС-2026'!$E$17:$H$2115,4,0),"")</f>
        <v>шт</v>
      </c>
      <c r="G483" s="428"/>
      <c r="H483" s="554">
        <f>IFERROR(VLOOKUP(D483,'ВИС-2026'!$E$17:$K$2649,7,0),"")</f>
        <v>4.83</v>
      </c>
      <c r="I483" s="554">
        <f t="shared" si="108"/>
        <v>0</v>
      </c>
      <c r="J483" s="554">
        <f t="shared" si="109"/>
        <v>4.83</v>
      </c>
      <c r="K483" s="554">
        <f t="shared" si="110"/>
        <v>0</v>
      </c>
      <c r="L483" s="554">
        <f t="shared" si="111"/>
        <v>0</v>
      </c>
      <c r="M483" s="554">
        <f t="shared" si="112"/>
        <v>0</v>
      </c>
      <c r="N483" s="104"/>
    </row>
    <row r="484" spans="1:14" s="73" customFormat="1">
      <c r="A484" s="147"/>
      <c r="B484" s="188"/>
      <c r="C484" s="224"/>
      <c r="D484" s="240"/>
      <c r="E484" s="210"/>
      <c r="F484" s="292" t="str">
        <f>IFERROR(VLOOKUP(D484,'ВИС-2026'!$E$17:$H$2115,5,0),"")</f>
        <v/>
      </c>
      <c r="G484" s="428"/>
      <c r="H484" s="554" t="str">
        <f>IFERROR(VLOOKUP(D484,'ВИС-2026'!$E$17:$K$2649,8,0),"")</f>
        <v/>
      </c>
      <c r="I484" s="554" t="str">
        <f t="shared" si="108"/>
        <v/>
      </c>
      <c r="J484" s="554" t="str">
        <f t="shared" si="109"/>
        <v/>
      </c>
      <c r="K484" s="554" t="str">
        <f t="shared" si="110"/>
        <v/>
      </c>
      <c r="L484" s="554" t="str">
        <f t="shared" si="111"/>
        <v/>
      </c>
      <c r="M484" s="554" t="str">
        <f t="shared" si="112"/>
        <v/>
      </c>
      <c r="N484" s="104"/>
    </row>
    <row r="485" spans="1:14" s="73" customFormat="1">
      <c r="A485" s="147"/>
      <c r="B485" s="225"/>
      <c r="C485" s="232" t="s">
        <v>23</v>
      </c>
      <c r="D485" s="233"/>
      <c r="E485" s="201" t="s">
        <v>411</v>
      </c>
      <c r="F485" s="555" t="str">
        <f>IFERROR(VLOOKUP(D485,'ВИС-2026'!$E$17:$H$2115,5,0),"")</f>
        <v/>
      </c>
      <c r="G485" s="556"/>
      <c r="H485" s="557" t="str">
        <f>IFERROR(VLOOKUP(D485,'ВИС-2026'!$E$17:$K$2649,8,0),"")</f>
        <v/>
      </c>
      <c r="I485" s="557" t="str">
        <f t="shared" si="108"/>
        <v/>
      </c>
      <c r="J485" s="557" t="str">
        <f t="shared" si="109"/>
        <v/>
      </c>
      <c r="K485" s="557" t="str">
        <f t="shared" si="110"/>
        <v/>
      </c>
      <c r="L485" s="557" t="str">
        <f t="shared" si="111"/>
        <v/>
      </c>
      <c r="M485" s="557" t="str">
        <f t="shared" si="112"/>
        <v/>
      </c>
      <c r="N485" s="104"/>
    </row>
    <row r="486" spans="1:14" s="73" customFormat="1">
      <c r="A486" s="151"/>
      <c r="B486" s="188" t="s">
        <v>30</v>
      </c>
      <c r="C486" s="238" t="s">
        <v>23</v>
      </c>
      <c r="D486" s="188">
        <v>11096641002</v>
      </c>
      <c r="E486" s="553" t="str">
        <f>IFERROR(VLOOKUP(D486,'ВИС-2026'!$E$17:$H$2115,2,0),"")</f>
        <v xml:space="preserve">Трубка РЕХАУ из. нерж. стали для подкл. радиатора, Г-образная 16/250 </v>
      </c>
      <c r="F486" s="292" t="str">
        <f>IFERROR(VLOOKUP(D486,'ВИС-2026'!$E$17:$H$2115,4,0),"")</f>
        <v>шт</v>
      </c>
      <c r="G486" s="428"/>
      <c r="H486" s="554">
        <f>IFERROR(VLOOKUP(D486,'ВИС-2026'!$E$17:$K$2649,7,0),"")</f>
        <v>20.84</v>
      </c>
      <c r="I486" s="554">
        <f t="shared" si="108"/>
        <v>0</v>
      </c>
      <c r="J486" s="554">
        <f t="shared" si="109"/>
        <v>20.84</v>
      </c>
      <c r="K486" s="554">
        <f t="shared" si="110"/>
        <v>0</v>
      </c>
      <c r="L486" s="554">
        <f t="shared" si="111"/>
        <v>0</v>
      </c>
      <c r="M486" s="554">
        <f t="shared" si="112"/>
        <v>0</v>
      </c>
      <c r="N486" s="104"/>
    </row>
    <row r="487" spans="1:14" s="73" customFormat="1">
      <c r="A487" s="151"/>
      <c r="B487" s="188" t="s">
        <v>30</v>
      </c>
      <c r="C487" s="238" t="s">
        <v>23</v>
      </c>
      <c r="D487" s="188">
        <v>11096651002</v>
      </c>
      <c r="E487" s="553" t="str">
        <f>IFERROR(VLOOKUP(D487,'ВИС-2026'!$E$17:$H$2115,2,0),"")</f>
        <v xml:space="preserve">Трубка РЕХАУ из. нерж. стали для подкл. радиатора, Г-образная 16/500 </v>
      </c>
      <c r="F487" s="292" t="str">
        <f>IFERROR(VLOOKUP(D487,'ВИС-2026'!$E$17:$H$2115,4,0),"")</f>
        <v>шт</v>
      </c>
      <c r="G487" s="428"/>
      <c r="H487" s="554">
        <f>IFERROR(VLOOKUP(D487,'ВИС-2026'!$E$17:$K$2649,7,0),"")</f>
        <v>28.38</v>
      </c>
      <c r="I487" s="554">
        <f t="shared" si="108"/>
        <v>0</v>
      </c>
      <c r="J487" s="554">
        <f t="shared" si="109"/>
        <v>28.38</v>
      </c>
      <c r="K487" s="554">
        <f t="shared" si="110"/>
        <v>0</v>
      </c>
      <c r="L487" s="554">
        <f t="shared" si="111"/>
        <v>0</v>
      </c>
      <c r="M487" s="554">
        <f t="shared" si="112"/>
        <v>0</v>
      </c>
      <c r="N487" s="104"/>
    </row>
    <row r="488" spans="1:14" s="73" customFormat="1">
      <c r="A488" s="151"/>
      <c r="B488" s="188" t="s">
        <v>30</v>
      </c>
      <c r="C488" s="238" t="s">
        <v>23</v>
      </c>
      <c r="D488" s="188">
        <v>11096671002</v>
      </c>
      <c r="E488" s="553" t="str">
        <f>IFERROR(VLOOKUP(D488,'ВИС-2026'!$E$17:$H$2115,2,0),"")</f>
        <v xml:space="preserve">Трубка РЕХАУ из. нерж. стали для подкл. радиатора, Г-образная 16/1000 </v>
      </c>
      <c r="F488" s="292" t="str">
        <f>IFERROR(VLOOKUP(D488,'ВИС-2026'!$E$17:$H$2115,4,0),"")</f>
        <v>шт</v>
      </c>
      <c r="G488" s="428"/>
      <c r="H488" s="554">
        <f>IFERROR(VLOOKUP(D488,'ВИС-2026'!$E$17:$K$2649,7,0),"")</f>
        <v>45.3</v>
      </c>
      <c r="I488" s="554">
        <f t="shared" si="108"/>
        <v>0</v>
      </c>
      <c r="J488" s="554">
        <f t="shared" si="109"/>
        <v>45.3</v>
      </c>
      <c r="K488" s="554">
        <f t="shared" si="110"/>
        <v>0</v>
      </c>
      <c r="L488" s="554">
        <f t="shared" si="111"/>
        <v>0</v>
      </c>
      <c r="M488" s="554">
        <f t="shared" si="112"/>
        <v>0</v>
      </c>
      <c r="N488" s="104"/>
    </row>
    <row r="489" spans="1:14" s="73" customFormat="1">
      <c r="A489" s="151"/>
      <c r="B489" s="188"/>
      <c r="C489" s="238"/>
      <c r="D489" s="188"/>
      <c r="E489" s="210"/>
      <c r="F489" s="292" t="str">
        <f>IFERROR(VLOOKUP(D489,'ВИС-2026'!$E$17:$H$2115,5,0),"")</f>
        <v/>
      </c>
      <c r="G489" s="428"/>
      <c r="H489" s="554" t="str">
        <f>IFERROR(VLOOKUP(D489,'ВИС-2026'!$E$17:$K$2649,8,0),"")</f>
        <v/>
      </c>
      <c r="I489" s="554" t="str">
        <f t="shared" si="108"/>
        <v/>
      </c>
      <c r="J489" s="554" t="str">
        <f t="shared" si="109"/>
        <v/>
      </c>
      <c r="K489" s="554" t="str">
        <f t="shared" si="110"/>
        <v/>
      </c>
      <c r="L489" s="554" t="str">
        <f t="shared" si="111"/>
        <v/>
      </c>
      <c r="M489" s="554" t="str">
        <f t="shared" si="112"/>
        <v/>
      </c>
      <c r="N489" s="104"/>
    </row>
    <row r="490" spans="1:14" s="73" customFormat="1">
      <c r="A490" s="153"/>
      <c r="B490" s="188" t="s">
        <v>30</v>
      </c>
      <c r="C490" s="238" t="s">
        <v>23</v>
      </c>
      <c r="D490" s="188">
        <v>11096681002</v>
      </c>
      <c r="E490" s="553" t="str">
        <f>IFERROR(VLOOKUP(D490,'ВИС-2026'!$E$17:$H$2115,2,0),"")</f>
        <v xml:space="preserve">Трубка РЕХАУ из. нерж. стали для подкл. радиатора, Г-образная 20/250 </v>
      </c>
      <c r="F490" s="292" t="str">
        <f>IFERROR(VLOOKUP(D490,'ВИС-2026'!$E$17:$H$2115,4,0),"")</f>
        <v>шт</v>
      </c>
      <c r="G490" s="428"/>
      <c r="H490" s="554">
        <f>IFERROR(VLOOKUP(D490,'ВИС-2026'!$E$17:$K$2649,7,0),"")</f>
        <v>22.56</v>
      </c>
      <c r="I490" s="554">
        <f t="shared" si="108"/>
        <v>0</v>
      </c>
      <c r="J490" s="554">
        <f t="shared" si="109"/>
        <v>22.56</v>
      </c>
      <c r="K490" s="554">
        <f t="shared" si="110"/>
        <v>0</v>
      </c>
      <c r="L490" s="554">
        <f t="shared" si="111"/>
        <v>0</v>
      </c>
      <c r="M490" s="554">
        <f t="shared" si="112"/>
        <v>0</v>
      </c>
      <c r="N490" s="104"/>
    </row>
    <row r="491" spans="1:14" s="73" customFormat="1">
      <c r="A491" s="153"/>
      <c r="B491" s="188" t="s">
        <v>30</v>
      </c>
      <c r="C491" s="238" t="s">
        <v>23</v>
      </c>
      <c r="D491" s="188">
        <v>11096691002</v>
      </c>
      <c r="E491" s="553" t="str">
        <f>IFERROR(VLOOKUP(D491,'ВИС-2026'!$E$17:$H$2115,2,0),"")</f>
        <v xml:space="preserve">Трубка РЕХАУ из. нерж. стали для подкл. радиатора, Г-образная 20/500 </v>
      </c>
      <c r="F491" s="292" t="str">
        <f>IFERROR(VLOOKUP(D491,'ВИС-2026'!$E$17:$H$2115,4,0),"")</f>
        <v>шт</v>
      </c>
      <c r="G491" s="428"/>
      <c r="H491" s="554">
        <f>IFERROR(VLOOKUP(D491,'ВИС-2026'!$E$17:$K$2649,7,0),"")</f>
        <v>30.41</v>
      </c>
      <c r="I491" s="554">
        <f t="shared" si="108"/>
        <v>0</v>
      </c>
      <c r="J491" s="554">
        <f t="shared" si="109"/>
        <v>30.41</v>
      </c>
      <c r="K491" s="554">
        <f t="shared" si="110"/>
        <v>0</v>
      </c>
      <c r="L491" s="554">
        <f t="shared" si="111"/>
        <v>0</v>
      </c>
      <c r="M491" s="554">
        <f t="shared" si="112"/>
        <v>0</v>
      </c>
      <c r="N491" s="104"/>
    </row>
    <row r="492" spans="1:14" s="73" customFormat="1">
      <c r="A492" s="151"/>
      <c r="B492" s="188" t="s">
        <v>30</v>
      </c>
      <c r="C492" s="238" t="s">
        <v>23</v>
      </c>
      <c r="D492" s="188">
        <v>11096711001</v>
      </c>
      <c r="E492" s="553" t="str">
        <f>IFERROR(VLOOKUP(D492,'ВИС-2026'!$E$17:$H$2115,2,0),"")</f>
        <v xml:space="preserve">Трубка РЕХАУ из. нерж. стали для подкл. радиатора, Г-образная 20/1000 </v>
      </c>
      <c r="F492" s="292" t="str">
        <f>IFERROR(VLOOKUP(D492,'ВИС-2026'!$E$17:$H$2115,4,0),"")</f>
        <v>шт</v>
      </c>
      <c r="G492" s="428"/>
      <c r="H492" s="554">
        <f>IFERROR(VLOOKUP(D492,'ВИС-2026'!$E$17:$K$2649,7,0),"")</f>
        <v>49.93</v>
      </c>
      <c r="I492" s="554">
        <f t="shared" si="108"/>
        <v>0</v>
      </c>
      <c r="J492" s="554">
        <f t="shared" si="109"/>
        <v>49.93</v>
      </c>
      <c r="K492" s="554">
        <f t="shared" si="110"/>
        <v>0</v>
      </c>
      <c r="L492" s="554">
        <f t="shared" si="111"/>
        <v>0</v>
      </c>
      <c r="M492" s="554">
        <f t="shared" si="112"/>
        <v>0</v>
      </c>
      <c r="N492" s="104"/>
    </row>
    <row r="493" spans="1:14" s="73" customFormat="1">
      <c r="A493" s="151"/>
      <c r="B493" s="188"/>
      <c r="C493" s="238"/>
      <c r="D493" s="188"/>
      <c r="E493" s="210"/>
      <c r="F493" s="292" t="str">
        <f>IFERROR(VLOOKUP(D493,'ВИС-2026'!$E$17:$H$2115,5,0),"")</f>
        <v/>
      </c>
      <c r="G493" s="428"/>
      <c r="H493" s="554" t="str">
        <f>IFERROR(VLOOKUP(D493,'ВИС-2026'!$E$17:$K$2649,8,0),"")</f>
        <v/>
      </c>
      <c r="I493" s="554" t="str">
        <f t="shared" si="108"/>
        <v/>
      </c>
      <c r="J493" s="554" t="str">
        <f t="shared" si="109"/>
        <v/>
      </c>
      <c r="K493" s="554" t="str">
        <f t="shared" si="110"/>
        <v/>
      </c>
      <c r="L493" s="554" t="str">
        <f t="shared" si="111"/>
        <v/>
      </c>
      <c r="M493" s="554" t="str">
        <f t="shared" si="112"/>
        <v/>
      </c>
      <c r="N493" s="104"/>
    </row>
    <row r="494" spans="1:14" s="73" customFormat="1">
      <c r="A494" s="151"/>
      <c r="B494" s="188" t="s">
        <v>30</v>
      </c>
      <c r="C494" s="238" t="s">
        <v>23</v>
      </c>
      <c r="D494" s="188">
        <v>12662823002</v>
      </c>
      <c r="E494" s="553" t="str">
        <f>IFERROR(VLOOKUP(D494,'ВИС-2026'!$E$17:$H$2115,2,0),"")</f>
        <v xml:space="preserve">Трубка РЕХАУ из. нерж. стали для подкл. радиатора, Т-образная 16/250 </v>
      </c>
      <c r="F494" s="292" t="str">
        <f>IFERROR(VLOOKUP(D494,'ВИС-2026'!$E$17:$H$2115,4,0),"")</f>
        <v>шт</v>
      </c>
      <c r="G494" s="428"/>
      <c r="H494" s="554">
        <f>IFERROR(VLOOKUP(D494,'ВИС-2026'!$E$17:$K$2649,7,0),"")</f>
        <v>36.06</v>
      </c>
      <c r="I494" s="554">
        <f t="shared" si="108"/>
        <v>0</v>
      </c>
      <c r="J494" s="554">
        <f t="shared" si="109"/>
        <v>36.06</v>
      </c>
      <c r="K494" s="554">
        <f t="shared" si="110"/>
        <v>0</v>
      </c>
      <c r="L494" s="554">
        <f t="shared" si="111"/>
        <v>0</v>
      </c>
      <c r="M494" s="554">
        <f t="shared" si="112"/>
        <v>0</v>
      </c>
      <c r="N494" s="104"/>
    </row>
    <row r="495" spans="1:14" s="73" customFormat="1">
      <c r="A495" s="151"/>
      <c r="B495" s="188" t="s">
        <v>30</v>
      </c>
      <c r="C495" s="238" t="s">
        <v>23</v>
      </c>
      <c r="D495" s="188">
        <v>12663023002</v>
      </c>
      <c r="E495" s="553" t="str">
        <f>IFERROR(VLOOKUP(D495,'ВИС-2026'!$E$17:$H$2115,2,0),"")</f>
        <v xml:space="preserve">Трубка РЕХАУ из. нерж. стали для подкл. радиатора, Т-образная 20/250 </v>
      </c>
      <c r="F495" s="292" t="str">
        <f>IFERROR(VLOOKUP(D495,'ВИС-2026'!$E$17:$H$2115,4,0),"")</f>
        <v>шт</v>
      </c>
      <c r="G495" s="428"/>
      <c r="H495" s="554">
        <f>IFERROR(VLOOKUP(D495,'ВИС-2026'!$E$17:$K$2649,7,0),"")</f>
        <v>37.01</v>
      </c>
      <c r="I495" s="554">
        <f t="shared" si="108"/>
        <v>0</v>
      </c>
      <c r="J495" s="554">
        <f t="shared" si="109"/>
        <v>37.01</v>
      </c>
      <c r="K495" s="554">
        <f t="shared" si="110"/>
        <v>0</v>
      </c>
      <c r="L495" s="554">
        <f t="shared" si="111"/>
        <v>0</v>
      </c>
      <c r="M495" s="554">
        <f t="shared" si="112"/>
        <v>0</v>
      </c>
      <c r="N495" s="104"/>
    </row>
    <row r="496" spans="1:14" s="73" customFormat="1">
      <c r="A496" s="151"/>
      <c r="B496" s="188"/>
      <c r="C496" s="238"/>
      <c r="D496" s="136"/>
      <c r="E496" s="210"/>
      <c r="F496" s="558" t="str">
        <f>IFERROR(VLOOKUP(D496,'ВИС-2026'!$E$17:$H$2115,5,0),"")</f>
        <v/>
      </c>
      <c r="G496" s="428"/>
      <c r="H496" s="559" t="str">
        <f>IFERROR(VLOOKUP(D496,'ВИС-2026'!$E$17:$K$2649,8,0),"")</f>
        <v/>
      </c>
      <c r="I496" s="559" t="str">
        <f t="shared" si="108"/>
        <v/>
      </c>
      <c r="J496" s="559" t="str">
        <f t="shared" si="109"/>
        <v/>
      </c>
      <c r="K496" s="559" t="str">
        <f t="shared" si="110"/>
        <v/>
      </c>
      <c r="L496" s="559" t="str">
        <f t="shared" si="111"/>
        <v/>
      </c>
      <c r="M496" s="559" t="str">
        <f t="shared" si="112"/>
        <v/>
      </c>
      <c r="N496" s="104"/>
    </row>
    <row r="497" spans="1:14" s="73" customFormat="1" ht="30.6">
      <c r="A497" s="148" t="s">
        <v>25</v>
      </c>
      <c r="B497" s="208" t="s">
        <v>26</v>
      </c>
      <c r="C497" s="190" t="s">
        <v>23</v>
      </c>
      <c r="D497" s="188">
        <v>12662921001</v>
      </c>
      <c r="E497" s="553" t="str">
        <f>IFERROR(VLOOKUP(D497,'ВИС-2026'!$E$17:$H$2115,2,0),"")</f>
        <v xml:space="preserve">Трубка из. нерж. стали для подкл. радиатора, Т-образная 16/1000 </v>
      </c>
      <c r="F497" s="292" t="str">
        <f>IFERROR(VLOOKUP(D497,'ВИС-2026'!$E$17:$H$2115,4,0),"")</f>
        <v>шт</v>
      </c>
      <c r="G497" s="428"/>
      <c r="H497" s="554">
        <f>IFERROR(VLOOKUP(D497,'ВИС-2026'!$E$17:$K$2649,7,0),"")</f>
        <v>20.69</v>
      </c>
      <c r="I497" s="554">
        <f t="shared" si="108"/>
        <v>0</v>
      </c>
      <c r="J497" s="554">
        <f t="shared" si="109"/>
        <v>20.69</v>
      </c>
      <c r="K497" s="554">
        <f t="shared" si="110"/>
        <v>0</v>
      </c>
      <c r="L497" s="554">
        <f t="shared" si="111"/>
        <v>0</v>
      </c>
      <c r="M497" s="554">
        <f t="shared" si="112"/>
        <v>0</v>
      </c>
      <c r="N497" s="104"/>
    </row>
    <row r="498" spans="1:14" s="73" customFormat="1" ht="30.6">
      <c r="A498" s="148" t="s">
        <v>25</v>
      </c>
      <c r="B498" s="208" t="s">
        <v>26</v>
      </c>
      <c r="C498" s="190" t="s">
        <v>23</v>
      </c>
      <c r="D498" s="188">
        <v>12408611001</v>
      </c>
      <c r="E498" s="553" t="str">
        <f>IFERROR(VLOOKUP(D498,'ВИС-2026'!$E$17:$H$2115,2,0),"")</f>
        <v xml:space="preserve">Трубка из. нерж. стали для подкл. радиатора, Т-образная 20/500 </v>
      </c>
      <c r="F498" s="292" t="str">
        <f>IFERROR(VLOOKUP(D498,'ВИС-2026'!$E$17:$H$2115,4,0),"")</f>
        <v>шт</v>
      </c>
      <c r="G498" s="428"/>
      <c r="H498" s="554">
        <f>IFERROR(VLOOKUP(D498,'ВИС-2026'!$E$17:$K$2649,7,0),"")</f>
        <v>15.27</v>
      </c>
      <c r="I498" s="554">
        <f t="shared" si="108"/>
        <v>0</v>
      </c>
      <c r="J498" s="554">
        <f t="shared" si="109"/>
        <v>15.27</v>
      </c>
      <c r="K498" s="554">
        <f t="shared" si="110"/>
        <v>0</v>
      </c>
      <c r="L498" s="554">
        <f t="shared" si="111"/>
        <v>0</v>
      </c>
      <c r="M498" s="554">
        <f t="shared" si="112"/>
        <v>0</v>
      </c>
      <c r="N498" s="104"/>
    </row>
    <row r="499" spans="1:14" s="73" customFormat="1">
      <c r="A499" s="149"/>
      <c r="B499" s="225"/>
      <c r="C499" s="226"/>
      <c r="D499" s="225"/>
      <c r="E499" s="227"/>
      <c r="F499" s="292" t="str">
        <f>IFERROR(VLOOKUP(D499,'ВИС-2026'!$E$17:$H$2115,5,0),"")</f>
        <v/>
      </c>
      <c r="G499" s="428"/>
      <c r="H499" s="554" t="str">
        <f>IFERROR(VLOOKUP(D499,'ВИС-2026'!$E$17:$K$2649,8,0),"")</f>
        <v/>
      </c>
      <c r="I499" s="554" t="str">
        <f t="shared" si="108"/>
        <v/>
      </c>
      <c r="J499" s="554" t="str">
        <f t="shared" si="109"/>
        <v/>
      </c>
      <c r="K499" s="554" t="str">
        <f t="shared" si="110"/>
        <v/>
      </c>
      <c r="L499" s="554" t="str">
        <f t="shared" si="111"/>
        <v/>
      </c>
      <c r="M499" s="554" t="str">
        <f t="shared" si="112"/>
        <v/>
      </c>
      <c r="N499" s="104"/>
    </row>
    <row r="500" spans="1:14" s="73" customFormat="1">
      <c r="A500" s="154"/>
      <c r="B500" s="188" t="s">
        <v>30</v>
      </c>
      <c r="C500" s="190" t="s">
        <v>23</v>
      </c>
      <c r="D500" s="188">
        <v>12404573002</v>
      </c>
      <c r="E500" s="553" t="str">
        <f>IFERROR(VLOOKUP(D500,'ВИС-2026'!$E$17:$H$2115,2,0),"")</f>
        <v>Фиксирующая скоба РЕХАУ для присоединительных трубок</v>
      </c>
      <c r="F500" s="292" t="str">
        <f>IFERROR(VLOOKUP(D500,'ВИС-2026'!$E$17:$H$2115,4,0),"")</f>
        <v>шт</v>
      </c>
      <c r="G500" s="428"/>
      <c r="H500" s="554">
        <f>IFERROR(VLOOKUP(D500,'ВИС-2026'!$E$17:$K$2649,7,0),"")</f>
        <v>4.8600000000000003</v>
      </c>
      <c r="I500" s="554">
        <f t="shared" si="108"/>
        <v>0</v>
      </c>
      <c r="J500" s="554">
        <f t="shared" si="109"/>
        <v>4.8600000000000003</v>
      </c>
      <c r="K500" s="554">
        <f t="shared" si="110"/>
        <v>0</v>
      </c>
      <c r="L500" s="554">
        <f t="shared" si="111"/>
        <v>0</v>
      </c>
      <c r="M500" s="554">
        <f t="shared" si="112"/>
        <v>0</v>
      </c>
      <c r="N500" s="104"/>
    </row>
    <row r="501" spans="1:14" s="73" customFormat="1">
      <c r="A501" s="147"/>
      <c r="B501" s="291"/>
      <c r="C501" s="215"/>
      <c r="D501" s="217"/>
      <c r="E501" s="218"/>
      <c r="F501" s="292" t="str">
        <f>IFERROR(VLOOKUP(D501,'ВИС-2026'!$E$17:$H$2115,5,0),"")</f>
        <v/>
      </c>
      <c r="G501" s="428"/>
      <c r="H501" s="554" t="str">
        <f>IFERROR(VLOOKUP(D501,'ВИС-2026'!$E$17:$K$2649,8,0),"")</f>
        <v/>
      </c>
      <c r="I501" s="554" t="str">
        <f t="shared" si="108"/>
        <v/>
      </c>
      <c r="J501" s="554" t="str">
        <f t="shared" si="109"/>
        <v/>
      </c>
      <c r="K501" s="554" t="str">
        <f t="shared" si="110"/>
        <v/>
      </c>
      <c r="L501" s="554" t="str">
        <f t="shared" si="111"/>
        <v/>
      </c>
      <c r="M501" s="554" t="str">
        <f t="shared" si="112"/>
        <v/>
      </c>
      <c r="N501" s="104"/>
    </row>
    <row r="502" spans="1:14" s="73" customFormat="1">
      <c r="A502" s="147"/>
      <c r="B502" s="188" t="s">
        <v>30</v>
      </c>
      <c r="C502" s="190" t="s">
        <v>23</v>
      </c>
      <c r="D502" s="188">
        <v>12407113001</v>
      </c>
      <c r="E502" s="553" t="str">
        <f>IFERROR(VLOOKUP(D502,'ВИС-2026'!$E$17:$H$2115,2,0),"")</f>
        <v xml:space="preserve">Резьбозажим. ниппель РЕХАУ с нар.резьбой 1/2х3/4 </v>
      </c>
      <c r="F502" s="292" t="str">
        <f>IFERROR(VLOOKUP(D502,'ВИС-2026'!$E$17:$H$2115,4,0),"")</f>
        <v>шт</v>
      </c>
      <c r="G502" s="428"/>
      <c r="H502" s="554">
        <f>IFERROR(VLOOKUP(D502,'ВИС-2026'!$E$17:$K$2649,7,0),"")</f>
        <v>3.43</v>
      </c>
      <c r="I502" s="554">
        <f t="shared" si="108"/>
        <v>0</v>
      </c>
      <c r="J502" s="554">
        <f t="shared" si="109"/>
        <v>3.43</v>
      </c>
      <c r="K502" s="554">
        <f t="shared" si="110"/>
        <v>0</v>
      </c>
      <c r="L502" s="554">
        <f t="shared" si="111"/>
        <v>0</v>
      </c>
      <c r="M502" s="554">
        <f t="shared" si="112"/>
        <v>0</v>
      </c>
      <c r="N502" s="104"/>
    </row>
    <row r="503" spans="1:14" s="73" customFormat="1">
      <c r="A503" s="147"/>
      <c r="B503" s="188"/>
      <c r="C503" s="224"/>
      <c r="D503" s="188"/>
      <c r="E503" s="210"/>
      <c r="F503" s="292" t="str">
        <f>IFERROR(VLOOKUP(D503,'ВИС-2026'!$E$17:$H$2115,5,0),"")</f>
        <v/>
      </c>
      <c r="G503" s="428"/>
      <c r="H503" s="554" t="str">
        <f>IFERROR(VLOOKUP(D503,'ВИС-2026'!$E$17:$K$2649,8,0),"")</f>
        <v/>
      </c>
      <c r="I503" s="554" t="str">
        <f t="shared" si="108"/>
        <v/>
      </c>
      <c r="J503" s="554" t="str">
        <f t="shared" si="109"/>
        <v/>
      </c>
      <c r="K503" s="554" t="str">
        <f t="shared" si="110"/>
        <v/>
      </c>
      <c r="L503" s="554" t="str">
        <f t="shared" si="111"/>
        <v/>
      </c>
      <c r="M503" s="554" t="str">
        <f t="shared" si="112"/>
        <v/>
      </c>
      <c r="N503" s="104"/>
    </row>
    <row r="504" spans="1:14" s="73" customFormat="1">
      <c r="A504" s="147"/>
      <c r="B504" s="188" t="s">
        <v>30</v>
      </c>
      <c r="C504" s="190" t="s">
        <v>23</v>
      </c>
      <c r="D504" s="188">
        <v>12406013003</v>
      </c>
      <c r="E504" s="553" t="str">
        <f>IFERROR(VLOOKUP(D504,'ВИС-2026'!$E$17:$H$2115,2,0),"")</f>
        <v>Резьбозажимное соединение РЕХАУ для металлической трубки G 3/4 -15</v>
      </c>
      <c r="F504" s="292" t="str">
        <f>IFERROR(VLOOKUP(D504,'ВИС-2026'!$E$17:$H$2115,4,0),"")</f>
        <v>шт</v>
      </c>
      <c r="G504" s="428"/>
      <c r="H504" s="554">
        <f>IFERROR(VLOOKUP(D504,'ВИС-2026'!$E$17:$K$2649,7,0),"")</f>
        <v>6.88</v>
      </c>
      <c r="I504" s="554">
        <f t="shared" si="108"/>
        <v>0</v>
      </c>
      <c r="J504" s="554">
        <f t="shared" si="109"/>
        <v>6.88</v>
      </c>
      <c r="K504" s="554">
        <f t="shared" si="110"/>
        <v>0</v>
      </c>
      <c r="L504" s="554">
        <f t="shared" si="111"/>
        <v>0</v>
      </c>
      <c r="M504" s="554">
        <f t="shared" si="112"/>
        <v>0</v>
      </c>
      <c r="N504" s="104"/>
    </row>
    <row r="505" spans="1:14" s="73" customFormat="1">
      <c r="A505" s="147"/>
      <c r="B505" s="260"/>
      <c r="C505" s="215"/>
      <c r="D505" s="217"/>
      <c r="E505" s="218"/>
      <c r="F505" s="292" t="str">
        <f>IFERROR(VLOOKUP(D505,'ВИС-2026'!$E$17:$H$2115,5,0),"")</f>
        <v/>
      </c>
      <c r="G505" s="428"/>
      <c r="H505" s="554" t="str">
        <f>IFERROR(VLOOKUP(D505,'ВИС-2026'!$E$17:$K$2649,8,0),"")</f>
        <v/>
      </c>
      <c r="I505" s="554" t="str">
        <f t="shared" ref="I505:I649" si="113">IFERROR(H505*G505,"")</f>
        <v/>
      </c>
      <c r="J505" s="554" t="str">
        <f t="shared" ref="J505:J649" si="114">IFERROR((IF(H505="","",H505-H505*$D$7)),"")</f>
        <v/>
      </c>
      <c r="K505" s="554" t="str">
        <f t="shared" ref="K505:K649" si="115">IFERROR(J505*G505, "")</f>
        <v/>
      </c>
      <c r="L505" s="554" t="str">
        <f t="shared" ref="L505:L649" si="116">IFERROR(J505*$D$8, "")</f>
        <v/>
      </c>
      <c r="M505" s="554" t="str">
        <f t="shared" ref="M505:M649" si="117">IFERROR(L505*G505, "")</f>
        <v/>
      </c>
      <c r="N505" s="104"/>
    </row>
    <row r="506" spans="1:14" s="73" customFormat="1">
      <c r="A506" s="147"/>
      <c r="B506" s="260" t="s">
        <v>30</v>
      </c>
      <c r="C506" s="190" t="s">
        <v>23</v>
      </c>
      <c r="D506" s="188">
        <v>12407373001</v>
      </c>
      <c r="E506" s="553" t="str">
        <f>IFERROR(VLOOKUP(D506,'ВИС-2026'!$E$17:$H$2115,2,0),"")</f>
        <v xml:space="preserve">Блок шаровых кранов РЕХАУ с соед. нип. G 1/2xG 3/4, угловой (никелирован.) </v>
      </c>
      <c r="F506" s="292" t="str">
        <f>IFERROR(VLOOKUP(D506,'ВИС-2026'!$E$17:$H$2115,4,0),"")</f>
        <v>шт</v>
      </c>
      <c r="G506" s="428"/>
      <c r="H506" s="554">
        <f>IFERROR(VLOOKUP(D506,'ВИС-2026'!$E$17:$K$2649,7,0),"")</f>
        <v>38.89</v>
      </c>
      <c r="I506" s="554">
        <f t="shared" si="113"/>
        <v>0</v>
      </c>
      <c r="J506" s="554">
        <f t="shared" si="114"/>
        <v>38.89</v>
      </c>
      <c r="K506" s="554">
        <f t="shared" si="115"/>
        <v>0</v>
      </c>
      <c r="L506" s="554">
        <f t="shared" si="116"/>
        <v>0</v>
      </c>
      <c r="M506" s="554">
        <f t="shared" si="117"/>
        <v>0</v>
      </c>
      <c r="N506" s="104"/>
    </row>
    <row r="507" spans="1:14" s="73" customFormat="1">
      <c r="A507" s="147"/>
      <c r="B507" s="188" t="s">
        <v>397</v>
      </c>
      <c r="C507" s="190" t="s">
        <v>23</v>
      </c>
      <c r="D507" s="188">
        <v>12407271001</v>
      </c>
      <c r="E507" s="553" t="str">
        <f>IFERROR(VLOOKUP(D507,'ВИС-2026'!$E$17:$H$2115,2,0),"")</f>
        <v xml:space="preserve">Блок шаровых кранов с соед. нип. G 1/2xG 3/4, прямой (никелирован.) </v>
      </c>
      <c r="F507" s="292" t="str">
        <f>IFERROR(VLOOKUP(D507,'ВИС-2026'!$E$17:$H$2115,4,0),"")</f>
        <v>шт</v>
      </c>
      <c r="G507" s="428"/>
      <c r="H507" s="554">
        <f>IFERROR(VLOOKUP(D507,'ВИС-2026'!$E$17:$K$2649,7,0),"")</f>
        <v>38.89</v>
      </c>
      <c r="I507" s="554">
        <f t="shared" si="113"/>
        <v>0</v>
      </c>
      <c r="J507" s="554">
        <f t="shared" si="114"/>
        <v>38.89</v>
      </c>
      <c r="K507" s="554">
        <f t="shared" si="115"/>
        <v>0</v>
      </c>
      <c r="L507" s="554">
        <f t="shared" si="116"/>
        <v>0</v>
      </c>
      <c r="M507" s="554">
        <f t="shared" si="117"/>
        <v>0</v>
      </c>
      <c r="N507" s="104"/>
    </row>
    <row r="508" spans="1:14" s="73" customFormat="1">
      <c r="A508" s="147"/>
      <c r="B508" s="260"/>
      <c r="C508" s="215"/>
      <c r="D508" s="217"/>
      <c r="E508" s="218"/>
      <c r="F508" s="558" t="str">
        <f>IFERROR(VLOOKUP(D508,'ВИС-2026'!$E$17:$H$2115,5,0),"")</f>
        <v/>
      </c>
      <c r="G508" s="428"/>
      <c r="H508" s="559" t="str">
        <f>IFERROR(VLOOKUP(D508,'ВИС-2026'!$E$17:$K$2649,8,0),"")</f>
        <v/>
      </c>
      <c r="I508" s="559" t="str">
        <f t="shared" si="113"/>
        <v/>
      </c>
      <c r="J508" s="559" t="str">
        <f t="shared" si="114"/>
        <v/>
      </c>
      <c r="K508" s="559" t="str">
        <f t="shared" si="115"/>
        <v/>
      </c>
      <c r="L508" s="559" t="str">
        <f t="shared" si="116"/>
        <v/>
      </c>
      <c r="M508" s="559" t="str">
        <f t="shared" si="117"/>
        <v/>
      </c>
      <c r="N508" s="104"/>
    </row>
    <row r="509" spans="1:14" s="73" customFormat="1">
      <c r="A509" s="147"/>
      <c r="B509" s="188" t="s">
        <v>397</v>
      </c>
      <c r="C509" s="190" t="s">
        <v>23</v>
      </c>
      <c r="D509" s="188">
        <v>11102021001</v>
      </c>
      <c r="E509" s="553" t="str">
        <f>IFERROR(VLOOKUP(D509,'ВИС-2026'!$E$17:$H$2115,2,0),"")</f>
        <v>Распределительный коллектор HLV на 2 группы нерж. сталь</v>
      </c>
      <c r="F509" s="292" t="str">
        <f>IFERROR(VLOOKUP(D509,'ВИС-2026'!$E$17:$H$2115,4,0),"")</f>
        <v>шт</v>
      </c>
      <c r="G509" s="428"/>
      <c r="H509" s="554">
        <f>IFERROR(VLOOKUP(D509,'ВИС-2026'!$E$17:$K$2649,7,0),"")</f>
        <v>121.56</v>
      </c>
      <c r="I509" s="554">
        <f t="shared" si="113"/>
        <v>0</v>
      </c>
      <c r="J509" s="554">
        <f t="shared" si="114"/>
        <v>121.56</v>
      </c>
      <c r="K509" s="554">
        <f t="shared" si="115"/>
        <v>0</v>
      </c>
      <c r="L509" s="554">
        <f t="shared" si="116"/>
        <v>0</v>
      </c>
      <c r="M509" s="554">
        <f t="shared" si="117"/>
        <v>0</v>
      </c>
      <c r="N509" s="104"/>
    </row>
    <row r="510" spans="1:14" s="73" customFormat="1">
      <c r="A510" s="147"/>
      <c r="B510" s="188" t="s">
        <v>397</v>
      </c>
      <c r="C510" s="190" t="s">
        <v>23</v>
      </c>
      <c r="D510" s="188">
        <v>11102041001</v>
      </c>
      <c r="E510" s="553" t="str">
        <f>IFERROR(VLOOKUP(D510,'ВИС-2026'!$E$17:$H$2115,2,0),"")</f>
        <v>Распределительный коллектор HLV на 3 групп нерж. сталь</v>
      </c>
      <c r="F510" s="292" t="str">
        <f>IFERROR(VLOOKUP(D510,'ВИС-2026'!$E$17:$H$2115,4,0),"")</f>
        <v>шт</v>
      </c>
      <c r="G510" s="428"/>
      <c r="H510" s="554">
        <f>IFERROR(VLOOKUP(D510,'ВИС-2026'!$E$17:$K$2649,7,0),"")</f>
        <v>157.63999999999999</v>
      </c>
      <c r="I510" s="554">
        <f t="shared" si="113"/>
        <v>0</v>
      </c>
      <c r="J510" s="554">
        <f t="shared" si="114"/>
        <v>157.63999999999999</v>
      </c>
      <c r="K510" s="554">
        <f t="shared" si="115"/>
        <v>0</v>
      </c>
      <c r="L510" s="554">
        <f t="shared" si="116"/>
        <v>0</v>
      </c>
      <c r="M510" s="554">
        <f t="shared" si="117"/>
        <v>0</v>
      </c>
      <c r="N510" s="104"/>
    </row>
    <row r="511" spans="1:14" s="73" customFormat="1">
      <c r="A511" s="147"/>
      <c r="B511" s="188" t="s">
        <v>397</v>
      </c>
      <c r="C511" s="190" t="s">
        <v>23</v>
      </c>
      <c r="D511" s="188">
        <v>11102061001</v>
      </c>
      <c r="E511" s="553" t="str">
        <f>IFERROR(VLOOKUP(D511,'ВИС-2026'!$E$17:$H$2115,2,0),"")</f>
        <v>Распределительный коллектор HLV на 4 группы нерж. сталь</v>
      </c>
      <c r="F511" s="292" t="str">
        <f>IFERROR(VLOOKUP(D511,'ВИС-2026'!$E$17:$H$2115,4,0),"")</f>
        <v>шт</v>
      </c>
      <c r="G511" s="428"/>
      <c r="H511" s="554">
        <f>IFERROR(VLOOKUP(D511,'ВИС-2026'!$E$17:$K$2649,7,0),"")</f>
        <v>180.34</v>
      </c>
      <c r="I511" s="554">
        <f t="shared" si="113"/>
        <v>0</v>
      </c>
      <c r="J511" s="554">
        <f t="shared" si="114"/>
        <v>180.34</v>
      </c>
      <c r="K511" s="554">
        <f t="shared" si="115"/>
        <v>0</v>
      </c>
      <c r="L511" s="554">
        <f t="shared" si="116"/>
        <v>0</v>
      </c>
      <c r="M511" s="554">
        <f t="shared" si="117"/>
        <v>0</v>
      </c>
      <c r="N511" s="104"/>
    </row>
    <row r="512" spans="1:14" s="73" customFormat="1">
      <c r="A512" s="147"/>
      <c r="B512" s="188" t="s">
        <v>397</v>
      </c>
      <c r="C512" s="190" t="s">
        <v>23</v>
      </c>
      <c r="D512" s="188">
        <v>11102071001</v>
      </c>
      <c r="E512" s="553" t="str">
        <f>IFERROR(VLOOKUP(D512,'ВИС-2026'!$E$17:$H$2115,2,0),"")</f>
        <v>Распределительный коллектор HLV на 5 групп нерж. сталь</v>
      </c>
      <c r="F512" s="292" t="str">
        <f>IFERROR(VLOOKUP(D512,'ВИС-2026'!$E$17:$H$2115,4,0),"")</f>
        <v>шт</v>
      </c>
      <c r="G512" s="428"/>
      <c r="H512" s="554">
        <f>IFERROR(VLOOKUP(D512,'ВИС-2026'!$E$17:$K$2649,7,0),"")</f>
        <v>203.14</v>
      </c>
      <c r="I512" s="554">
        <f t="shared" si="113"/>
        <v>0</v>
      </c>
      <c r="J512" s="554">
        <f t="shared" si="114"/>
        <v>203.14</v>
      </c>
      <c r="K512" s="554">
        <f t="shared" si="115"/>
        <v>0</v>
      </c>
      <c r="L512" s="554">
        <f t="shared" si="116"/>
        <v>0</v>
      </c>
      <c r="M512" s="554">
        <f t="shared" si="117"/>
        <v>0</v>
      </c>
      <c r="N512" s="104"/>
    </row>
    <row r="513" spans="1:14" s="73" customFormat="1">
      <c r="A513" s="147"/>
      <c r="B513" s="188" t="s">
        <v>397</v>
      </c>
      <c r="C513" s="190" t="s">
        <v>23</v>
      </c>
      <c r="D513" s="188">
        <v>11102081001</v>
      </c>
      <c r="E513" s="553" t="str">
        <f>IFERROR(VLOOKUP(D513,'ВИС-2026'!$E$17:$H$2115,2,0),"")</f>
        <v>Распределительный коллектор HLV на 6 групп нерж. сталь</v>
      </c>
      <c r="F513" s="292" t="str">
        <f>IFERROR(VLOOKUP(D513,'ВИС-2026'!$E$17:$H$2115,4,0),"")</f>
        <v>шт</v>
      </c>
      <c r="G513" s="428"/>
      <c r="H513" s="554">
        <f>IFERROR(VLOOKUP(D513,'ВИС-2026'!$E$17:$K$2649,7,0),"")</f>
        <v>229.37</v>
      </c>
      <c r="I513" s="554">
        <f t="shared" si="113"/>
        <v>0</v>
      </c>
      <c r="J513" s="554">
        <f t="shared" si="114"/>
        <v>229.37</v>
      </c>
      <c r="K513" s="554">
        <f t="shared" si="115"/>
        <v>0</v>
      </c>
      <c r="L513" s="554">
        <f t="shared" si="116"/>
        <v>0</v>
      </c>
      <c r="M513" s="554">
        <f t="shared" si="117"/>
        <v>0</v>
      </c>
      <c r="N513" s="104"/>
    </row>
    <row r="514" spans="1:14" s="73" customFormat="1">
      <c r="A514" s="147"/>
      <c r="B514" s="188" t="s">
        <v>397</v>
      </c>
      <c r="C514" s="190" t="s">
        <v>23</v>
      </c>
      <c r="D514" s="188">
        <v>11102091001</v>
      </c>
      <c r="E514" s="553" t="str">
        <f>IFERROR(VLOOKUP(D514,'ВИС-2026'!$E$17:$H$2115,2,0),"")</f>
        <v>Распределительный коллектор HLV на 7 групп нерж. сталь</v>
      </c>
      <c r="F514" s="292" t="str">
        <f>IFERROR(VLOOKUP(D514,'ВИС-2026'!$E$17:$H$2115,4,0),"")</f>
        <v>шт</v>
      </c>
      <c r="G514" s="428"/>
      <c r="H514" s="554">
        <f>IFERROR(VLOOKUP(D514,'ВИС-2026'!$E$17:$K$2649,7,0),"")</f>
        <v>250.51</v>
      </c>
      <c r="I514" s="554">
        <f t="shared" si="113"/>
        <v>0</v>
      </c>
      <c r="J514" s="554">
        <f t="shared" si="114"/>
        <v>250.51</v>
      </c>
      <c r="K514" s="554">
        <f t="shared" si="115"/>
        <v>0</v>
      </c>
      <c r="L514" s="554">
        <f t="shared" si="116"/>
        <v>0</v>
      </c>
      <c r="M514" s="554">
        <f t="shared" si="117"/>
        <v>0</v>
      </c>
      <c r="N514" s="104"/>
    </row>
    <row r="515" spans="1:14" s="73" customFormat="1">
      <c r="A515" s="147"/>
      <c r="B515" s="188" t="s">
        <v>397</v>
      </c>
      <c r="C515" s="190" t="s">
        <v>23</v>
      </c>
      <c r="D515" s="188">
        <v>11102121001</v>
      </c>
      <c r="E515" s="553" t="str">
        <f>IFERROR(VLOOKUP(D515,'ВИС-2026'!$E$17:$H$2115,2,0),"")</f>
        <v>Распределительный коллектор HLV на 8 групп нерж. сталь</v>
      </c>
      <c r="F515" s="292" t="str">
        <f>IFERROR(VLOOKUP(D515,'ВИС-2026'!$E$17:$H$2115,4,0),"")</f>
        <v>шт</v>
      </c>
      <c r="G515" s="428"/>
      <c r="H515" s="554">
        <f>IFERROR(VLOOKUP(D515,'ВИС-2026'!$E$17:$K$2649,7,0),"")</f>
        <v>274.68</v>
      </c>
      <c r="I515" s="554">
        <f t="shared" si="113"/>
        <v>0</v>
      </c>
      <c r="J515" s="554">
        <f t="shared" si="114"/>
        <v>274.68</v>
      </c>
      <c r="K515" s="554">
        <f t="shared" si="115"/>
        <v>0</v>
      </c>
      <c r="L515" s="554">
        <f t="shared" si="116"/>
        <v>0</v>
      </c>
      <c r="M515" s="554">
        <f t="shared" si="117"/>
        <v>0</v>
      </c>
      <c r="N515" s="104"/>
    </row>
    <row r="516" spans="1:14" s="73" customFormat="1">
      <c r="A516" s="147"/>
      <c r="B516" s="188" t="s">
        <v>397</v>
      </c>
      <c r="C516" s="190" t="s">
        <v>23</v>
      </c>
      <c r="D516" s="188">
        <v>11102141001</v>
      </c>
      <c r="E516" s="553" t="str">
        <f>IFERROR(VLOOKUP(D516,'ВИС-2026'!$E$17:$H$2115,2,0),"")</f>
        <v>Распределительный коллектор HLV на 9 групп нерж. сталь</v>
      </c>
      <c r="F516" s="292" t="str">
        <f>IFERROR(VLOOKUP(D516,'ВИС-2026'!$E$17:$H$2115,4,0),"")</f>
        <v>шт</v>
      </c>
      <c r="G516" s="428"/>
      <c r="H516" s="554">
        <f>IFERROR(VLOOKUP(D516,'ВИС-2026'!$E$17:$K$2649,7,0),"")</f>
        <v>296.63</v>
      </c>
      <c r="I516" s="554">
        <f t="shared" si="113"/>
        <v>0</v>
      </c>
      <c r="J516" s="554">
        <f t="shared" si="114"/>
        <v>296.63</v>
      </c>
      <c r="K516" s="554">
        <f t="shared" si="115"/>
        <v>0</v>
      </c>
      <c r="L516" s="554">
        <f t="shared" si="116"/>
        <v>0</v>
      </c>
      <c r="M516" s="554">
        <f t="shared" si="117"/>
        <v>0</v>
      </c>
      <c r="N516" s="104"/>
    </row>
    <row r="517" spans="1:14" s="73" customFormat="1">
      <c r="A517" s="147"/>
      <c r="B517" s="188" t="s">
        <v>397</v>
      </c>
      <c r="C517" s="190" t="s">
        <v>23</v>
      </c>
      <c r="D517" s="188">
        <v>11102161001</v>
      </c>
      <c r="E517" s="553" t="str">
        <f>IFERROR(VLOOKUP(D517,'ВИС-2026'!$E$17:$H$2115,2,0),"")</f>
        <v>Распределительный коллектор HLV на 10 групп нерж. сталь</v>
      </c>
      <c r="F517" s="292" t="str">
        <f>IFERROR(VLOOKUP(D517,'ВИС-2026'!$E$17:$H$2115,4,0),"")</f>
        <v>шт</v>
      </c>
      <c r="G517" s="428"/>
      <c r="H517" s="554">
        <f>IFERROR(VLOOKUP(D517,'ВИС-2026'!$E$17:$K$2649,7,0),"")</f>
        <v>319.81</v>
      </c>
      <c r="I517" s="554">
        <f t="shared" si="113"/>
        <v>0</v>
      </c>
      <c r="J517" s="554">
        <f t="shared" si="114"/>
        <v>319.81</v>
      </c>
      <c r="K517" s="554">
        <f t="shared" si="115"/>
        <v>0</v>
      </c>
      <c r="L517" s="554">
        <f t="shared" si="116"/>
        <v>0</v>
      </c>
      <c r="M517" s="554">
        <f t="shared" si="117"/>
        <v>0</v>
      </c>
      <c r="N517" s="104"/>
    </row>
    <row r="518" spans="1:14" s="73" customFormat="1">
      <c r="A518" s="147"/>
      <c r="B518" s="188" t="s">
        <v>397</v>
      </c>
      <c r="C518" s="190" t="s">
        <v>23</v>
      </c>
      <c r="D518" s="188">
        <v>11102171001</v>
      </c>
      <c r="E518" s="553" t="str">
        <f>IFERROR(VLOOKUP(D518,'ВИС-2026'!$E$17:$H$2115,2,0),"")</f>
        <v>Распределительный коллектор HLV на 11 групп нерж. сталь</v>
      </c>
      <c r="F518" s="292" t="str">
        <f>IFERROR(VLOOKUP(D518,'ВИС-2026'!$E$17:$H$2115,4,0),"")</f>
        <v>шт</v>
      </c>
      <c r="G518" s="428"/>
      <c r="H518" s="554">
        <f>IFERROR(VLOOKUP(D518,'ВИС-2026'!$E$17:$K$2649,7,0),"")</f>
        <v>344.83</v>
      </c>
      <c r="I518" s="554">
        <f t="shared" si="113"/>
        <v>0</v>
      </c>
      <c r="J518" s="554">
        <f t="shared" si="114"/>
        <v>344.83</v>
      </c>
      <c r="K518" s="554">
        <f t="shared" si="115"/>
        <v>0</v>
      </c>
      <c r="L518" s="554">
        <f t="shared" si="116"/>
        <v>0</v>
      </c>
      <c r="M518" s="554">
        <f t="shared" si="117"/>
        <v>0</v>
      </c>
      <c r="N518" s="104"/>
    </row>
    <row r="519" spans="1:14" s="73" customFormat="1">
      <c r="A519" s="147"/>
      <c r="B519" s="188" t="s">
        <v>397</v>
      </c>
      <c r="C519" s="190" t="s">
        <v>23</v>
      </c>
      <c r="D519" s="188">
        <v>11102181001</v>
      </c>
      <c r="E519" s="553" t="str">
        <f>IFERROR(VLOOKUP(D519,'ВИС-2026'!$E$17:$H$2115,2,0),"")</f>
        <v>Распределительный коллектор HLV на 12 групп нерж. сталь</v>
      </c>
      <c r="F519" s="292" t="str">
        <f>IFERROR(VLOOKUP(D519,'ВИС-2026'!$E$17:$H$2115,4,0),"")</f>
        <v>шт</v>
      </c>
      <c r="G519" s="428"/>
      <c r="H519" s="554">
        <f>IFERROR(VLOOKUP(D519,'ВИС-2026'!$E$17:$K$2649,7,0),"")</f>
        <v>368.53</v>
      </c>
      <c r="I519" s="554">
        <f t="shared" si="113"/>
        <v>0</v>
      </c>
      <c r="J519" s="554">
        <f t="shared" si="114"/>
        <v>368.53</v>
      </c>
      <c r="K519" s="554">
        <f t="shared" si="115"/>
        <v>0</v>
      </c>
      <c r="L519" s="554">
        <f t="shared" si="116"/>
        <v>0</v>
      </c>
      <c r="M519" s="554">
        <f t="shared" si="117"/>
        <v>0</v>
      </c>
      <c r="N519" s="104"/>
    </row>
    <row r="520" spans="1:14" s="73" customFormat="1">
      <c r="A520" s="147"/>
      <c r="B520" s="188"/>
      <c r="C520" s="224"/>
      <c r="D520" s="188"/>
      <c r="E520" s="210"/>
      <c r="F520" s="292" t="str">
        <f>IFERROR(VLOOKUP(D520,'ВИС-2026'!$E$17:$H$2115,5,0),"")</f>
        <v/>
      </c>
      <c r="G520" s="428"/>
      <c r="H520" s="554" t="str">
        <f>IFERROR(VLOOKUP(D520,'ВИС-2026'!$E$17:$K$2649,8,0),"")</f>
        <v/>
      </c>
      <c r="I520" s="554" t="str">
        <f t="shared" si="113"/>
        <v/>
      </c>
      <c r="J520" s="554" t="str">
        <f t="shared" si="114"/>
        <v/>
      </c>
      <c r="K520" s="554" t="str">
        <f t="shared" si="115"/>
        <v/>
      </c>
      <c r="L520" s="554" t="str">
        <f t="shared" si="116"/>
        <v/>
      </c>
      <c r="M520" s="554" t="str">
        <f t="shared" si="117"/>
        <v/>
      </c>
      <c r="N520" s="104"/>
    </row>
    <row r="521" spans="1:14" s="73" customFormat="1">
      <c r="A521" s="147"/>
      <c r="B521" s="188" t="s">
        <v>30</v>
      </c>
      <c r="C521" s="190" t="s">
        <v>23</v>
      </c>
      <c r="D521" s="188">
        <v>12663523003</v>
      </c>
      <c r="E521" s="553" t="str">
        <f>IFERROR(VLOOKUP(D521,'ВИС-2026'!$E$17:$H$2115,2,0),"")</f>
        <v>Резьбозажимное соединение РЕХАУ FLEX/PINK 16х2,2xG3/4</v>
      </c>
      <c r="F521" s="292" t="str">
        <f>IFERROR(VLOOKUP(D521,'ВИС-2026'!$E$17:$H$2115,4,0),"")</f>
        <v>шт</v>
      </c>
      <c r="G521" s="428"/>
      <c r="H521" s="554">
        <f>IFERROR(VLOOKUP(D521,'ВИС-2026'!$E$17:$K$2649,7,0),"")</f>
        <v>9.09</v>
      </c>
      <c r="I521" s="554">
        <f t="shared" si="113"/>
        <v>0</v>
      </c>
      <c r="J521" s="554">
        <f t="shared" si="114"/>
        <v>9.09</v>
      </c>
      <c r="K521" s="554">
        <f t="shared" si="115"/>
        <v>0</v>
      </c>
      <c r="L521" s="554">
        <f t="shared" si="116"/>
        <v>0</v>
      </c>
      <c r="M521" s="554">
        <f t="shared" si="117"/>
        <v>0</v>
      </c>
      <c r="N521" s="104"/>
    </row>
    <row r="522" spans="1:14" s="73" customFormat="1">
      <c r="A522" s="147"/>
      <c r="B522" s="188" t="s">
        <v>30</v>
      </c>
      <c r="C522" s="190" t="s">
        <v>23</v>
      </c>
      <c r="D522" s="188">
        <v>12663623003</v>
      </c>
      <c r="E522" s="553" t="str">
        <f>IFERROR(VLOOKUP(D522,'ВИС-2026'!$E$17:$H$2115,2,0),"")</f>
        <v xml:space="preserve">Резьбозажимное соединение РЕХАУ FLEX/PINK 20х2,8xG3/4 </v>
      </c>
      <c r="F522" s="292" t="str">
        <f>IFERROR(VLOOKUP(D522,'ВИС-2026'!$E$17:$H$2115,4,0),"")</f>
        <v>шт</v>
      </c>
      <c r="G522" s="428"/>
      <c r="H522" s="554">
        <f>IFERROR(VLOOKUP(D522,'ВИС-2026'!$E$17:$K$2649,7,0),"")</f>
        <v>9.17</v>
      </c>
      <c r="I522" s="554">
        <f t="shared" si="113"/>
        <v>0</v>
      </c>
      <c r="J522" s="554">
        <f t="shared" si="114"/>
        <v>9.17</v>
      </c>
      <c r="K522" s="554">
        <f t="shared" si="115"/>
        <v>0</v>
      </c>
      <c r="L522" s="554">
        <f t="shared" si="116"/>
        <v>0</v>
      </c>
      <c r="M522" s="554">
        <f t="shared" si="117"/>
        <v>0</v>
      </c>
      <c r="N522" s="104"/>
    </row>
    <row r="523" spans="1:14" s="73" customFormat="1">
      <c r="A523" s="147"/>
      <c r="B523" s="188"/>
      <c r="C523" s="224"/>
      <c r="D523" s="188"/>
      <c r="E523" s="210"/>
      <c r="F523" s="292" t="str">
        <f>IFERROR(VLOOKUP(D523,'ВИС-2026'!$E$17:$H$2115,5,0),"")</f>
        <v/>
      </c>
      <c r="G523" s="428"/>
      <c r="H523" s="554" t="str">
        <f>IFERROR(VLOOKUP(D523,'ВИС-2026'!$E$17:$K$2649,8,0),"")</f>
        <v/>
      </c>
      <c r="I523" s="554" t="str">
        <f t="shared" si="113"/>
        <v/>
      </c>
      <c r="J523" s="554" t="str">
        <f t="shared" si="114"/>
        <v/>
      </c>
      <c r="K523" s="554" t="str">
        <f t="shared" si="115"/>
        <v/>
      </c>
      <c r="L523" s="554" t="str">
        <f t="shared" si="116"/>
        <v/>
      </c>
      <c r="M523" s="554" t="str">
        <f t="shared" si="117"/>
        <v/>
      </c>
      <c r="N523" s="104"/>
    </row>
    <row r="524" spans="1:14" s="73" customFormat="1">
      <c r="A524" s="147"/>
      <c r="B524" s="188" t="s">
        <v>30</v>
      </c>
      <c r="C524" s="190" t="s">
        <v>23</v>
      </c>
      <c r="D524" s="188">
        <v>12664523003</v>
      </c>
      <c r="E524" s="553" t="str">
        <f>IFERROR(VLOOKUP(D524,'ВИС-2026'!$E$17:$H$2115,2,0),"")</f>
        <v xml:space="preserve">Резьбозажимное соединение РЕХАУ STABIL 16,2x2,6xG3/4 </v>
      </c>
      <c r="F524" s="292" t="str">
        <f>IFERROR(VLOOKUP(D524,'ВИС-2026'!$E$17:$H$2115,4,0),"")</f>
        <v>шт</v>
      </c>
      <c r="G524" s="428"/>
      <c r="H524" s="554">
        <f>IFERROR(VLOOKUP(D524,'ВИС-2026'!$E$17:$K$2649,7,0),"")</f>
        <v>8.7100000000000009</v>
      </c>
      <c r="I524" s="554">
        <f t="shared" si="113"/>
        <v>0</v>
      </c>
      <c r="J524" s="554">
        <f t="shared" si="114"/>
        <v>8.7100000000000009</v>
      </c>
      <c r="K524" s="554">
        <f t="shared" si="115"/>
        <v>0</v>
      </c>
      <c r="L524" s="554">
        <f t="shared" si="116"/>
        <v>0</v>
      </c>
      <c r="M524" s="554">
        <f t="shared" si="117"/>
        <v>0</v>
      </c>
      <c r="N524" s="104"/>
    </row>
    <row r="525" spans="1:14" s="73" customFormat="1">
      <c r="A525" s="147"/>
      <c r="B525" s="188" t="s">
        <v>30</v>
      </c>
      <c r="C525" s="190" t="s">
        <v>23</v>
      </c>
      <c r="D525" s="188">
        <v>12664623003</v>
      </c>
      <c r="E525" s="553" t="str">
        <f>IFERROR(VLOOKUP(D525,'ВИС-2026'!$E$17:$H$2115,2,0),"")</f>
        <v xml:space="preserve">Резьбозажимное соединение РЕХАУ STABIL 20x2,9xG3/4 </v>
      </c>
      <c r="F525" s="292" t="str">
        <f>IFERROR(VLOOKUP(D525,'ВИС-2026'!$E$17:$H$2115,4,0),"")</f>
        <v>шт</v>
      </c>
      <c r="G525" s="428"/>
      <c r="H525" s="554">
        <f>IFERROR(VLOOKUP(D525,'ВИС-2026'!$E$17:$K$2649,7,0),"")</f>
        <v>8.8000000000000007</v>
      </c>
      <c r="I525" s="554">
        <f t="shared" si="113"/>
        <v>0</v>
      </c>
      <c r="J525" s="554">
        <f t="shared" si="114"/>
        <v>8.8000000000000007</v>
      </c>
      <c r="K525" s="554">
        <f t="shared" si="115"/>
        <v>0</v>
      </c>
      <c r="L525" s="554">
        <f t="shared" si="116"/>
        <v>0</v>
      </c>
      <c r="M525" s="554">
        <f t="shared" si="117"/>
        <v>0</v>
      </c>
      <c r="N525" s="104"/>
    </row>
    <row r="526" spans="1:14" s="73" customFormat="1">
      <c r="A526" s="147"/>
      <c r="B526" s="260"/>
      <c r="C526" s="215"/>
      <c r="D526" s="217"/>
      <c r="E526" s="218"/>
      <c r="F526" s="292" t="str">
        <f>IFERROR(VLOOKUP(D526,'ВИС-2026'!$E$17:$H$2115,5,0),"")</f>
        <v/>
      </c>
      <c r="G526" s="428"/>
      <c r="H526" s="554" t="str">
        <f>IFERROR(VLOOKUP(D526,'ВИС-2026'!$E$17:$K$2649,8,0),"")</f>
        <v/>
      </c>
      <c r="I526" s="554" t="str">
        <f t="shared" si="113"/>
        <v/>
      </c>
      <c r="J526" s="554" t="str">
        <f t="shared" si="114"/>
        <v/>
      </c>
      <c r="K526" s="554" t="str">
        <f t="shared" si="115"/>
        <v/>
      </c>
      <c r="L526" s="554" t="str">
        <f t="shared" si="116"/>
        <v/>
      </c>
      <c r="M526" s="554" t="str">
        <f t="shared" si="117"/>
        <v/>
      </c>
      <c r="N526" s="104"/>
    </row>
    <row r="527" spans="1:14" s="73" customFormat="1">
      <c r="A527" s="150"/>
      <c r="B527" s="240" t="s">
        <v>397</v>
      </c>
      <c r="C527" s="190" t="s">
        <v>23</v>
      </c>
      <c r="D527" s="188">
        <v>12081221001</v>
      </c>
      <c r="E527" s="553" t="str">
        <f>IFERROR(VLOOKUP(D527,'ВИС-2026'!$E$17:$H$2115,2,0),"")</f>
        <v xml:space="preserve">Комплект двух прямых никелирован. шаровых кранов G1" для коллекторов </v>
      </c>
      <c r="F527" s="292" t="str">
        <f>IFERROR(VLOOKUP(D527,'ВИС-2026'!$E$17:$H$2115,4,0),"")</f>
        <v>шт</v>
      </c>
      <c r="G527" s="428"/>
      <c r="H527" s="554">
        <f>IFERROR(VLOOKUP(D527,'ВИС-2026'!$E$17:$K$2649,7,0),"")</f>
        <v>66.010000000000005</v>
      </c>
      <c r="I527" s="554">
        <f t="shared" si="113"/>
        <v>0</v>
      </c>
      <c r="J527" s="554">
        <f t="shared" si="114"/>
        <v>66.010000000000005</v>
      </c>
      <c r="K527" s="554">
        <f t="shared" si="115"/>
        <v>0</v>
      </c>
      <c r="L527" s="554">
        <f t="shared" si="116"/>
        <v>0</v>
      </c>
      <c r="M527" s="554">
        <f t="shared" si="117"/>
        <v>0</v>
      </c>
      <c r="N527" s="104"/>
    </row>
    <row r="528" spans="1:14" s="73" customFormat="1">
      <c r="A528" s="147"/>
      <c r="B528" s="293"/>
      <c r="C528" s="215"/>
      <c r="D528" s="217"/>
      <c r="E528" s="295"/>
      <c r="F528" s="292" t="str">
        <f>IFERROR(VLOOKUP(D528,'ВИС-2026'!$E$17:$H$2115,5,0),"")</f>
        <v/>
      </c>
      <c r="G528" s="428"/>
      <c r="H528" s="554" t="str">
        <f>IFERROR(VLOOKUP(D528,'ВИС-2026'!$E$17:$K$2649,8,0),"")</f>
        <v/>
      </c>
      <c r="I528" s="554" t="str">
        <f t="shared" si="113"/>
        <v/>
      </c>
      <c r="J528" s="554" t="str">
        <f t="shared" si="114"/>
        <v/>
      </c>
      <c r="K528" s="554" t="str">
        <f t="shared" si="115"/>
        <v/>
      </c>
      <c r="L528" s="554" t="str">
        <f t="shared" si="116"/>
        <v/>
      </c>
      <c r="M528" s="554" t="str">
        <f t="shared" si="117"/>
        <v/>
      </c>
      <c r="N528" s="104"/>
    </row>
    <row r="529" spans="1:14" s="73" customFormat="1">
      <c r="A529" s="147"/>
      <c r="B529" s="296" t="s">
        <v>397</v>
      </c>
      <c r="C529" s="190" t="s">
        <v>23</v>
      </c>
      <c r="D529" s="188">
        <v>13454101001</v>
      </c>
      <c r="E529" s="553" t="str">
        <f>IFERROR(VLOOKUP(D529,'ВИС-2026'!$E$17:$H$2115,2,0),"")</f>
        <v>Шкаф коллекторный, встраиваемый, тип UP 110/550, белый</v>
      </c>
      <c r="F529" s="292" t="str">
        <f>IFERROR(VLOOKUP(D529,'ВИС-2026'!$E$17:$H$2115,4,0),"")</f>
        <v>шт</v>
      </c>
      <c r="G529" s="428"/>
      <c r="H529" s="554">
        <f>IFERROR(VLOOKUP(D529,'ВИС-2026'!$E$17:$K$2649,7,0),"")</f>
        <v>250.59</v>
      </c>
      <c r="I529" s="554">
        <f t="shared" si="113"/>
        <v>0</v>
      </c>
      <c r="J529" s="554">
        <f t="shared" si="114"/>
        <v>250.59</v>
      </c>
      <c r="K529" s="554">
        <f t="shared" si="115"/>
        <v>0</v>
      </c>
      <c r="L529" s="554">
        <f t="shared" si="116"/>
        <v>0</v>
      </c>
      <c r="M529" s="554">
        <f t="shared" si="117"/>
        <v>0</v>
      </c>
      <c r="N529" s="104"/>
    </row>
    <row r="530" spans="1:14" s="73" customFormat="1">
      <c r="A530" s="147"/>
      <c r="B530" s="296" t="s">
        <v>397</v>
      </c>
      <c r="C530" s="190" t="s">
        <v>23</v>
      </c>
      <c r="D530" s="188">
        <v>13454201001</v>
      </c>
      <c r="E530" s="553" t="str">
        <f>IFERROR(VLOOKUP(D530,'ВИС-2026'!$E$17:$H$2115,2,0),"")</f>
        <v>Шкаф коллекторный, встраиваемый, тип UP 110/750, белый</v>
      </c>
      <c r="F530" s="292" t="str">
        <f>IFERROR(VLOOKUP(D530,'ВИС-2026'!$E$17:$H$2115,4,0),"")</f>
        <v>шт</v>
      </c>
      <c r="G530" s="428"/>
      <c r="H530" s="554">
        <f>IFERROR(VLOOKUP(D530,'ВИС-2026'!$E$17:$K$2649,7,0),"")</f>
        <v>297.33999999999997</v>
      </c>
      <c r="I530" s="554">
        <f t="shared" si="113"/>
        <v>0</v>
      </c>
      <c r="J530" s="554">
        <f t="shared" si="114"/>
        <v>297.33999999999997</v>
      </c>
      <c r="K530" s="554">
        <f t="shared" si="115"/>
        <v>0</v>
      </c>
      <c r="L530" s="554">
        <f t="shared" si="116"/>
        <v>0</v>
      </c>
      <c r="M530" s="554">
        <f t="shared" si="117"/>
        <v>0</v>
      </c>
      <c r="N530" s="104"/>
    </row>
    <row r="531" spans="1:14" s="73" customFormat="1">
      <c r="A531" s="147"/>
      <c r="B531" s="296" t="s">
        <v>397</v>
      </c>
      <c r="C531" s="190" t="s">
        <v>23</v>
      </c>
      <c r="D531" s="188">
        <v>13454301001</v>
      </c>
      <c r="E531" s="553" t="str">
        <f>IFERROR(VLOOKUP(D531,'ВИС-2026'!$E$17:$H$2115,2,0),"")</f>
        <v>Шкаф коллекторный, встраиваемый, тип UP 110/950, белый</v>
      </c>
      <c r="F531" s="292" t="str">
        <f>IFERROR(VLOOKUP(D531,'ВИС-2026'!$E$17:$H$2115,4,0),"")</f>
        <v>шт</v>
      </c>
      <c r="G531" s="428"/>
      <c r="H531" s="554">
        <f>IFERROR(VLOOKUP(D531,'ВИС-2026'!$E$17:$K$2649,7,0),"")</f>
        <v>339.73</v>
      </c>
      <c r="I531" s="554">
        <f t="shared" si="113"/>
        <v>0</v>
      </c>
      <c r="J531" s="554">
        <f t="shared" si="114"/>
        <v>339.73</v>
      </c>
      <c r="K531" s="554">
        <f t="shared" si="115"/>
        <v>0</v>
      </c>
      <c r="L531" s="554">
        <f t="shared" si="116"/>
        <v>0</v>
      </c>
      <c r="M531" s="554">
        <f t="shared" si="117"/>
        <v>0</v>
      </c>
      <c r="N531" s="104"/>
    </row>
    <row r="532" spans="1:14" s="73" customFormat="1">
      <c r="A532" s="147"/>
      <c r="B532" s="296" t="s">
        <v>397</v>
      </c>
      <c r="C532" s="190" t="s">
        <v>23</v>
      </c>
      <c r="D532" s="188">
        <v>13454401001</v>
      </c>
      <c r="E532" s="553" t="str">
        <f>IFERROR(VLOOKUP(D532,'ВИС-2026'!$E$17:$H$2115,2,0),"")</f>
        <v>Шкаф коллекторный, встраиваемый, тип UP 110/1150, белый</v>
      </c>
      <c r="F532" s="292" t="str">
        <f>IFERROR(VLOOKUP(D532,'ВИС-2026'!$E$17:$H$2115,4,0),"")</f>
        <v>шт</v>
      </c>
      <c r="G532" s="428"/>
      <c r="H532" s="554">
        <f>IFERROR(VLOOKUP(D532,'ВИС-2026'!$E$17:$K$2649,7,0),"")</f>
        <v>399.04</v>
      </c>
      <c r="I532" s="554">
        <f t="shared" si="113"/>
        <v>0</v>
      </c>
      <c r="J532" s="554">
        <f t="shared" si="114"/>
        <v>399.04</v>
      </c>
      <c r="K532" s="554">
        <f t="shared" si="115"/>
        <v>0</v>
      </c>
      <c r="L532" s="554">
        <f t="shared" si="116"/>
        <v>0</v>
      </c>
      <c r="M532" s="554">
        <f t="shared" si="117"/>
        <v>0</v>
      </c>
      <c r="N532" s="104"/>
    </row>
    <row r="533" spans="1:14" s="73" customFormat="1">
      <c r="A533" s="147"/>
      <c r="B533" s="296" t="s">
        <v>397</v>
      </c>
      <c r="C533" s="190" t="s">
        <v>23</v>
      </c>
      <c r="D533" s="188">
        <v>13454501001</v>
      </c>
      <c r="E533" s="553" t="str">
        <f>IFERROR(VLOOKUP(D533,'ВИС-2026'!$E$17:$H$2115,2,0),"")</f>
        <v>Шкаф коллекторный, встраиваемый, тип UP 110/1300, белый</v>
      </c>
      <c r="F533" s="292" t="str">
        <f>IFERROR(VLOOKUP(D533,'ВИС-2026'!$E$17:$H$2115,4,0),"")</f>
        <v>шт</v>
      </c>
      <c r="G533" s="428"/>
      <c r="H533" s="554">
        <f>IFERROR(VLOOKUP(D533,'ВИС-2026'!$E$17:$K$2649,7,0),"")</f>
        <v>439.29</v>
      </c>
      <c r="I533" s="554">
        <f t="shared" si="113"/>
        <v>0</v>
      </c>
      <c r="J533" s="554">
        <f t="shared" si="114"/>
        <v>439.29</v>
      </c>
      <c r="K533" s="554">
        <f t="shared" si="115"/>
        <v>0</v>
      </c>
      <c r="L533" s="554">
        <f t="shared" si="116"/>
        <v>0</v>
      </c>
      <c r="M533" s="554">
        <f t="shared" si="117"/>
        <v>0</v>
      </c>
      <c r="N533" s="104"/>
    </row>
    <row r="534" spans="1:14" s="73" customFormat="1">
      <c r="A534" s="147"/>
      <c r="B534" s="296"/>
      <c r="C534" s="224"/>
      <c r="D534" s="188"/>
      <c r="E534" s="258"/>
      <c r="F534" s="558" t="str">
        <f>IFERROR(VLOOKUP(D534,'ВИС-2026'!$E$17:$H$2115,5,0),"")</f>
        <v/>
      </c>
      <c r="G534" s="428"/>
      <c r="H534" s="559" t="str">
        <f>IFERROR(VLOOKUP(D534,'ВИС-2026'!$E$17:$K$2649,8,0),"")</f>
        <v/>
      </c>
      <c r="I534" s="559" t="str">
        <f t="shared" si="113"/>
        <v/>
      </c>
      <c r="J534" s="559" t="str">
        <f t="shared" si="114"/>
        <v/>
      </c>
      <c r="K534" s="559" t="str">
        <f t="shared" si="115"/>
        <v/>
      </c>
      <c r="L534" s="559" t="str">
        <f t="shared" si="116"/>
        <v/>
      </c>
      <c r="M534" s="559" t="str">
        <f t="shared" si="117"/>
        <v/>
      </c>
      <c r="N534" s="104"/>
    </row>
    <row r="535" spans="1:14" s="73" customFormat="1">
      <c r="A535" s="147"/>
      <c r="B535" s="296" t="s">
        <v>397</v>
      </c>
      <c r="C535" s="190" t="s">
        <v>23</v>
      </c>
      <c r="D535" s="188">
        <v>13474101001</v>
      </c>
      <c r="E535" s="553" t="str">
        <f>IFERROR(VLOOKUP(D535,'ВИС-2026'!$E$17:$H$2115,2,0),"")</f>
        <v xml:space="preserve">Шкаф коллекторный, приставной, тип AP 130/605, белый </v>
      </c>
      <c r="F535" s="292" t="str">
        <f>IFERROR(VLOOKUP(D535,'ВИС-2026'!$E$17:$H$2115,4,0),"")</f>
        <v>шт</v>
      </c>
      <c r="G535" s="428"/>
      <c r="H535" s="554">
        <f>IFERROR(VLOOKUP(D535,'ВИС-2026'!$E$17:$K$2649,7,0),"")</f>
        <v>225.82</v>
      </c>
      <c r="I535" s="554">
        <f t="shared" si="113"/>
        <v>0</v>
      </c>
      <c r="J535" s="554">
        <f t="shared" si="114"/>
        <v>225.82</v>
      </c>
      <c r="K535" s="554">
        <f t="shared" si="115"/>
        <v>0</v>
      </c>
      <c r="L535" s="554">
        <f t="shared" si="116"/>
        <v>0</v>
      </c>
      <c r="M535" s="554">
        <f t="shared" si="117"/>
        <v>0</v>
      </c>
      <c r="N535" s="104"/>
    </row>
    <row r="536" spans="1:14" s="73" customFormat="1">
      <c r="A536" s="147"/>
      <c r="B536" s="296" t="s">
        <v>397</v>
      </c>
      <c r="C536" s="190" t="s">
        <v>23</v>
      </c>
      <c r="D536" s="188">
        <v>13474501001</v>
      </c>
      <c r="E536" s="553" t="str">
        <f>IFERROR(VLOOKUP(D536,'ВИС-2026'!$E$17:$H$2115,2,0),"")</f>
        <v>Шкаф коллекторный, приставной, тип AP 130/1353, белый</v>
      </c>
      <c r="F536" s="292" t="str">
        <f>IFERROR(VLOOKUP(D536,'ВИС-2026'!$E$17:$H$2115,4,0),"")</f>
        <v>шт</v>
      </c>
      <c r="G536" s="428"/>
      <c r="H536" s="554">
        <f>IFERROR(VLOOKUP(D536,'ВИС-2026'!$E$17:$K$2649,7,0),"")</f>
        <v>377.85</v>
      </c>
      <c r="I536" s="554">
        <f t="shared" si="113"/>
        <v>0</v>
      </c>
      <c r="J536" s="554">
        <f t="shared" si="114"/>
        <v>377.85</v>
      </c>
      <c r="K536" s="554">
        <f t="shared" si="115"/>
        <v>0</v>
      </c>
      <c r="L536" s="554">
        <f t="shared" si="116"/>
        <v>0</v>
      </c>
      <c r="M536" s="554">
        <f t="shared" si="117"/>
        <v>0</v>
      </c>
      <c r="N536" s="104"/>
    </row>
    <row r="537" spans="1:14" s="73" customFormat="1">
      <c r="A537" s="147"/>
      <c r="B537" s="296"/>
      <c r="C537" s="224"/>
      <c r="D537" s="188"/>
      <c r="E537" s="258"/>
      <c r="F537" s="292" t="str">
        <f>IFERROR(VLOOKUP(D537,'ВИС-2026'!$E$17:$H$2115,5,0),"")</f>
        <v/>
      </c>
      <c r="G537" s="428"/>
      <c r="H537" s="554" t="str">
        <f>IFERROR(VLOOKUP(D537,'ВИС-2026'!$E$17:$K$2649,8,0),"")</f>
        <v/>
      </c>
      <c r="I537" s="554" t="str">
        <f t="shared" si="113"/>
        <v/>
      </c>
      <c r="J537" s="554" t="str">
        <f t="shared" si="114"/>
        <v/>
      </c>
      <c r="K537" s="554" t="str">
        <f t="shared" si="115"/>
        <v/>
      </c>
      <c r="L537" s="554" t="str">
        <f t="shared" si="116"/>
        <v/>
      </c>
      <c r="M537" s="554" t="str">
        <f t="shared" si="117"/>
        <v/>
      </c>
      <c r="N537" s="104"/>
    </row>
    <row r="538" spans="1:14" s="73" customFormat="1">
      <c r="A538" s="147"/>
      <c r="B538" s="296" t="s">
        <v>397</v>
      </c>
      <c r="C538" s="190" t="s">
        <v>23</v>
      </c>
      <c r="D538" s="188">
        <v>13464101001</v>
      </c>
      <c r="E538" s="553" t="str">
        <f>IFERROR(VLOOKUP(D538,'ВИС-2026'!$E$17:$H$2115,2,0),"")</f>
        <v>Шкаф коллекторный, встраиваемый, тип UP 75/550 , белый</v>
      </c>
      <c r="F538" s="292" t="str">
        <f>IFERROR(VLOOKUP(D538,'ВИС-2026'!$E$17:$H$2115,4,0),"")</f>
        <v>шт</v>
      </c>
      <c r="G538" s="428"/>
      <c r="H538" s="554">
        <f>IFERROR(VLOOKUP(D538,'ВИС-2026'!$E$17:$K$2649,7,0),"")</f>
        <v>254.48</v>
      </c>
      <c r="I538" s="554">
        <f t="shared" si="113"/>
        <v>0</v>
      </c>
      <c r="J538" s="554">
        <f t="shared" si="114"/>
        <v>254.48</v>
      </c>
      <c r="K538" s="554">
        <f t="shared" si="115"/>
        <v>0</v>
      </c>
      <c r="L538" s="554">
        <f t="shared" si="116"/>
        <v>0</v>
      </c>
      <c r="M538" s="554">
        <f t="shared" si="117"/>
        <v>0</v>
      </c>
      <c r="N538" s="104"/>
    </row>
    <row r="539" spans="1:14" s="73" customFormat="1">
      <c r="A539" s="147"/>
      <c r="B539" s="296" t="s">
        <v>397</v>
      </c>
      <c r="C539" s="190" t="s">
        <v>23</v>
      </c>
      <c r="D539" s="188">
        <v>13464201001</v>
      </c>
      <c r="E539" s="553" t="str">
        <f>IFERROR(VLOOKUP(D539,'ВИС-2026'!$E$17:$H$2115,2,0),"")</f>
        <v>Шкаф коллекторный, встраиваемый, тип UP 75/750, белый</v>
      </c>
      <c r="F539" s="292" t="str">
        <f>IFERROR(VLOOKUP(D539,'ВИС-2026'!$E$17:$H$2115,4,0),"")</f>
        <v>шт</v>
      </c>
      <c r="G539" s="428"/>
      <c r="H539" s="554">
        <f>IFERROR(VLOOKUP(D539,'ВИС-2026'!$E$17:$K$2649,7,0),"")</f>
        <v>305.56</v>
      </c>
      <c r="I539" s="554">
        <f t="shared" si="113"/>
        <v>0</v>
      </c>
      <c r="J539" s="554">
        <f t="shared" si="114"/>
        <v>305.56</v>
      </c>
      <c r="K539" s="554">
        <f t="shared" si="115"/>
        <v>0</v>
      </c>
      <c r="L539" s="554">
        <f t="shared" si="116"/>
        <v>0</v>
      </c>
      <c r="M539" s="554">
        <f t="shared" si="117"/>
        <v>0</v>
      </c>
      <c r="N539" s="104"/>
    </row>
    <row r="540" spans="1:14" s="73" customFormat="1">
      <c r="A540" s="147"/>
      <c r="B540" s="296" t="s">
        <v>397</v>
      </c>
      <c r="C540" s="190" t="s">
        <v>23</v>
      </c>
      <c r="D540" s="188">
        <v>13464301001</v>
      </c>
      <c r="E540" s="553" t="str">
        <f>IFERROR(VLOOKUP(D540,'ВИС-2026'!$E$17:$H$2115,2,0),"")</f>
        <v>Шкаф коллекторный, встраиваемый, тип UP 75/950, белый</v>
      </c>
      <c r="F540" s="292" t="str">
        <f>IFERROR(VLOOKUP(D540,'ВИС-2026'!$E$17:$H$2115,4,0),"")</f>
        <v>шт</v>
      </c>
      <c r="G540" s="428"/>
      <c r="H540" s="554">
        <f>IFERROR(VLOOKUP(D540,'ВИС-2026'!$E$17:$K$2649,7,0),"")</f>
        <v>345.38</v>
      </c>
      <c r="I540" s="554">
        <f t="shared" si="113"/>
        <v>0</v>
      </c>
      <c r="J540" s="554">
        <f t="shared" si="114"/>
        <v>345.38</v>
      </c>
      <c r="K540" s="554">
        <f t="shared" si="115"/>
        <v>0</v>
      </c>
      <c r="L540" s="554">
        <f t="shared" si="116"/>
        <v>0</v>
      </c>
      <c r="M540" s="554">
        <f t="shared" si="117"/>
        <v>0</v>
      </c>
      <c r="N540" s="104"/>
    </row>
    <row r="541" spans="1:14" s="73" customFormat="1">
      <c r="A541" s="150"/>
      <c r="B541" s="240" t="s">
        <v>397</v>
      </c>
      <c r="C541" s="190" t="s">
        <v>23</v>
      </c>
      <c r="D541" s="188">
        <v>13464401001</v>
      </c>
      <c r="E541" s="553" t="str">
        <f>IFERROR(VLOOKUP(D541,'ВИС-2026'!$E$17:$H$2115,2,0),"")</f>
        <v>Шкаф коллекторный, встраиваемый, тип UP 75/1150, белый</v>
      </c>
      <c r="F541" s="292" t="str">
        <f>IFERROR(VLOOKUP(D541,'ВИС-2026'!$E$17:$H$2115,4,0),"")</f>
        <v>шт</v>
      </c>
      <c r="G541" s="428"/>
      <c r="H541" s="554">
        <f>IFERROR(VLOOKUP(D541,'ВИС-2026'!$E$17:$K$2649,7,0),"")</f>
        <v>402.06</v>
      </c>
      <c r="I541" s="554">
        <f t="shared" si="113"/>
        <v>0</v>
      </c>
      <c r="J541" s="554">
        <f t="shared" si="114"/>
        <v>402.06</v>
      </c>
      <c r="K541" s="554">
        <f t="shared" si="115"/>
        <v>0</v>
      </c>
      <c r="L541" s="554">
        <f t="shared" si="116"/>
        <v>0</v>
      </c>
      <c r="M541" s="554">
        <f t="shared" si="117"/>
        <v>0</v>
      </c>
      <c r="N541" s="104"/>
    </row>
    <row r="542" spans="1:14" s="73" customFormat="1">
      <c r="A542" s="147"/>
      <c r="B542" s="296"/>
      <c r="C542" s="224"/>
      <c r="D542" s="188"/>
      <c r="E542" s="258"/>
      <c r="F542" s="292" t="str">
        <f>IFERROR(VLOOKUP(D542,'ВИС-2026'!$E$17:$H$2115,5,0),"")</f>
        <v/>
      </c>
      <c r="G542" s="428"/>
      <c r="H542" s="554" t="str">
        <f>IFERROR(VLOOKUP(D542,'ВИС-2026'!$E$17:$K$2649,8,0),"")</f>
        <v/>
      </c>
      <c r="I542" s="554" t="str">
        <f t="shared" si="113"/>
        <v/>
      </c>
      <c r="J542" s="554" t="str">
        <f t="shared" si="114"/>
        <v/>
      </c>
      <c r="K542" s="554" t="str">
        <f t="shared" si="115"/>
        <v/>
      </c>
      <c r="L542" s="554" t="str">
        <f t="shared" si="116"/>
        <v/>
      </c>
      <c r="M542" s="554" t="str">
        <f t="shared" si="117"/>
        <v/>
      </c>
      <c r="N542" s="104"/>
    </row>
    <row r="543" spans="1:14" s="73" customFormat="1">
      <c r="A543" s="147"/>
      <c r="B543" s="296" t="s">
        <v>397</v>
      </c>
      <c r="C543" s="190" t="s">
        <v>23</v>
      </c>
      <c r="D543" s="188">
        <v>12573781002</v>
      </c>
      <c r="E543" s="553" t="str">
        <f>IFERROR(VLOOKUP(D543,'ВИС-2026'!$E$17:$H$2115,2,0),"")</f>
        <v>Крюк с дюбелем для 1 трубы</v>
      </c>
      <c r="F543" s="292" t="str">
        <f>IFERROR(VLOOKUP(D543,'ВИС-2026'!$E$17:$H$2115,4,0),"")</f>
        <v>шт</v>
      </c>
      <c r="G543" s="428"/>
      <c r="H543" s="554">
        <f>IFERROR(VLOOKUP(D543,'ВИС-2026'!$E$17:$K$2649,7,0),"")</f>
        <v>0.67</v>
      </c>
      <c r="I543" s="554">
        <f t="shared" si="113"/>
        <v>0</v>
      </c>
      <c r="J543" s="554">
        <f t="shared" si="114"/>
        <v>0.67</v>
      </c>
      <c r="K543" s="554">
        <f t="shared" si="115"/>
        <v>0</v>
      </c>
      <c r="L543" s="554">
        <f t="shared" si="116"/>
        <v>0</v>
      </c>
      <c r="M543" s="554">
        <f t="shared" si="117"/>
        <v>0</v>
      </c>
      <c r="N543" s="104"/>
    </row>
    <row r="544" spans="1:14" s="73" customFormat="1">
      <c r="A544" s="147"/>
      <c r="B544" s="296" t="s">
        <v>30</v>
      </c>
      <c r="C544" s="190" t="s">
        <v>23</v>
      </c>
      <c r="D544" s="188">
        <v>12573883002</v>
      </c>
      <c r="E544" s="553" t="str">
        <f>IFERROR(VLOOKUP(D544,'ВИС-2026'!$E$17:$H$2115,2,0),"")</f>
        <v>Двойной крюк РЕХАУ с дюбелем для 2-х труб</v>
      </c>
      <c r="F544" s="292" t="str">
        <f>IFERROR(VLOOKUP(D544,'ВИС-2026'!$E$17:$H$2115,4,0),"")</f>
        <v>шт</v>
      </c>
      <c r="G544" s="428"/>
      <c r="H544" s="554">
        <f>IFERROR(VLOOKUP(D544,'ВИС-2026'!$E$17:$K$2649,7,0),"")</f>
        <v>1.1100000000000001</v>
      </c>
      <c r="I544" s="554">
        <f t="shared" si="113"/>
        <v>0</v>
      </c>
      <c r="J544" s="554">
        <f t="shared" si="114"/>
        <v>1.1100000000000001</v>
      </c>
      <c r="K544" s="554">
        <f t="shared" si="115"/>
        <v>0</v>
      </c>
      <c r="L544" s="554">
        <f t="shared" si="116"/>
        <v>0</v>
      </c>
      <c r="M544" s="554">
        <f t="shared" si="117"/>
        <v>0</v>
      </c>
      <c r="N544" s="104"/>
    </row>
    <row r="545" spans="1:14" s="73" customFormat="1">
      <c r="A545" s="147"/>
      <c r="B545" s="296" t="s">
        <v>30</v>
      </c>
      <c r="C545" s="190" t="s">
        <v>23</v>
      </c>
      <c r="D545" s="188">
        <v>12657093001</v>
      </c>
      <c r="E545" s="553" t="str">
        <f>IFERROR(VLOOKUP(D545,'ВИС-2026'!$E$17:$H$2115,2,0),"")</f>
        <v>Двойной крюк РЕХАУ с дюбелем для 2-х труб в изоляции</v>
      </c>
      <c r="F545" s="292" t="str">
        <f>IFERROR(VLOOKUP(D545,'ВИС-2026'!$E$17:$H$2115,4,0),"")</f>
        <v>шт</v>
      </c>
      <c r="G545" s="428"/>
      <c r="H545" s="554">
        <f>IFERROR(VLOOKUP(D545,'ВИС-2026'!$E$17:$K$2649,7,0),"")</f>
        <v>1.1100000000000001</v>
      </c>
      <c r="I545" s="554">
        <f t="shared" si="113"/>
        <v>0</v>
      </c>
      <c r="J545" s="554">
        <f t="shared" si="114"/>
        <v>1.1100000000000001</v>
      </c>
      <c r="K545" s="554">
        <f t="shared" si="115"/>
        <v>0</v>
      </c>
      <c r="L545" s="554">
        <f t="shared" si="116"/>
        <v>0</v>
      </c>
      <c r="M545" s="554">
        <f t="shared" si="117"/>
        <v>0</v>
      </c>
      <c r="N545" s="104"/>
    </row>
    <row r="546" spans="1:14" s="73" customFormat="1">
      <c r="A546" s="36"/>
      <c r="B546" s="296"/>
      <c r="C546" s="190"/>
      <c r="D546" s="188"/>
      <c r="E546" s="210"/>
      <c r="F546" s="292" t="str">
        <f>IFERROR(VLOOKUP(D546,'ВИС-2026'!$E$17:$H$2115,5,0),"")</f>
        <v/>
      </c>
      <c r="G546" s="428"/>
      <c r="H546" s="554" t="str">
        <f>IFERROR(VLOOKUP(D546,'ВИС-2026'!$E$17:$K$2649,8,0),"")</f>
        <v/>
      </c>
      <c r="I546" s="554" t="str">
        <f t="shared" si="113"/>
        <v/>
      </c>
      <c r="J546" s="554" t="str">
        <f t="shared" si="114"/>
        <v/>
      </c>
      <c r="K546" s="554" t="str">
        <f t="shared" si="115"/>
        <v/>
      </c>
      <c r="L546" s="554" t="str">
        <f t="shared" si="116"/>
        <v/>
      </c>
      <c r="M546" s="554" t="str">
        <f t="shared" si="117"/>
        <v/>
      </c>
      <c r="N546" s="104"/>
    </row>
    <row r="547" spans="1:14" s="73" customFormat="1" ht="26.45">
      <c r="A547" s="147"/>
      <c r="B547" s="260" t="s">
        <v>30</v>
      </c>
      <c r="C547" s="190" t="s">
        <v>23</v>
      </c>
      <c r="D547" s="188">
        <v>12658793001</v>
      </c>
      <c r="E547" s="553" t="str">
        <f>IFERROR(VLOOKUP(D547,'ВИС-2026'!$E$17:$H$2115,2,0),"")</f>
        <v>Комплект пластм. отводов РЕХАУ для подкл. отоп. прибора труб FLEX/PINK/STABIL</v>
      </c>
      <c r="F547" s="292" t="str">
        <f>IFERROR(VLOOKUP(D547,'ВИС-2026'!$E$17:$H$2115,4,0),"")</f>
        <v>шт</v>
      </c>
      <c r="G547" s="428"/>
      <c r="H547" s="554">
        <f>IFERROR(VLOOKUP(D547,'ВИС-2026'!$E$17:$K$2649,7,0),"")</f>
        <v>14.4</v>
      </c>
      <c r="I547" s="554">
        <f t="shared" si="113"/>
        <v>0</v>
      </c>
      <c r="J547" s="554">
        <f t="shared" si="114"/>
        <v>14.4</v>
      </c>
      <c r="K547" s="554">
        <f t="shared" si="115"/>
        <v>0</v>
      </c>
      <c r="L547" s="554">
        <f t="shared" si="116"/>
        <v>0</v>
      </c>
      <c r="M547" s="554">
        <f t="shared" si="117"/>
        <v>0</v>
      </c>
      <c r="N547" s="104"/>
    </row>
    <row r="548" spans="1:14" s="73" customFormat="1">
      <c r="A548" s="147"/>
      <c r="B548" s="260"/>
      <c r="C548" s="190"/>
      <c r="D548" s="188"/>
      <c r="E548" s="176"/>
      <c r="F548" s="292"/>
      <c r="G548" s="428"/>
      <c r="H548" s="554"/>
      <c r="I548" s="554"/>
      <c r="J548" s="554"/>
      <c r="K548" s="554"/>
      <c r="L548" s="554"/>
      <c r="M548" s="554"/>
      <c r="N548" s="104"/>
    </row>
    <row r="549" spans="1:14" s="73" customFormat="1">
      <c r="A549" s="147"/>
      <c r="B549" s="299"/>
      <c r="C549" s="232"/>
      <c r="D549" s="233"/>
      <c r="E549" s="201" t="s">
        <v>458</v>
      </c>
      <c r="F549" s="555"/>
      <c r="G549" s="556"/>
      <c r="H549" s="560"/>
      <c r="I549" s="560"/>
      <c r="J549" s="560"/>
      <c r="K549" s="560"/>
      <c r="L549" s="560"/>
      <c r="M549" s="560"/>
      <c r="N549" s="104"/>
    </row>
    <row r="550" spans="1:14" s="73" customFormat="1">
      <c r="A550" s="147"/>
      <c r="B550" s="299"/>
      <c r="C550" s="232" t="s">
        <v>459</v>
      </c>
      <c r="D550" s="233"/>
      <c r="E550" s="201" t="s">
        <v>460</v>
      </c>
      <c r="F550" s="555"/>
      <c r="G550" s="556"/>
      <c r="H550" s="560"/>
      <c r="I550" s="560"/>
      <c r="J550" s="560"/>
      <c r="K550" s="560"/>
      <c r="L550" s="560"/>
      <c r="M550" s="560"/>
      <c r="N550" s="104"/>
    </row>
    <row r="551" spans="1:14" s="73" customFormat="1">
      <c r="A551" s="147"/>
      <c r="B551" s="311" t="s">
        <v>30</v>
      </c>
      <c r="C551" s="277" t="s">
        <v>459</v>
      </c>
      <c r="D551" s="313">
        <v>19101011001</v>
      </c>
      <c r="E551" s="553" t="str">
        <f>IFERROR(VLOOKUP(D551,'ВИС-2026'!$E$17:$H$2115,2,0),"")</f>
        <v>Инсталляция РЕХАУ NOVAFLOW для подвесных унитазов</v>
      </c>
      <c r="F551" s="292" t="str">
        <f>IFERROR(VLOOKUP(D551,'ВИС-2026'!$E$17:$H$2115,4,0),"")</f>
        <v>шт</v>
      </c>
      <c r="G551" s="428"/>
      <c r="H551" s="554">
        <f>IFERROR(VLOOKUP(D551,'ВИС-2026'!$E$17:$K$2649,7,0),"")</f>
        <v>304.16000000000003</v>
      </c>
      <c r="I551" s="554">
        <f t="shared" ref="I551" si="118">IFERROR(H551*G551,"")</f>
        <v>0</v>
      </c>
      <c r="J551" s="554">
        <f t="shared" ref="J551" si="119">IFERROR((IF(H551="","",H551-H551*$D$7)),"")</f>
        <v>304.16000000000003</v>
      </c>
      <c r="K551" s="554">
        <f t="shared" ref="K551" si="120">IFERROR(J551*G551, "")</f>
        <v>0</v>
      </c>
      <c r="L551" s="554">
        <f t="shared" ref="L551" si="121">IFERROR(J551*$D$8, "")</f>
        <v>0</v>
      </c>
      <c r="M551" s="554">
        <f t="shared" ref="M551" si="122">IFERROR(L551*G551, "")</f>
        <v>0</v>
      </c>
      <c r="N551" s="104"/>
    </row>
    <row r="552" spans="1:14" s="73" customFormat="1">
      <c r="A552" s="147"/>
      <c r="B552" s="311"/>
      <c r="C552" s="277"/>
      <c r="D552" s="313"/>
      <c r="E552" s="176"/>
      <c r="F552" s="292"/>
      <c r="G552" s="428"/>
      <c r="H552" s="554"/>
      <c r="I552" s="554"/>
      <c r="J552" s="554"/>
      <c r="K552" s="554"/>
      <c r="L552" s="554"/>
      <c r="M552" s="554"/>
      <c r="N552" s="104"/>
    </row>
    <row r="553" spans="1:14" s="73" customFormat="1">
      <c r="A553" s="147"/>
      <c r="B553" s="299"/>
      <c r="C553" s="232" t="s">
        <v>459</v>
      </c>
      <c r="D553" s="233"/>
      <c r="E553" s="201" t="s">
        <v>462</v>
      </c>
      <c r="F553" s="555"/>
      <c r="G553" s="556"/>
      <c r="H553" s="560"/>
      <c r="I553" s="560"/>
      <c r="J553" s="560"/>
      <c r="K553" s="560"/>
      <c r="L553" s="560"/>
      <c r="M553" s="560"/>
      <c r="N553" s="104"/>
    </row>
    <row r="554" spans="1:14" s="73" customFormat="1" ht="26.45">
      <c r="A554" s="147"/>
      <c r="B554" s="311" t="s">
        <v>30</v>
      </c>
      <c r="C554" s="277" t="s">
        <v>459</v>
      </c>
      <c r="D554" s="313">
        <v>19101021001</v>
      </c>
      <c r="E554" s="553" t="str">
        <f>IFERROR(VLOOKUP(D554,'ВИС-2026'!$E$17:$H$2115,2,0),"")</f>
        <v>Комплект инсталляции РЕХАУ NOVAFLOW с панелью смыва NOVA QUAD 001 с прямоугольными клавишами, пластик, белый, глянцевый</v>
      </c>
      <c r="F554" s="292" t="str">
        <f>IFERROR(VLOOKUP(D554,'ВИС-2026'!$E$17:$H$2115,4,0),"")</f>
        <v>шт</v>
      </c>
      <c r="G554" s="428"/>
      <c r="H554" s="554">
        <f>IFERROR(VLOOKUP(D554,'ВИС-2026'!$E$17:$K$2649,7,0),"")</f>
        <v>322.83999999999997</v>
      </c>
      <c r="I554" s="554">
        <f t="shared" ref="I554" si="123">IFERROR(H554*G554,"")</f>
        <v>0</v>
      </c>
      <c r="J554" s="554">
        <f t="shared" ref="J554" si="124">IFERROR((IF(H554="","",H554-H554*$D$7)),"")</f>
        <v>322.83999999999997</v>
      </c>
      <c r="K554" s="554">
        <f t="shared" ref="K554" si="125">IFERROR(J554*G554, "")</f>
        <v>0</v>
      </c>
      <c r="L554" s="554">
        <f t="shared" ref="L554" si="126">IFERROR(J554*$D$8, "")</f>
        <v>0</v>
      </c>
      <c r="M554" s="554">
        <f t="shared" ref="M554" si="127">IFERROR(L554*G554, "")</f>
        <v>0</v>
      </c>
      <c r="N554" s="104"/>
    </row>
    <row r="555" spans="1:14" s="73" customFormat="1" ht="26.45">
      <c r="A555" s="147"/>
      <c r="B555" s="311" t="s">
        <v>30</v>
      </c>
      <c r="C555" s="277" t="s">
        <v>459</v>
      </c>
      <c r="D555" s="313">
        <v>19101031001</v>
      </c>
      <c r="E555" s="553" t="str">
        <f>IFERROR(VLOOKUP(D555,'ВИС-2026'!$E$17:$H$2115,2,0),"")</f>
        <v>Комплект инсталляции РЕХАУ NOVAFLOW с панелью смыва NOVA QUAD 001 с прямоугольными клавишами, пластик, хром, глянцевый</v>
      </c>
      <c r="F555" s="292" t="str">
        <f>IFERROR(VLOOKUP(D555,'ВИС-2026'!$E$17:$H$2115,4,0),"")</f>
        <v>шт</v>
      </c>
      <c r="G555" s="428"/>
      <c r="H555" s="554">
        <f>IFERROR(VLOOKUP(D555,'ВИС-2026'!$E$17:$K$2649,7,0),"")</f>
        <v>357.52</v>
      </c>
      <c r="I555" s="554">
        <f t="shared" ref="I555:I562" si="128">IFERROR(H555*G555,"")</f>
        <v>0</v>
      </c>
      <c r="J555" s="554">
        <f t="shared" ref="J555:J562" si="129">IFERROR((IF(H555="","",H555-H555*$D$7)),"")</f>
        <v>357.52</v>
      </c>
      <c r="K555" s="554">
        <f t="shared" ref="K555:K562" si="130">IFERROR(J555*G555, "")</f>
        <v>0</v>
      </c>
      <c r="L555" s="554">
        <f t="shared" ref="L555:L562" si="131">IFERROR(J555*$D$8, "")</f>
        <v>0</v>
      </c>
      <c r="M555" s="554">
        <f t="shared" ref="M555:M562" si="132">IFERROR(L555*G555, "")</f>
        <v>0</v>
      </c>
      <c r="N555" s="104"/>
    </row>
    <row r="556" spans="1:14" s="73" customFormat="1" ht="26.45">
      <c r="A556" s="147"/>
      <c r="B556" s="311" t="s">
        <v>30</v>
      </c>
      <c r="C556" s="277" t="s">
        <v>459</v>
      </c>
      <c r="D556" s="313">
        <v>19101041001</v>
      </c>
      <c r="E556" s="553" t="str">
        <f>IFERROR(VLOOKUP(D556,'ВИС-2026'!$E$17:$H$2115,2,0),"")</f>
        <v>Комплект инсталляции РЕХАУ NOVAFLOW с панелью смыва NOVA QUAD 001 с прямоугольными клавишами, пластик, черный, матовый</v>
      </c>
      <c r="F556" s="292" t="str">
        <f>IFERROR(VLOOKUP(D556,'ВИС-2026'!$E$17:$H$2115,4,0),"")</f>
        <v>шт</v>
      </c>
      <c r="G556" s="428"/>
      <c r="H556" s="554">
        <f>IFERROR(VLOOKUP(D556,'ВИС-2026'!$E$17:$K$2649,7,0),"")</f>
        <v>353.52</v>
      </c>
      <c r="I556" s="554">
        <f t="shared" si="128"/>
        <v>0</v>
      </c>
      <c r="J556" s="554">
        <f t="shared" si="129"/>
        <v>353.52</v>
      </c>
      <c r="K556" s="554">
        <f t="shared" si="130"/>
        <v>0</v>
      </c>
      <c r="L556" s="554">
        <f t="shared" si="131"/>
        <v>0</v>
      </c>
      <c r="M556" s="554">
        <f t="shared" si="132"/>
        <v>0</v>
      </c>
      <c r="N556" s="104"/>
    </row>
    <row r="557" spans="1:14" s="73" customFormat="1" ht="26.45">
      <c r="A557" s="147"/>
      <c r="B557" s="311" t="s">
        <v>30</v>
      </c>
      <c r="C557" s="277" t="s">
        <v>459</v>
      </c>
      <c r="D557" s="313">
        <v>19101051001</v>
      </c>
      <c r="E557" s="553" t="str">
        <f>IFERROR(VLOOKUP(D557,'ВИС-2026'!$E$17:$H$2115,2,0),"")</f>
        <v>Комплект инсталляции РЕХАУ NOVAFLOW с панелью смыва NOVA ORB 001 с круглыми клавишами, пластик, белый, глянцевый</v>
      </c>
      <c r="F557" s="292" t="str">
        <f>IFERROR(VLOOKUP(D557,'ВИС-2026'!$E$17:$H$2115,4,0),"")</f>
        <v>шт</v>
      </c>
      <c r="G557" s="428"/>
      <c r="H557" s="554">
        <f>IFERROR(VLOOKUP(D557,'ВИС-2026'!$E$17:$K$2649,7,0),"")</f>
        <v>322.83999999999997</v>
      </c>
      <c r="I557" s="554">
        <f t="shared" si="128"/>
        <v>0</v>
      </c>
      <c r="J557" s="554">
        <f t="shared" si="129"/>
        <v>322.83999999999997</v>
      </c>
      <c r="K557" s="554">
        <f t="shared" si="130"/>
        <v>0</v>
      </c>
      <c r="L557" s="554">
        <f t="shared" si="131"/>
        <v>0</v>
      </c>
      <c r="M557" s="554">
        <f t="shared" si="132"/>
        <v>0</v>
      </c>
      <c r="N557" s="104"/>
    </row>
    <row r="558" spans="1:14" s="73" customFormat="1" ht="26.45">
      <c r="A558" s="147"/>
      <c r="B558" s="311" t="s">
        <v>30</v>
      </c>
      <c r="C558" s="277" t="s">
        <v>459</v>
      </c>
      <c r="D558" s="313">
        <v>19101061001</v>
      </c>
      <c r="E558" s="553" t="str">
        <f>IFERROR(VLOOKUP(D558,'ВИС-2026'!$E$17:$H$2115,2,0),"")</f>
        <v>Комплект инсталляции РЕХАУ NOVAFLOW с панелью смыва NOVA ORB 001 с круглыми клавишами, пластик, хром, глянцевый</v>
      </c>
      <c r="F558" s="292" t="str">
        <f>IFERROR(VLOOKUP(D558,'ВИС-2026'!$E$17:$H$2115,4,0),"")</f>
        <v>шт</v>
      </c>
      <c r="G558" s="428"/>
      <c r="H558" s="554">
        <f>IFERROR(VLOOKUP(D558,'ВИС-2026'!$E$17:$K$2649,7,0),"")</f>
        <v>357.52</v>
      </c>
      <c r="I558" s="554">
        <f t="shared" si="128"/>
        <v>0</v>
      </c>
      <c r="J558" s="554">
        <f t="shared" si="129"/>
        <v>357.52</v>
      </c>
      <c r="K558" s="554">
        <f t="shared" si="130"/>
        <v>0</v>
      </c>
      <c r="L558" s="554">
        <f t="shared" si="131"/>
        <v>0</v>
      </c>
      <c r="M558" s="554">
        <f t="shared" si="132"/>
        <v>0</v>
      </c>
      <c r="N558" s="104"/>
    </row>
    <row r="559" spans="1:14" s="73" customFormat="1" ht="26.45">
      <c r="A559" s="147"/>
      <c r="B559" s="311" t="s">
        <v>30</v>
      </c>
      <c r="C559" s="277" t="s">
        <v>459</v>
      </c>
      <c r="D559" s="313">
        <v>19101071001</v>
      </c>
      <c r="E559" s="553" t="str">
        <f>IFERROR(VLOOKUP(D559,'ВИС-2026'!$E$17:$H$2115,2,0),"")</f>
        <v>Комплект инсталляции РЕХАУ NOVAFLOW с панелью смыва NOVA ORB 001 с круглыми клавишами, пластик, черный, матовый</v>
      </c>
      <c r="F559" s="292" t="str">
        <f>IFERROR(VLOOKUP(D559,'ВИС-2026'!$E$17:$H$2115,4,0),"")</f>
        <v>шт</v>
      </c>
      <c r="G559" s="428"/>
      <c r="H559" s="554">
        <f>IFERROR(VLOOKUP(D559,'ВИС-2026'!$E$17:$K$2649,7,0),"")</f>
        <v>353.52</v>
      </c>
      <c r="I559" s="554">
        <f t="shared" si="128"/>
        <v>0</v>
      </c>
      <c r="J559" s="554">
        <f t="shared" si="129"/>
        <v>353.52</v>
      </c>
      <c r="K559" s="554">
        <f t="shared" si="130"/>
        <v>0</v>
      </c>
      <c r="L559" s="554">
        <f t="shared" si="131"/>
        <v>0</v>
      </c>
      <c r="M559" s="554">
        <f t="shared" si="132"/>
        <v>0</v>
      </c>
      <c r="N559" s="104"/>
    </row>
    <row r="560" spans="1:14" s="73" customFormat="1" ht="26.45">
      <c r="A560" s="147"/>
      <c r="B560" s="311" t="s">
        <v>30</v>
      </c>
      <c r="C560" s="277" t="s">
        <v>459</v>
      </c>
      <c r="D560" s="313">
        <v>19101081001</v>
      </c>
      <c r="E560" s="553" t="str">
        <f>IFERROR(VLOOKUP(D560,'ВИС-2026'!$E$17:$H$2115,2,0),"")</f>
        <v>Комплект инсталляции РЕХАУ NOVAFLOW с панелью смыва NOVA ELLIPSE 001 с овальными клавишами, пластик, белый, глянцевый</v>
      </c>
      <c r="F560" s="292" t="str">
        <f>IFERROR(VLOOKUP(D560,'ВИС-2026'!$E$17:$H$2115,4,0),"")</f>
        <v>шт</v>
      </c>
      <c r="G560" s="428"/>
      <c r="H560" s="554">
        <f>IFERROR(VLOOKUP(D560,'ВИС-2026'!$E$17:$K$2649,7,0),"")</f>
        <v>322.83999999999997</v>
      </c>
      <c r="I560" s="554">
        <f t="shared" si="128"/>
        <v>0</v>
      </c>
      <c r="J560" s="554">
        <f t="shared" si="129"/>
        <v>322.83999999999997</v>
      </c>
      <c r="K560" s="554">
        <f t="shared" si="130"/>
        <v>0</v>
      </c>
      <c r="L560" s="554">
        <f t="shared" si="131"/>
        <v>0</v>
      </c>
      <c r="M560" s="554">
        <f t="shared" si="132"/>
        <v>0</v>
      </c>
      <c r="N560" s="104"/>
    </row>
    <row r="561" spans="1:14" s="73" customFormat="1" ht="26.45">
      <c r="A561" s="147"/>
      <c r="B561" s="311" t="s">
        <v>30</v>
      </c>
      <c r="C561" s="277" t="s">
        <v>459</v>
      </c>
      <c r="D561" s="313">
        <v>19101091001</v>
      </c>
      <c r="E561" s="553" t="str">
        <f>IFERROR(VLOOKUP(D561,'ВИС-2026'!$E$17:$H$2115,2,0),"")</f>
        <v>Комплект инсталляции РЕХАУ NOVAFLOW с панелью смыва NOVA ELLIPSE 001 с овальными клавишами, пластик, хром, глянцевый</v>
      </c>
      <c r="F561" s="292" t="str">
        <f>IFERROR(VLOOKUP(D561,'ВИС-2026'!$E$17:$H$2115,4,0),"")</f>
        <v>шт</v>
      </c>
      <c r="G561" s="428"/>
      <c r="H561" s="554">
        <f>IFERROR(VLOOKUP(D561,'ВИС-2026'!$E$17:$K$2649,7,0),"")</f>
        <v>357.52</v>
      </c>
      <c r="I561" s="554">
        <f t="shared" si="128"/>
        <v>0</v>
      </c>
      <c r="J561" s="554">
        <f t="shared" si="129"/>
        <v>357.52</v>
      </c>
      <c r="K561" s="554">
        <f t="shared" si="130"/>
        <v>0</v>
      </c>
      <c r="L561" s="554">
        <f t="shared" si="131"/>
        <v>0</v>
      </c>
      <c r="M561" s="554">
        <f t="shared" si="132"/>
        <v>0</v>
      </c>
      <c r="N561" s="104"/>
    </row>
    <row r="562" spans="1:14" s="73" customFormat="1" ht="26.45">
      <c r="A562" s="147"/>
      <c r="B562" s="311" t="s">
        <v>30</v>
      </c>
      <c r="C562" s="277" t="s">
        <v>459</v>
      </c>
      <c r="D562" s="313">
        <v>19101101001</v>
      </c>
      <c r="E562" s="553" t="str">
        <f>IFERROR(VLOOKUP(D562,'ВИС-2026'!$E$17:$H$2115,2,0),"")</f>
        <v>Комплект инсталляции РЕХАУ NOVAFLOW с панелью смыва NOVA ELLIPSE 001 с овальными клавишами, пластик, черный, матовый</v>
      </c>
      <c r="F562" s="292" t="str">
        <f>IFERROR(VLOOKUP(D562,'ВИС-2026'!$E$17:$H$2115,4,0),"")</f>
        <v>шт</v>
      </c>
      <c r="G562" s="428"/>
      <c r="H562" s="554">
        <f>IFERROR(VLOOKUP(D562,'ВИС-2026'!$E$17:$K$2649,7,0),"")</f>
        <v>353.52</v>
      </c>
      <c r="I562" s="554">
        <f t="shared" si="128"/>
        <v>0</v>
      </c>
      <c r="J562" s="554">
        <f t="shared" si="129"/>
        <v>353.52</v>
      </c>
      <c r="K562" s="554">
        <f t="shared" si="130"/>
        <v>0</v>
      </c>
      <c r="L562" s="554">
        <f t="shared" si="131"/>
        <v>0</v>
      </c>
      <c r="M562" s="554">
        <f t="shared" si="132"/>
        <v>0</v>
      </c>
      <c r="N562" s="104"/>
    </row>
    <row r="563" spans="1:14" s="73" customFormat="1">
      <c r="A563" s="147"/>
      <c r="B563" s="311"/>
      <c r="C563" s="277"/>
      <c r="D563" s="313"/>
      <c r="E563" s="176"/>
      <c r="F563" s="292"/>
      <c r="G563" s="428"/>
      <c r="H563" s="554"/>
      <c r="I563" s="554"/>
      <c r="J563" s="554"/>
      <c r="K563" s="554"/>
      <c r="L563" s="554"/>
      <c r="M563" s="554"/>
      <c r="N563" s="104"/>
    </row>
    <row r="564" spans="1:14" s="73" customFormat="1">
      <c r="A564" s="147"/>
      <c r="B564" s="299"/>
      <c r="C564" s="232" t="s">
        <v>459</v>
      </c>
      <c r="D564" s="233"/>
      <c r="E564" s="201" t="s">
        <v>472</v>
      </c>
      <c r="F564" s="555"/>
      <c r="G564" s="556"/>
      <c r="H564" s="560"/>
      <c r="I564" s="560"/>
      <c r="J564" s="560"/>
      <c r="K564" s="560"/>
      <c r="L564" s="560"/>
      <c r="M564" s="560"/>
      <c r="N564" s="104"/>
    </row>
    <row r="565" spans="1:14" s="73" customFormat="1" ht="26.45">
      <c r="A565" s="147"/>
      <c r="B565" s="311" t="s">
        <v>30</v>
      </c>
      <c r="C565" s="277" t="s">
        <v>459</v>
      </c>
      <c r="D565" s="313">
        <v>19102011001</v>
      </c>
      <c r="E565" s="553" t="str">
        <f>IFERROR(VLOOKUP(D565,'ВИС-2026'!$E$17:$H$2115,2,0),"")</f>
        <v>Панель смыва РЕХАУ NOVA QUAD 001 с прямоугольными клавишами, пластик, белый, глянцевый</v>
      </c>
      <c r="F565" s="292" t="str">
        <f>IFERROR(VLOOKUP(D565,'ВИС-2026'!$E$17:$H$2115,4,0),"")</f>
        <v>шт</v>
      </c>
      <c r="G565" s="428"/>
      <c r="H565" s="554">
        <f>IFERROR(VLOOKUP(D565,'ВИС-2026'!$E$17:$K$2649,7,0),"")</f>
        <v>38.340000000000003</v>
      </c>
      <c r="I565" s="554">
        <f t="shared" ref="I565" si="133">IFERROR(H565*G565,"")</f>
        <v>0</v>
      </c>
      <c r="J565" s="554">
        <f t="shared" ref="J565" si="134">IFERROR((IF(H565="","",H565-H565*$D$7)),"")</f>
        <v>38.340000000000003</v>
      </c>
      <c r="K565" s="554">
        <f t="shared" ref="K565" si="135">IFERROR(J565*G565, "")</f>
        <v>0</v>
      </c>
      <c r="L565" s="554">
        <f t="shared" ref="L565" si="136">IFERROR(J565*$D$8, "")</f>
        <v>0</v>
      </c>
      <c r="M565" s="554">
        <f t="shared" ref="M565" si="137">IFERROR(L565*G565, "")</f>
        <v>0</v>
      </c>
      <c r="N565" s="104"/>
    </row>
    <row r="566" spans="1:14" s="73" customFormat="1" ht="26.45">
      <c r="A566" s="147"/>
      <c r="B566" s="311" t="s">
        <v>474</v>
      </c>
      <c r="C566" s="277" t="s">
        <v>459</v>
      </c>
      <c r="D566" s="313">
        <v>19102021001</v>
      </c>
      <c r="E566" s="553" t="str">
        <f>IFERROR(VLOOKUP(D566,'ВИС-2026'!$E$17:$H$2115,2,0),"")</f>
        <v>Панель смыва РЕХАУ NOVA QUAD 001 с прямоугольными клавишами, пластик, хром, глянцевый</v>
      </c>
      <c r="F566" s="292" t="str">
        <f>IFERROR(VLOOKUP(D566,'ВИС-2026'!$E$17:$H$2115,4,0),"")</f>
        <v>шт</v>
      </c>
      <c r="G566" s="428"/>
      <c r="H566" s="554">
        <f>IFERROR(VLOOKUP(D566,'ВИС-2026'!$E$17:$K$2649,7,0),"")</f>
        <v>76.56</v>
      </c>
      <c r="I566" s="554">
        <f t="shared" ref="I566:I571" si="138">IFERROR(H566*G566,"")</f>
        <v>0</v>
      </c>
      <c r="J566" s="554">
        <f t="shared" ref="J566:J571" si="139">IFERROR((IF(H566="","",H566-H566*$D$7)),"")</f>
        <v>76.56</v>
      </c>
      <c r="K566" s="554">
        <f t="shared" ref="K566:K571" si="140">IFERROR(J566*G566, "")</f>
        <v>0</v>
      </c>
      <c r="L566" s="554">
        <f t="shared" ref="L566:L571" si="141">IFERROR(J566*$D$8, "")</f>
        <v>0</v>
      </c>
      <c r="M566" s="554">
        <f t="shared" ref="M566:M571" si="142">IFERROR(L566*G566, "")</f>
        <v>0</v>
      </c>
      <c r="N566" s="104"/>
    </row>
    <row r="567" spans="1:14" s="73" customFormat="1" ht="26.45">
      <c r="A567" s="147"/>
      <c r="B567" s="311" t="s">
        <v>474</v>
      </c>
      <c r="C567" s="277" t="s">
        <v>459</v>
      </c>
      <c r="D567" s="313">
        <v>19102031001</v>
      </c>
      <c r="E567" s="553" t="str">
        <f>IFERROR(VLOOKUP(D567,'ВИС-2026'!$E$17:$H$2115,2,0),"")</f>
        <v>Панель смыва РЕХАУ NOVA QUAD 001 с прямоугольными клавишами, пластик, серебристый, матовый</v>
      </c>
      <c r="F567" s="292" t="str">
        <f>IFERROR(VLOOKUP(D567,'ВИС-2026'!$E$17:$H$2115,4,0),"")</f>
        <v>шт</v>
      </c>
      <c r="G567" s="428"/>
      <c r="H567" s="554">
        <f>IFERROR(VLOOKUP(D567,'ВИС-2026'!$E$17:$K$2649,7,0),"")</f>
        <v>71.64</v>
      </c>
      <c r="I567" s="554">
        <f t="shared" si="138"/>
        <v>0</v>
      </c>
      <c r="J567" s="554">
        <f t="shared" si="139"/>
        <v>71.64</v>
      </c>
      <c r="K567" s="554">
        <f t="shared" si="140"/>
        <v>0</v>
      </c>
      <c r="L567" s="554">
        <f t="shared" si="141"/>
        <v>0</v>
      </c>
      <c r="M567" s="554">
        <f t="shared" si="142"/>
        <v>0</v>
      </c>
      <c r="N567" s="104"/>
    </row>
    <row r="568" spans="1:14" s="73" customFormat="1" ht="26.45">
      <c r="A568" s="147"/>
      <c r="B568" s="311" t="s">
        <v>30</v>
      </c>
      <c r="C568" s="277" t="s">
        <v>459</v>
      </c>
      <c r="D568" s="313">
        <v>19102041001</v>
      </c>
      <c r="E568" s="553" t="str">
        <f>IFERROR(VLOOKUP(D568,'ВИС-2026'!$E$17:$H$2115,2,0),"")</f>
        <v>Панель смыва РЕХАУ NOVA QUAD 001 с прямоугольными клавишами, пластик, графитовый, матовый</v>
      </c>
      <c r="F568" s="292" t="str">
        <f>IFERROR(VLOOKUP(D568,'ВИС-2026'!$E$17:$H$2115,4,0),"")</f>
        <v>шт</v>
      </c>
      <c r="G568" s="428"/>
      <c r="H568" s="554">
        <f>IFERROR(VLOOKUP(D568,'ВИС-2026'!$E$17:$K$2649,7,0),"")</f>
        <v>71.64</v>
      </c>
      <c r="I568" s="554">
        <f t="shared" si="138"/>
        <v>0</v>
      </c>
      <c r="J568" s="554">
        <f t="shared" si="139"/>
        <v>71.64</v>
      </c>
      <c r="K568" s="554">
        <f t="shared" si="140"/>
        <v>0</v>
      </c>
      <c r="L568" s="554">
        <f t="shared" si="141"/>
        <v>0</v>
      </c>
      <c r="M568" s="554">
        <f t="shared" si="142"/>
        <v>0</v>
      </c>
      <c r="N568" s="104"/>
    </row>
    <row r="569" spans="1:14" s="73" customFormat="1" ht="26.45">
      <c r="A569" s="147"/>
      <c r="B569" s="311" t="s">
        <v>474</v>
      </c>
      <c r="C569" s="277" t="s">
        <v>459</v>
      </c>
      <c r="D569" s="313">
        <v>19102051001</v>
      </c>
      <c r="E569" s="553" t="str">
        <f>IFERROR(VLOOKUP(D569,'ВИС-2026'!$E$17:$H$2115,2,0),"")</f>
        <v>Панель смыва РЕХАУ NOVA QUAD 001 с прямоугольными клавишами, пластик, черный, матовый</v>
      </c>
      <c r="F569" s="292" t="str">
        <f>IFERROR(VLOOKUP(D569,'ВИС-2026'!$E$17:$H$2115,4,0),"")</f>
        <v>шт</v>
      </c>
      <c r="G569" s="428"/>
      <c r="H569" s="554">
        <f>IFERROR(VLOOKUP(D569,'ВИС-2026'!$E$17:$K$2649,7,0),"")</f>
        <v>71.64</v>
      </c>
      <c r="I569" s="554">
        <f t="shared" si="138"/>
        <v>0</v>
      </c>
      <c r="J569" s="554">
        <f t="shared" si="139"/>
        <v>71.64</v>
      </c>
      <c r="K569" s="554">
        <f t="shared" si="140"/>
        <v>0</v>
      </c>
      <c r="L569" s="554">
        <f t="shared" si="141"/>
        <v>0</v>
      </c>
      <c r="M569" s="554">
        <f t="shared" si="142"/>
        <v>0</v>
      </c>
      <c r="N569" s="104"/>
    </row>
    <row r="570" spans="1:14" s="73" customFormat="1" ht="26.45">
      <c r="A570" s="147"/>
      <c r="B570" s="311" t="s">
        <v>30</v>
      </c>
      <c r="C570" s="277" t="s">
        <v>459</v>
      </c>
      <c r="D570" s="313">
        <v>19102061001</v>
      </c>
      <c r="E570" s="553" t="str">
        <f>IFERROR(VLOOKUP(D570,'ВИС-2026'!$E$17:$H$2115,2,0),"")</f>
        <v>Панель смыва РЕХАУ NOVA QUAD 001 с прямоугольными клавишами, пластик, золотой, матовый</v>
      </c>
      <c r="F570" s="292" t="str">
        <f>IFERROR(VLOOKUP(D570,'ВИС-2026'!$E$17:$H$2115,4,0),"")</f>
        <v>шт</v>
      </c>
      <c r="G570" s="428"/>
      <c r="H570" s="554">
        <f>IFERROR(VLOOKUP(D570,'ВИС-2026'!$E$17:$K$2649,7,0),"")</f>
        <v>71.64</v>
      </c>
      <c r="I570" s="554">
        <f t="shared" si="138"/>
        <v>0</v>
      </c>
      <c r="J570" s="554">
        <f t="shared" si="139"/>
        <v>71.64</v>
      </c>
      <c r="K570" s="554">
        <f t="shared" si="140"/>
        <v>0</v>
      </c>
      <c r="L570" s="554">
        <f t="shared" si="141"/>
        <v>0</v>
      </c>
      <c r="M570" s="554">
        <f t="shared" si="142"/>
        <v>0</v>
      </c>
      <c r="N570" s="104"/>
    </row>
    <row r="571" spans="1:14" s="73" customFormat="1" ht="26.45">
      <c r="A571" s="147"/>
      <c r="B571" s="311" t="s">
        <v>474</v>
      </c>
      <c r="C571" s="277" t="s">
        <v>459</v>
      </c>
      <c r="D571" s="313">
        <v>19102071001</v>
      </c>
      <c r="E571" s="553" t="str">
        <f>IFERROR(VLOOKUP(D571,'ВИС-2026'!$E$17:$H$2115,2,0),"")</f>
        <v>Панель смыва РЕХАУ NOVA QUAD 001 с прямоугольными клавишами, пластик, розовое золото, матовый</v>
      </c>
      <c r="F571" s="292" t="str">
        <f>IFERROR(VLOOKUP(D571,'ВИС-2026'!$E$17:$H$2115,4,0),"")</f>
        <v>шт</v>
      </c>
      <c r="G571" s="428"/>
      <c r="H571" s="554">
        <f>IFERROR(VLOOKUP(D571,'ВИС-2026'!$E$17:$K$2649,7,0),"")</f>
        <v>71.64</v>
      </c>
      <c r="I571" s="554">
        <f t="shared" si="138"/>
        <v>0</v>
      </c>
      <c r="J571" s="554">
        <f t="shared" si="139"/>
        <v>71.64</v>
      </c>
      <c r="K571" s="554">
        <f t="shared" si="140"/>
        <v>0</v>
      </c>
      <c r="L571" s="554">
        <f t="shared" si="141"/>
        <v>0</v>
      </c>
      <c r="M571" s="554">
        <f t="shared" si="142"/>
        <v>0</v>
      </c>
      <c r="N571" s="104"/>
    </row>
    <row r="572" spans="1:14" s="73" customFormat="1">
      <c r="A572" s="147"/>
      <c r="B572" s="311"/>
      <c r="C572" s="277"/>
      <c r="D572" s="313"/>
      <c r="E572" s="176"/>
      <c r="F572" s="292"/>
      <c r="G572" s="428"/>
      <c r="H572" s="554"/>
      <c r="I572" s="554"/>
      <c r="J572" s="554"/>
      <c r="K572" s="554"/>
      <c r="L572" s="554"/>
      <c r="M572" s="554"/>
      <c r="N572" s="104"/>
    </row>
    <row r="573" spans="1:14" s="73" customFormat="1" ht="26.45">
      <c r="A573" s="147"/>
      <c r="B573" s="311" t="s">
        <v>474</v>
      </c>
      <c r="C573" s="277" t="s">
        <v>459</v>
      </c>
      <c r="D573" s="313">
        <v>19102101001</v>
      </c>
      <c r="E573" s="553" t="str">
        <f>IFERROR(VLOOKUP(D573,'ВИС-2026'!$E$17:$H$2115,2,0),"")</f>
        <v>Панель смыва РЕХАУ NOVA ELLIPSE 001 с овальными клавишами, пластик, белый, глянцевый</v>
      </c>
      <c r="F573" s="292" t="str">
        <f>IFERROR(VLOOKUP(D573,'ВИС-2026'!$E$17:$H$2115,4,0),"")</f>
        <v>шт</v>
      </c>
      <c r="G573" s="428"/>
      <c r="H573" s="554">
        <f>IFERROR(VLOOKUP(D573,'ВИС-2026'!$E$17:$K$2649,7,0),"")</f>
        <v>37.69</v>
      </c>
      <c r="I573" s="554">
        <f t="shared" ref="I573" si="143">IFERROR(H573*G573,"")</f>
        <v>0</v>
      </c>
      <c r="J573" s="554">
        <f t="shared" ref="J573" si="144">IFERROR((IF(H573="","",H573-H573*$D$7)),"")</f>
        <v>37.69</v>
      </c>
      <c r="K573" s="554">
        <f t="shared" ref="K573" si="145">IFERROR(J573*G573, "")</f>
        <v>0</v>
      </c>
      <c r="L573" s="554">
        <f t="shared" ref="L573" si="146">IFERROR(J573*$D$8, "")</f>
        <v>0</v>
      </c>
      <c r="M573" s="554">
        <f t="shared" ref="M573" si="147">IFERROR(L573*G573, "")</f>
        <v>0</v>
      </c>
      <c r="N573" s="104"/>
    </row>
    <row r="574" spans="1:14" s="73" customFormat="1" ht="26.45">
      <c r="A574" s="147"/>
      <c r="B574" s="311" t="s">
        <v>30</v>
      </c>
      <c r="C574" s="277" t="s">
        <v>459</v>
      </c>
      <c r="D574" s="313">
        <v>19102111001</v>
      </c>
      <c r="E574" s="553" t="str">
        <f>IFERROR(VLOOKUP(D574,'ВИС-2026'!$E$17:$H$2115,2,0),"")</f>
        <v>Панель смыва РЕХАУ NOVA ELLIPSE 001 с овальными клавишами, пластик, хром, глянцевый</v>
      </c>
      <c r="F574" s="292" t="str">
        <f>IFERROR(VLOOKUP(D574,'ВИС-2026'!$E$17:$H$2115,4,0),"")</f>
        <v>шт</v>
      </c>
      <c r="G574" s="428"/>
      <c r="H574" s="554">
        <f>IFERROR(VLOOKUP(D574,'ВИС-2026'!$E$17:$K$2649,7,0),"")</f>
        <v>76.56</v>
      </c>
      <c r="I574" s="554">
        <f t="shared" ref="I574:I579" si="148">IFERROR(H574*G574,"")</f>
        <v>0</v>
      </c>
      <c r="J574" s="554">
        <f t="shared" ref="J574:J579" si="149">IFERROR((IF(H574="","",H574-H574*$D$7)),"")</f>
        <v>76.56</v>
      </c>
      <c r="K574" s="554">
        <f t="shared" ref="K574:K579" si="150">IFERROR(J574*G574, "")</f>
        <v>0</v>
      </c>
      <c r="L574" s="554">
        <f t="shared" ref="L574:L579" si="151">IFERROR(J574*$D$8, "")</f>
        <v>0</v>
      </c>
      <c r="M574" s="554">
        <f t="shared" ref="M574:M579" si="152">IFERROR(L574*G574, "")</f>
        <v>0</v>
      </c>
      <c r="N574" s="104"/>
    </row>
    <row r="575" spans="1:14" s="73" customFormat="1" ht="26.45">
      <c r="A575" s="147"/>
      <c r="B575" s="311" t="s">
        <v>474</v>
      </c>
      <c r="C575" s="277" t="s">
        <v>459</v>
      </c>
      <c r="D575" s="313">
        <v>19102121001</v>
      </c>
      <c r="E575" s="553" t="str">
        <f>IFERROR(VLOOKUP(D575,'ВИС-2026'!$E$17:$H$2115,2,0),"")</f>
        <v>Панель смыва РЕХАУ NOVA ELLIPSE 001 с овальными клавишами, пластик, серебристый, матовый</v>
      </c>
      <c r="F575" s="292" t="str">
        <f>IFERROR(VLOOKUP(D575,'ВИС-2026'!$E$17:$H$2115,4,0),"")</f>
        <v>шт</v>
      </c>
      <c r="G575" s="428"/>
      <c r="H575" s="554">
        <f>IFERROR(VLOOKUP(D575,'ВИС-2026'!$E$17:$K$2649,7,0),"")</f>
        <v>71.64</v>
      </c>
      <c r="I575" s="554">
        <f t="shared" si="148"/>
        <v>0</v>
      </c>
      <c r="J575" s="554">
        <f t="shared" si="149"/>
        <v>71.64</v>
      </c>
      <c r="K575" s="554">
        <f t="shared" si="150"/>
        <v>0</v>
      </c>
      <c r="L575" s="554">
        <f t="shared" si="151"/>
        <v>0</v>
      </c>
      <c r="M575" s="554">
        <f t="shared" si="152"/>
        <v>0</v>
      </c>
      <c r="N575" s="104"/>
    </row>
    <row r="576" spans="1:14" s="73" customFormat="1" ht="26.45">
      <c r="A576" s="147"/>
      <c r="B576" s="311" t="s">
        <v>30</v>
      </c>
      <c r="C576" s="277" t="s">
        <v>459</v>
      </c>
      <c r="D576" s="313">
        <v>19102131001</v>
      </c>
      <c r="E576" s="553" t="str">
        <f>IFERROR(VLOOKUP(D576,'ВИС-2026'!$E$17:$H$2115,2,0),"")</f>
        <v>Панель смыва РЕХАУ NOVA ELLIPSE 001 с овальными клавишами, пластик, графитовый, матовый</v>
      </c>
      <c r="F576" s="292" t="str">
        <f>IFERROR(VLOOKUP(D576,'ВИС-2026'!$E$17:$H$2115,4,0),"")</f>
        <v>шт</v>
      </c>
      <c r="G576" s="428"/>
      <c r="H576" s="554">
        <f>IFERROR(VLOOKUP(D576,'ВИС-2026'!$E$17:$K$2649,7,0),"")</f>
        <v>71.64</v>
      </c>
      <c r="I576" s="554">
        <f t="shared" si="148"/>
        <v>0</v>
      </c>
      <c r="J576" s="554">
        <f t="shared" si="149"/>
        <v>71.64</v>
      </c>
      <c r="K576" s="554">
        <f t="shared" si="150"/>
        <v>0</v>
      </c>
      <c r="L576" s="554">
        <f t="shared" si="151"/>
        <v>0</v>
      </c>
      <c r="M576" s="554">
        <f t="shared" si="152"/>
        <v>0</v>
      </c>
      <c r="N576" s="104"/>
    </row>
    <row r="577" spans="1:14" s="73" customFormat="1" ht="26.45">
      <c r="A577" s="147"/>
      <c r="B577" s="311" t="s">
        <v>474</v>
      </c>
      <c r="C577" s="277" t="s">
        <v>459</v>
      </c>
      <c r="D577" s="313">
        <v>19102141001</v>
      </c>
      <c r="E577" s="553" t="str">
        <f>IFERROR(VLOOKUP(D577,'ВИС-2026'!$E$17:$H$2115,2,0),"")</f>
        <v>Панель смыва РЕХАУ NOVA ELLIPSE 001 с овальными клавишами, пластик, черный, матовый</v>
      </c>
      <c r="F577" s="292" t="str">
        <f>IFERROR(VLOOKUP(D577,'ВИС-2026'!$E$17:$H$2115,4,0),"")</f>
        <v>шт</v>
      </c>
      <c r="G577" s="428"/>
      <c r="H577" s="554">
        <f>IFERROR(VLOOKUP(D577,'ВИС-2026'!$E$17:$K$2649,7,0),"")</f>
        <v>71.64</v>
      </c>
      <c r="I577" s="554">
        <f t="shared" si="148"/>
        <v>0</v>
      </c>
      <c r="J577" s="554">
        <f t="shared" si="149"/>
        <v>71.64</v>
      </c>
      <c r="K577" s="554">
        <f t="shared" si="150"/>
        <v>0</v>
      </c>
      <c r="L577" s="554">
        <f t="shared" si="151"/>
        <v>0</v>
      </c>
      <c r="M577" s="554">
        <f t="shared" si="152"/>
        <v>0</v>
      </c>
      <c r="N577" s="104"/>
    </row>
    <row r="578" spans="1:14" s="73" customFormat="1" ht="26.45">
      <c r="A578" s="147"/>
      <c r="B578" s="311" t="s">
        <v>30</v>
      </c>
      <c r="C578" s="277" t="s">
        <v>459</v>
      </c>
      <c r="D578" s="313">
        <v>19102151001</v>
      </c>
      <c r="E578" s="553" t="str">
        <f>IFERROR(VLOOKUP(D578,'ВИС-2026'!$E$17:$H$2115,2,0),"")</f>
        <v>Панель смыва РЕХАУ NOVA ELLIPSE 001 с овальными клавишами, пластик, золотой, матовый</v>
      </c>
      <c r="F578" s="292" t="str">
        <f>IFERROR(VLOOKUP(D578,'ВИС-2026'!$E$17:$H$2115,4,0),"")</f>
        <v>шт</v>
      </c>
      <c r="G578" s="428"/>
      <c r="H578" s="554">
        <f>IFERROR(VLOOKUP(D578,'ВИС-2026'!$E$17:$K$2649,7,0),"")</f>
        <v>71.64</v>
      </c>
      <c r="I578" s="554">
        <f t="shared" si="148"/>
        <v>0</v>
      </c>
      <c r="J578" s="554">
        <f t="shared" si="149"/>
        <v>71.64</v>
      </c>
      <c r="K578" s="554">
        <f t="shared" si="150"/>
        <v>0</v>
      </c>
      <c r="L578" s="554">
        <f t="shared" si="151"/>
        <v>0</v>
      </c>
      <c r="M578" s="554">
        <f t="shared" si="152"/>
        <v>0</v>
      </c>
      <c r="N578" s="104"/>
    </row>
    <row r="579" spans="1:14" s="73" customFormat="1" ht="26.45">
      <c r="A579" s="147"/>
      <c r="B579" s="311" t="s">
        <v>474</v>
      </c>
      <c r="C579" s="277" t="s">
        <v>459</v>
      </c>
      <c r="D579" s="313">
        <v>19102161001</v>
      </c>
      <c r="E579" s="553" t="str">
        <f>IFERROR(VLOOKUP(D579,'ВИС-2026'!$E$17:$H$2115,2,0),"")</f>
        <v>Панель смыва РЕХАУ NOVA ELLIPSE 001 с овальными клавишами, пластик, розовое золото, матовый</v>
      </c>
      <c r="F579" s="292" t="str">
        <f>IFERROR(VLOOKUP(D579,'ВИС-2026'!$E$17:$H$2115,4,0),"")</f>
        <v>шт</v>
      </c>
      <c r="G579" s="428"/>
      <c r="H579" s="554">
        <f>IFERROR(VLOOKUP(D579,'ВИС-2026'!$E$17:$K$2649,7,0),"")</f>
        <v>71.64</v>
      </c>
      <c r="I579" s="554">
        <f t="shared" si="148"/>
        <v>0</v>
      </c>
      <c r="J579" s="554">
        <f t="shared" si="149"/>
        <v>71.64</v>
      </c>
      <c r="K579" s="554">
        <f t="shared" si="150"/>
        <v>0</v>
      </c>
      <c r="L579" s="554">
        <f t="shared" si="151"/>
        <v>0</v>
      </c>
      <c r="M579" s="554">
        <f t="shared" si="152"/>
        <v>0</v>
      </c>
      <c r="N579" s="104"/>
    </row>
    <row r="580" spans="1:14" s="73" customFormat="1">
      <c r="A580" s="147"/>
      <c r="B580" s="311"/>
      <c r="C580" s="277"/>
      <c r="D580" s="313"/>
      <c r="E580" s="176"/>
      <c r="F580" s="292"/>
      <c r="G580" s="428"/>
      <c r="H580" s="554"/>
      <c r="I580" s="554"/>
      <c r="J580" s="554"/>
      <c r="K580" s="554"/>
      <c r="L580" s="554"/>
      <c r="M580" s="554"/>
      <c r="N580" s="104"/>
    </row>
    <row r="581" spans="1:14" s="73" customFormat="1" ht="26.45">
      <c r="A581" s="147"/>
      <c r="B581" s="311" t="s">
        <v>474</v>
      </c>
      <c r="C581" s="277" t="s">
        <v>459</v>
      </c>
      <c r="D581" s="313">
        <v>19102201001</v>
      </c>
      <c r="E581" s="553" t="str">
        <f>IFERROR(VLOOKUP(D581,'ВИС-2026'!$E$17:$H$2115,2,0),"")</f>
        <v>Панель смыва РЕХАУ NOVA ORB 001 с круглыми клавишами, пластик, белый, глянцевый</v>
      </c>
      <c r="F581" s="292" t="str">
        <f>IFERROR(VLOOKUP(D581,'ВИС-2026'!$E$17:$H$2115,4,0),"")</f>
        <v>шт</v>
      </c>
      <c r="G581" s="428"/>
      <c r="H581" s="554">
        <f>IFERROR(VLOOKUP(D581,'ВИС-2026'!$E$17:$K$2649,7,0),"")</f>
        <v>37.69</v>
      </c>
      <c r="I581" s="554">
        <f t="shared" ref="I581" si="153">IFERROR(H581*G581,"")</f>
        <v>0</v>
      </c>
      <c r="J581" s="554">
        <f t="shared" ref="J581" si="154">IFERROR((IF(H581="","",H581-H581*$D$7)),"")</f>
        <v>37.69</v>
      </c>
      <c r="K581" s="554">
        <f t="shared" ref="K581" si="155">IFERROR(J581*G581, "")</f>
        <v>0</v>
      </c>
      <c r="L581" s="554">
        <f t="shared" ref="L581" si="156">IFERROR(J581*$D$8, "")</f>
        <v>0</v>
      </c>
      <c r="M581" s="554">
        <f t="shared" ref="M581" si="157">IFERROR(L581*G581, "")</f>
        <v>0</v>
      </c>
      <c r="N581" s="104"/>
    </row>
    <row r="582" spans="1:14" s="73" customFormat="1" ht="26.45">
      <c r="A582" s="147"/>
      <c r="B582" s="311" t="s">
        <v>474</v>
      </c>
      <c r="C582" s="277" t="s">
        <v>459</v>
      </c>
      <c r="D582" s="313">
        <v>19102211001</v>
      </c>
      <c r="E582" s="553" t="str">
        <f>IFERROR(VLOOKUP(D582,'ВИС-2026'!$E$17:$H$2115,2,0),"")</f>
        <v>Панель смыва РЕХАУ NOVA ORB 001 с круглыми клавишами, пластик, хром, глянцевый</v>
      </c>
      <c r="F582" s="292" t="str">
        <f>IFERROR(VLOOKUP(D582,'ВИС-2026'!$E$17:$H$2115,4,0),"")</f>
        <v>шт</v>
      </c>
      <c r="G582" s="428"/>
      <c r="H582" s="554">
        <f>IFERROR(VLOOKUP(D582,'ВИС-2026'!$E$17:$K$2649,7,0),"")</f>
        <v>75.2</v>
      </c>
      <c r="I582" s="554">
        <f t="shared" ref="I582:I587" si="158">IFERROR(H582*G582,"")</f>
        <v>0</v>
      </c>
      <c r="J582" s="554">
        <f t="shared" ref="J582:J587" si="159">IFERROR((IF(H582="","",H582-H582*$D$7)),"")</f>
        <v>75.2</v>
      </c>
      <c r="K582" s="554">
        <f t="shared" ref="K582:K587" si="160">IFERROR(J582*G582, "")</f>
        <v>0</v>
      </c>
      <c r="L582" s="554">
        <f t="shared" ref="L582:L587" si="161">IFERROR(J582*$D$8, "")</f>
        <v>0</v>
      </c>
      <c r="M582" s="554">
        <f t="shared" ref="M582:M587" si="162">IFERROR(L582*G582, "")</f>
        <v>0</v>
      </c>
      <c r="N582" s="104"/>
    </row>
    <row r="583" spans="1:14" s="73" customFormat="1" ht="26.45">
      <c r="A583" s="147"/>
      <c r="B583" s="311" t="s">
        <v>474</v>
      </c>
      <c r="C583" s="277" t="s">
        <v>459</v>
      </c>
      <c r="D583" s="313">
        <v>19102221001</v>
      </c>
      <c r="E583" s="553" t="str">
        <f>IFERROR(VLOOKUP(D583,'ВИС-2026'!$E$17:$H$2115,2,0),"")</f>
        <v>Панель смыва РЕХАУ NOVA ORB 001 с круглыми клавишами, пластик, серебристый, матовый</v>
      </c>
      <c r="F583" s="292" t="str">
        <f>IFERROR(VLOOKUP(D583,'ВИС-2026'!$E$17:$H$2115,4,0),"")</f>
        <v>шт</v>
      </c>
      <c r="G583" s="428"/>
      <c r="H583" s="554">
        <f>IFERROR(VLOOKUP(D583,'ВИС-2026'!$E$17:$K$2649,7,0),"")</f>
        <v>70.38</v>
      </c>
      <c r="I583" s="554">
        <f t="shared" si="158"/>
        <v>0</v>
      </c>
      <c r="J583" s="554">
        <f t="shared" si="159"/>
        <v>70.38</v>
      </c>
      <c r="K583" s="554">
        <f t="shared" si="160"/>
        <v>0</v>
      </c>
      <c r="L583" s="554">
        <f t="shared" si="161"/>
        <v>0</v>
      </c>
      <c r="M583" s="554">
        <f t="shared" si="162"/>
        <v>0</v>
      </c>
      <c r="N583" s="104"/>
    </row>
    <row r="584" spans="1:14" s="73" customFormat="1" ht="26.45">
      <c r="A584" s="147"/>
      <c r="B584" s="311" t="s">
        <v>30</v>
      </c>
      <c r="C584" s="277" t="s">
        <v>459</v>
      </c>
      <c r="D584" s="313">
        <v>19102231001</v>
      </c>
      <c r="E584" s="553" t="str">
        <f>IFERROR(VLOOKUP(D584,'ВИС-2026'!$E$17:$H$2115,2,0),"")</f>
        <v>Панель смыва РЕХАУ NOVA ORB 001 с круглыми клавишами, пластик, графитовый, матовый</v>
      </c>
      <c r="F584" s="292" t="str">
        <f>IFERROR(VLOOKUP(D584,'ВИС-2026'!$E$17:$H$2115,4,0),"")</f>
        <v>шт</v>
      </c>
      <c r="G584" s="428"/>
      <c r="H584" s="554">
        <f>IFERROR(VLOOKUP(D584,'ВИС-2026'!$E$17:$K$2649,7,0),"")</f>
        <v>70.38</v>
      </c>
      <c r="I584" s="554">
        <f t="shared" si="158"/>
        <v>0</v>
      </c>
      <c r="J584" s="554">
        <f t="shared" si="159"/>
        <v>70.38</v>
      </c>
      <c r="K584" s="554">
        <f t="shared" si="160"/>
        <v>0</v>
      </c>
      <c r="L584" s="554">
        <f t="shared" si="161"/>
        <v>0</v>
      </c>
      <c r="M584" s="554">
        <f t="shared" si="162"/>
        <v>0</v>
      </c>
      <c r="N584" s="104"/>
    </row>
    <row r="585" spans="1:14" s="73" customFormat="1" ht="26.45">
      <c r="A585" s="147"/>
      <c r="B585" s="311" t="s">
        <v>30</v>
      </c>
      <c r="C585" s="277" t="s">
        <v>459</v>
      </c>
      <c r="D585" s="313">
        <v>19102241001</v>
      </c>
      <c r="E585" s="553" t="str">
        <f>IFERROR(VLOOKUP(D585,'ВИС-2026'!$E$17:$H$2115,2,0),"")</f>
        <v>Панель смыва РЕХАУ NOVA ORB 001 с круглыми клавишами, пластик, черный, матовый</v>
      </c>
      <c r="F585" s="292" t="str">
        <f>IFERROR(VLOOKUP(D585,'ВИС-2026'!$E$17:$H$2115,4,0),"")</f>
        <v>шт</v>
      </c>
      <c r="G585" s="428"/>
      <c r="H585" s="554">
        <f>IFERROR(VLOOKUP(D585,'ВИС-2026'!$E$17:$K$2649,7,0),"")</f>
        <v>70.38</v>
      </c>
      <c r="I585" s="554">
        <f t="shared" si="158"/>
        <v>0</v>
      </c>
      <c r="J585" s="554">
        <f t="shared" si="159"/>
        <v>70.38</v>
      </c>
      <c r="K585" s="554">
        <f t="shared" si="160"/>
        <v>0</v>
      </c>
      <c r="L585" s="554">
        <f t="shared" si="161"/>
        <v>0</v>
      </c>
      <c r="M585" s="554">
        <f t="shared" si="162"/>
        <v>0</v>
      </c>
      <c r="N585" s="104"/>
    </row>
    <row r="586" spans="1:14" s="73" customFormat="1" ht="26.45">
      <c r="A586" s="147"/>
      <c r="B586" s="311" t="s">
        <v>30</v>
      </c>
      <c r="C586" s="277" t="s">
        <v>459</v>
      </c>
      <c r="D586" s="313">
        <v>19102251001</v>
      </c>
      <c r="E586" s="553" t="str">
        <f>IFERROR(VLOOKUP(D586,'ВИС-2026'!$E$17:$H$2115,2,0),"")</f>
        <v>Панель смыва РЕХАУ NOVA ORB 001 с круглыми клавишами, пластик, золотой, матовый</v>
      </c>
      <c r="F586" s="292" t="str">
        <f>IFERROR(VLOOKUP(D586,'ВИС-2026'!$E$17:$H$2115,4,0),"")</f>
        <v>шт</v>
      </c>
      <c r="G586" s="428"/>
      <c r="H586" s="554">
        <f>IFERROR(VLOOKUP(D586,'ВИС-2026'!$E$17:$K$2649,7,0),"")</f>
        <v>70.38</v>
      </c>
      <c r="I586" s="554">
        <f t="shared" si="158"/>
        <v>0</v>
      </c>
      <c r="J586" s="554">
        <f t="shared" si="159"/>
        <v>70.38</v>
      </c>
      <c r="K586" s="554">
        <f t="shared" si="160"/>
        <v>0</v>
      </c>
      <c r="L586" s="554">
        <f t="shared" si="161"/>
        <v>0</v>
      </c>
      <c r="M586" s="554">
        <f t="shared" si="162"/>
        <v>0</v>
      </c>
      <c r="N586" s="104"/>
    </row>
    <row r="587" spans="1:14" s="73" customFormat="1" ht="26.45">
      <c r="A587" s="147"/>
      <c r="B587" s="311" t="s">
        <v>30</v>
      </c>
      <c r="C587" s="277" t="s">
        <v>459</v>
      </c>
      <c r="D587" s="313">
        <v>19102261001</v>
      </c>
      <c r="E587" s="553" t="str">
        <f>IFERROR(VLOOKUP(D587,'ВИС-2026'!$E$17:$H$2115,2,0),"")</f>
        <v>Панель смыва РЕХАУ NOVA ORB 001 с круглыми клавишами, пластик, розовое золото, матовый</v>
      </c>
      <c r="F587" s="292" t="str">
        <f>IFERROR(VLOOKUP(D587,'ВИС-2026'!$E$17:$H$2115,4,0),"")</f>
        <v>шт</v>
      </c>
      <c r="G587" s="428"/>
      <c r="H587" s="554">
        <f>IFERROR(VLOOKUP(D587,'ВИС-2026'!$E$17:$K$2649,7,0),"")</f>
        <v>70.38</v>
      </c>
      <c r="I587" s="554">
        <f t="shared" si="158"/>
        <v>0</v>
      </c>
      <c r="J587" s="554">
        <f t="shared" si="159"/>
        <v>70.38</v>
      </c>
      <c r="K587" s="554">
        <f t="shared" si="160"/>
        <v>0</v>
      </c>
      <c r="L587" s="554">
        <f t="shared" si="161"/>
        <v>0</v>
      </c>
      <c r="M587" s="554">
        <f t="shared" si="162"/>
        <v>0</v>
      </c>
      <c r="N587" s="104"/>
    </row>
    <row r="588" spans="1:14" s="73" customFormat="1">
      <c r="A588" s="147"/>
      <c r="B588" s="311"/>
      <c r="C588" s="277"/>
      <c r="D588" s="313"/>
      <c r="E588" s="176"/>
      <c r="F588" s="292"/>
      <c r="G588" s="428"/>
      <c r="H588" s="554"/>
      <c r="I588" s="554"/>
      <c r="J588" s="554"/>
      <c r="K588" s="554"/>
      <c r="L588" s="554"/>
      <c r="M588" s="554"/>
      <c r="N588" s="104"/>
    </row>
    <row r="589" spans="1:14" s="73" customFormat="1" ht="26.45">
      <c r="A589" s="147"/>
      <c r="B589" s="311" t="s">
        <v>30</v>
      </c>
      <c r="C589" s="277" t="s">
        <v>459</v>
      </c>
      <c r="D589" s="313">
        <v>19102301001</v>
      </c>
      <c r="E589" s="553" t="str">
        <f>IFERROR(VLOOKUP(D589,'ВИС-2026'!$E$17:$H$2115,2,0),"")</f>
        <v>Панель смыва РЕХАУ NOVA LONG 001 с прямоугольными клавишами, пластик, белый, глянцевый</v>
      </c>
      <c r="F589" s="292" t="str">
        <f>IFERROR(VLOOKUP(D589,'ВИС-2026'!$E$17:$H$2115,4,0),"")</f>
        <v>шт</v>
      </c>
      <c r="G589" s="428"/>
      <c r="H589" s="554">
        <f>IFERROR(VLOOKUP(D589,'ВИС-2026'!$E$17:$K$2649,7,0),"")</f>
        <v>37.69</v>
      </c>
      <c r="I589" s="554">
        <f t="shared" ref="I589" si="163">IFERROR(H589*G589,"")</f>
        <v>0</v>
      </c>
      <c r="J589" s="554">
        <f t="shared" ref="J589" si="164">IFERROR((IF(H589="","",H589-H589*$D$7)),"")</f>
        <v>37.69</v>
      </c>
      <c r="K589" s="554">
        <f t="shared" ref="K589" si="165">IFERROR(J589*G589, "")</f>
        <v>0</v>
      </c>
      <c r="L589" s="554">
        <f t="shared" ref="L589" si="166">IFERROR(J589*$D$8, "")</f>
        <v>0</v>
      </c>
      <c r="M589" s="554">
        <f t="shared" ref="M589" si="167">IFERROR(L589*G589, "")</f>
        <v>0</v>
      </c>
      <c r="N589" s="104"/>
    </row>
    <row r="590" spans="1:14" s="73" customFormat="1" ht="26.45">
      <c r="A590" s="147"/>
      <c r="B590" s="311" t="s">
        <v>474</v>
      </c>
      <c r="C590" s="277" t="s">
        <v>459</v>
      </c>
      <c r="D590" s="313">
        <v>19102311001</v>
      </c>
      <c r="E590" s="553" t="str">
        <f>IFERROR(VLOOKUP(D590,'ВИС-2026'!$E$17:$H$2115,2,0),"")</f>
        <v>Панель смыва РЕХАУ NOVA LONG 001 с прямоугольными клавишами, пластик, белый, глянцевый, клавиши хром, глянцевый</v>
      </c>
      <c r="F590" s="292" t="str">
        <f>IFERROR(VLOOKUP(D590,'ВИС-2026'!$E$17:$H$2115,4,0),"")</f>
        <v>шт</v>
      </c>
      <c r="G590" s="428"/>
      <c r="H590" s="554">
        <f>IFERROR(VLOOKUP(D590,'ВИС-2026'!$E$17:$K$2649,7,0),"")</f>
        <v>37.69</v>
      </c>
      <c r="I590" s="554">
        <f t="shared" ref="I590:I597" si="168">IFERROR(H590*G590,"")</f>
        <v>0</v>
      </c>
      <c r="J590" s="554">
        <f t="shared" ref="J590:J597" si="169">IFERROR((IF(H590="","",H590-H590*$D$7)),"")</f>
        <v>37.69</v>
      </c>
      <c r="K590" s="554">
        <f t="shared" ref="K590:K597" si="170">IFERROR(J590*G590, "")</f>
        <v>0</v>
      </c>
      <c r="L590" s="554">
        <f t="shared" ref="L590:L597" si="171">IFERROR(J590*$D$8, "")</f>
        <v>0</v>
      </c>
      <c r="M590" s="554">
        <f t="shared" ref="M590:M597" si="172">IFERROR(L590*G590, "")</f>
        <v>0</v>
      </c>
      <c r="N590" s="104"/>
    </row>
    <row r="591" spans="1:14" s="73" customFormat="1" ht="26.45">
      <c r="A591" s="147"/>
      <c r="B591" s="311" t="s">
        <v>30</v>
      </c>
      <c r="C591" s="277" t="s">
        <v>459</v>
      </c>
      <c r="D591" s="313">
        <v>19102321001</v>
      </c>
      <c r="E591" s="553" t="str">
        <f>IFERROR(VLOOKUP(D591,'ВИС-2026'!$E$17:$H$2115,2,0),"")</f>
        <v>Панель смыва РЕХАУ NOVA LONG 001 с прямоугольными клавишами, пластик, хром, глянцевый</v>
      </c>
      <c r="F591" s="292" t="str">
        <f>IFERROR(VLOOKUP(D591,'ВИС-2026'!$E$17:$H$2115,4,0),"")</f>
        <v>шт</v>
      </c>
      <c r="G591" s="428"/>
      <c r="H591" s="554">
        <f>IFERROR(VLOOKUP(D591,'ВИС-2026'!$E$17:$K$2649,7,0),"")</f>
        <v>75.2</v>
      </c>
      <c r="I591" s="554">
        <f t="shared" si="168"/>
        <v>0</v>
      </c>
      <c r="J591" s="554">
        <f t="shared" si="169"/>
        <v>75.2</v>
      </c>
      <c r="K591" s="554">
        <f t="shared" si="170"/>
        <v>0</v>
      </c>
      <c r="L591" s="554">
        <f t="shared" si="171"/>
        <v>0</v>
      </c>
      <c r="M591" s="554">
        <f t="shared" si="172"/>
        <v>0</v>
      </c>
      <c r="N591" s="104"/>
    </row>
    <row r="592" spans="1:14" s="73" customFormat="1" ht="26.45">
      <c r="A592" s="147"/>
      <c r="B592" s="311" t="s">
        <v>474</v>
      </c>
      <c r="C592" s="277" t="s">
        <v>459</v>
      </c>
      <c r="D592" s="313">
        <v>19102331001</v>
      </c>
      <c r="E592" s="553" t="str">
        <f>IFERROR(VLOOKUP(D592,'ВИС-2026'!$E$17:$H$2115,2,0),"")</f>
        <v>Панель смыва РЕХАУ NOVA LONG 001 с прямоугольными клавишами, пластик, серебристый, матовый</v>
      </c>
      <c r="F592" s="292" t="str">
        <f>IFERROR(VLOOKUP(D592,'ВИС-2026'!$E$17:$H$2115,4,0),"")</f>
        <v>шт</v>
      </c>
      <c r="G592" s="428"/>
      <c r="H592" s="554">
        <f>IFERROR(VLOOKUP(D592,'ВИС-2026'!$E$17:$K$2649,7,0),"")</f>
        <v>70.38</v>
      </c>
      <c r="I592" s="554">
        <f t="shared" si="168"/>
        <v>0</v>
      </c>
      <c r="J592" s="554">
        <f t="shared" si="169"/>
        <v>70.38</v>
      </c>
      <c r="K592" s="554">
        <f t="shared" si="170"/>
        <v>0</v>
      </c>
      <c r="L592" s="554">
        <f t="shared" si="171"/>
        <v>0</v>
      </c>
      <c r="M592" s="554">
        <f t="shared" si="172"/>
        <v>0</v>
      </c>
      <c r="N592" s="104"/>
    </row>
    <row r="593" spans="1:14" s="73" customFormat="1" ht="26.45">
      <c r="A593" s="147"/>
      <c r="B593" s="311" t="s">
        <v>30</v>
      </c>
      <c r="C593" s="277" t="s">
        <v>459</v>
      </c>
      <c r="D593" s="313">
        <v>19102341001</v>
      </c>
      <c r="E593" s="553" t="str">
        <f>IFERROR(VLOOKUP(D593,'ВИС-2026'!$E$17:$H$2115,2,0),"")</f>
        <v>Панель смыва РЕХАУ NOVA LONG 001  с прямоугольными клавишами, пластик, графитовый, матовый</v>
      </c>
      <c r="F593" s="292" t="str">
        <f>IFERROR(VLOOKUP(D593,'ВИС-2026'!$E$17:$H$2115,4,0),"")</f>
        <v>шт</v>
      </c>
      <c r="G593" s="428"/>
      <c r="H593" s="554">
        <f>IFERROR(VLOOKUP(D593,'ВИС-2026'!$E$17:$K$2649,7,0),"")</f>
        <v>70.38</v>
      </c>
      <c r="I593" s="554">
        <f t="shared" si="168"/>
        <v>0</v>
      </c>
      <c r="J593" s="554">
        <f t="shared" si="169"/>
        <v>70.38</v>
      </c>
      <c r="K593" s="554">
        <f t="shared" si="170"/>
        <v>0</v>
      </c>
      <c r="L593" s="554">
        <f t="shared" si="171"/>
        <v>0</v>
      </c>
      <c r="M593" s="554">
        <f t="shared" si="172"/>
        <v>0</v>
      </c>
      <c r="N593" s="104"/>
    </row>
    <row r="594" spans="1:14" s="73" customFormat="1" ht="26.45">
      <c r="A594" s="147"/>
      <c r="B594" s="311" t="s">
        <v>30</v>
      </c>
      <c r="C594" s="277" t="s">
        <v>459</v>
      </c>
      <c r="D594" s="313">
        <v>19102351001</v>
      </c>
      <c r="E594" s="553" t="str">
        <f>IFERROR(VLOOKUP(D594,'ВИС-2026'!$E$17:$H$2115,2,0),"")</f>
        <v>Панель смыва РЕХАУ NOVA LONG 001 с прямоугольными клавишами, пластик, черный, матовый</v>
      </c>
      <c r="F594" s="292" t="str">
        <f>IFERROR(VLOOKUP(D594,'ВИС-2026'!$E$17:$H$2115,4,0),"")</f>
        <v>шт</v>
      </c>
      <c r="G594" s="428"/>
      <c r="H594" s="554">
        <f>IFERROR(VLOOKUP(D594,'ВИС-2026'!$E$17:$K$2649,7,0),"")</f>
        <v>70.38</v>
      </c>
      <c r="I594" s="554">
        <f t="shared" si="168"/>
        <v>0</v>
      </c>
      <c r="J594" s="554">
        <f t="shared" si="169"/>
        <v>70.38</v>
      </c>
      <c r="K594" s="554">
        <f t="shared" si="170"/>
        <v>0</v>
      </c>
      <c r="L594" s="554">
        <f t="shared" si="171"/>
        <v>0</v>
      </c>
      <c r="M594" s="554">
        <f t="shared" si="172"/>
        <v>0</v>
      </c>
      <c r="N594" s="104"/>
    </row>
    <row r="595" spans="1:14" s="73" customFormat="1" ht="26.45">
      <c r="A595" s="147"/>
      <c r="B595" s="311" t="s">
        <v>474</v>
      </c>
      <c r="C595" s="277" t="s">
        <v>459</v>
      </c>
      <c r="D595" s="313">
        <v>19102361001</v>
      </c>
      <c r="E595" s="553" t="str">
        <f>IFERROR(VLOOKUP(D595,'ВИС-2026'!$E$17:$H$2115,2,0),"")</f>
        <v>Панель смыва РЕХАУ NOVA LONG 001 с прямоугольными клавишами, пластик, черный, матовый, контур клавиш хром, глянцевый</v>
      </c>
      <c r="F595" s="292" t="str">
        <f>IFERROR(VLOOKUP(D595,'ВИС-2026'!$E$17:$H$2115,4,0),"")</f>
        <v>шт</v>
      </c>
      <c r="G595" s="428"/>
      <c r="H595" s="554">
        <f>IFERROR(VLOOKUP(D595,'ВИС-2026'!$E$17:$K$2649,7,0),"")</f>
        <v>70.38</v>
      </c>
      <c r="I595" s="554">
        <f t="shared" si="168"/>
        <v>0</v>
      </c>
      <c r="J595" s="554">
        <f t="shared" si="169"/>
        <v>70.38</v>
      </c>
      <c r="K595" s="554">
        <f t="shared" si="170"/>
        <v>0</v>
      </c>
      <c r="L595" s="554">
        <f t="shared" si="171"/>
        <v>0</v>
      </c>
      <c r="M595" s="554">
        <f t="shared" si="172"/>
        <v>0</v>
      </c>
      <c r="N595" s="104"/>
    </row>
    <row r="596" spans="1:14" s="73" customFormat="1" ht="26.45">
      <c r="A596" s="147"/>
      <c r="B596" s="311" t="s">
        <v>474</v>
      </c>
      <c r="C596" s="277" t="s">
        <v>459</v>
      </c>
      <c r="D596" s="313">
        <v>19102371001</v>
      </c>
      <c r="E596" s="553" t="str">
        <f>IFERROR(VLOOKUP(D596,'ВИС-2026'!$E$17:$H$2115,2,0),"")</f>
        <v>Панель смыва РЕХАУ NOVA LONG 001 с прямоугольными клавишами, пластик, золотой, матовый</v>
      </c>
      <c r="F596" s="292" t="str">
        <f>IFERROR(VLOOKUP(D596,'ВИС-2026'!$E$17:$H$2115,4,0),"")</f>
        <v>шт</v>
      </c>
      <c r="G596" s="428"/>
      <c r="H596" s="554">
        <f>IFERROR(VLOOKUP(D596,'ВИС-2026'!$E$17:$K$2649,7,0),"")</f>
        <v>70.38</v>
      </c>
      <c r="I596" s="554">
        <f t="shared" si="168"/>
        <v>0</v>
      </c>
      <c r="J596" s="554">
        <f t="shared" si="169"/>
        <v>70.38</v>
      </c>
      <c r="K596" s="554">
        <f t="shared" si="170"/>
        <v>0</v>
      </c>
      <c r="L596" s="554">
        <f t="shared" si="171"/>
        <v>0</v>
      </c>
      <c r="M596" s="554">
        <f t="shared" si="172"/>
        <v>0</v>
      </c>
      <c r="N596" s="104"/>
    </row>
    <row r="597" spans="1:14" s="73" customFormat="1" ht="26.45">
      <c r="A597" s="147"/>
      <c r="B597" s="311" t="s">
        <v>474</v>
      </c>
      <c r="C597" s="277" t="s">
        <v>459</v>
      </c>
      <c r="D597" s="313">
        <v>19102381001</v>
      </c>
      <c r="E597" s="553" t="str">
        <f>IFERROR(VLOOKUP(D597,'ВИС-2026'!$E$17:$H$2115,2,0),"")</f>
        <v>Панель смыва РЕХАУ NOVA LONG 001 с прямоугольными клавишами, пластик, розовое золото, матовый</v>
      </c>
      <c r="F597" s="292" t="str">
        <f>IFERROR(VLOOKUP(D597,'ВИС-2026'!$E$17:$H$2115,4,0),"")</f>
        <v>шт</v>
      </c>
      <c r="G597" s="428"/>
      <c r="H597" s="554">
        <f>IFERROR(VLOOKUP(D597,'ВИС-2026'!$E$17:$K$2649,7,0),"")</f>
        <v>70.38</v>
      </c>
      <c r="I597" s="554">
        <f t="shared" si="168"/>
        <v>0</v>
      </c>
      <c r="J597" s="554">
        <f t="shared" si="169"/>
        <v>70.38</v>
      </c>
      <c r="K597" s="554">
        <f t="shared" si="170"/>
        <v>0</v>
      </c>
      <c r="L597" s="554">
        <f t="shared" si="171"/>
        <v>0</v>
      </c>
      <c r="M597" s="554">
        <f t="shared" si="172"/>
        <v>0</v>
      </c>
      <c r="N597" s="104"/>
    </row>
    <row r="598" spans="1:14" s="73" customFormat="1">
      <c r="A598" s="147"/>
      <c r="B598" s="311"/>
      <c r="C598" s="277"/>
      <c r="D598" s="313"/>
      <c r="E598" s="176"/>
      <c r="F598" s="292"/>
      <c r="G598" s="428"/>
      <c r="H598" s="554"/>
      <c r="I598" s="554"/>
      <c r="J598" s="554"/>
      <c r="K598" s="554"/>
      <c r="L598" s="554"/>
      <c r="M598" s="554"/>
      <c r="N598" s="104"/>
    </row>
    <row r="599" spans="1:14" s="73" customFormat="1" ht="26.45">
      <c r="A599" s="147"/>
      <c r="B599" s="311" t="s">
        <v>30</v>
      </c>
      <c r="C599" s="277" t="s">
        <v>459</v>
      </c>
      <c r="D599" s="313">
        <v>19102401001</v>
      </c>
      <c r="E599" s="553" t="str">
        <f>IFERROR(VLOOKUP(D599,'ВИС-2026'!$E$17:$H$2115,2,0),"")</f>
        <v>Панель смыва РЕХАУ NOVA ELLIPSE 002 с овальными клавишами, пластик, белый, глянцевый, контур клавиш хром, глянцевый</v>
      </c>
      <c r="F599" s="292" t="str">
        <f>IFERROR(VLOOKUP(D599,'ВИС-2026'!$E$17:$H$2115,4,0),"")</f>
        <v>шт</v>
      </c>
      <c r="G599" s="428"/>
      <c r="H599" s="554">
        <f>IFERROR(VLOOKUP(D599,'ВИС-2026'!$E$17:$K$2649,7,0),"")</f>
        <v>37.69</v>
      </c>
      <c r="I599" s="554">
        <f t="shared" ref="I599" si="173">IFERROR(H599*G599,"")</f>
        <v>0</v>
      </c>
      <c r="J599" s="554">
        <f t="shared" ref="J599" si="174">IFERROR((IF(H599="","",H599-H599*$D$7)),"")</f>
        <v>37.69</v>
      </c>
      <c r="K599" s="554">
        <f t="shared" ref="K599" si="175">IFERROR(J599*G599, "")</f>
        <v>0</v>
      </c>
      <c r="L599" s="554">
        <f t="shared" ref="L599" si="176">IFERROR(J599*$D$8, "")</f>
        <v>0</v>
      </c>
      <c r="M599" s="554">
        <f t="shared" ref="M599" si="177">IFERROR(L599*G599, "")</f>
        <v>0</v>
      </c>
      <c r="N599" s="104"/>
    </row>
    <row r="600" spans="1:14" s="73" customFormat="1" ht="26.45">
      <c r="A600" s="147"/>
      <c r="B600" s="311" t="s">
        <v>30</v>
      </c>
      <c r="C600" s="277" t="s">
        <v>459</v>
      </c>
      <c r="D600" s="313">
        <v>19102411001</v>
      </c>
      <c r="E600" s="553" t="str">
        <f>IFERROR(VLOOKUP(D600,'ВИС-2026'!$E$17:$H$2115,2,0),"")</f>
        <v>Панель смыва РЕХАУ NOVA ELLIPSE 002 с овальными клавишами, пластик, хром глянцевый, контур клавиш хром, глянцевый</v>
      </c>
      <c r="F600" s="292" t="str">
        <f>IFERROR(VLOOKUP(D600,'ВИС-2026'!$E$17:$H$2115,4,0),"")</f>
        <v>шт</v>
      </c>
      <c r="G600" s="428"/>
      <c r="H600" s="554">
        <f>IFERROR(VLOOKUP(D600,'ВИС-2026'!$E$17:$K$2649,7,0),"")</f>
        <v>75.2</v>
      </c>
      <c r="I600" s="554">
        <f t="shared" ref="I600:I605" si="178">IFERROR(H600*G600,"")</f>
        <v>0</v>
      </c>
      <c r="J600" s="554">
        <f t="shared" ref="J600:J605" si="179">IFERROR((IF(H600="","",H600-H600*$D$7)),"")</f>
        <v>75.2</v>
      </c>
      <c r="K600" s="554">
        <f t="shared" ref="K600:K605" si="180">IFERROR(J600*G600, "")</f>
        <v>0</v>
      </c>
      <c r="L600" s="554">
        <f t="shared" ref="L600:L605" si="181">IFERROR(J600*$D$8, "")</f>
        <v>0</v>
      </c>
      <c r="M600" s="554">
        <f t="shared" ref="M600:M605" si="182">IFERROR(L600*G600, "")</f>
        <v>0</v>
      </c>
      <c r="N600" s="104"/>
    </row>
    <row r="601" spans="1:14" s="73" customFormat="1" ht="26.45">
      <c r="A601" s="147"/>
      <c r="B601" s="311" t="s">
        <v>474</v>
      </c>
      <c r="C601" s="277" t="s">
        <v>459</v>
      </c>
      <c r="D601" s="313">
        <v>19102421001</v>
      </c>
      <c r="E601" s="553" t="str">
        <f>IFERROR(VLOOKUP(D601,'ВИС-2026'!$E$17:$H$2115,2,0),"")</f>
        <v>Панель смыва РЕХАУ NOVA ELLIPSE 002 с овальными клавишами, пластик, серебристый, матовый, контур клавиш хром, глянцевый</v>
      </c>
      <c r="F601" s="292" t="str">
        <f>IFERROR(VLOOKUP(D601,'ВИС-2026'!$E$17:$H$2115,4,0),"")</f>
        <v>шт</v>
      </c>
      <c r="G601" s="428"/>
      <c r="H601" s="554">
        <f>IFERROR(VLOOKUP(D601,'ВИС-2026'!$E$17:$K$2649,7,0),"")</f>
        <v>70.38</v>
      </c>
      <c r="I601" s="554">
        <f t="shared" si="178"/>
        <v>0</v>
      </c>
      <c r="J601" s="554">
        <f t="shared" si="179"/>
        <v>70.38</v>
      </c>
      <c r="K601" s="554">
        <f t="shared" si="180"/>
        <v>0</v>
      </c>
      <c r="L601" s="554">
        <f t="shared" si="181"/>
        <v>0</v>
      </c>
      <c r="M601" s="554">
        <f t="shared" si="182"/>
        <v>0</v>
      </c>
      <c r="N601" s="104"/>
    </row>
    <row r="602" spans="1:14" s="73" customFormat="1" ht="26.45">
      <c r="A602" s="147"/>
      <c r="B602" s="311" t="s">
        <v>30</v>
      </c>
      <c r="C602" s="277" t="s">
        <v>459</v>
      </c>
      <c r="D602" s="313">
        <v>19102431001</v>
      </c>
      <c r="E602" s="553" t="str">
        <f>IFERROR(VLOOKUP(D602,'ВИС-2026'!$E$17:$H$2115,2,0),"")</f>
        <v>Панель смыва РЕХАУ NOVA ELLIPSE 002 с овальными клавишами, пластик, графитовый, матовый, контур клавиш хром, глянцевый</v>
      </c>
      <c r="F602" s="292" t="str">
        <f>IFERROR(VLOOKUP(D602,'ВИС-2026'!$E$17:$H$2115,4,0),"")</f>
        <v>шт</v>
      </c>
      <c r="G602" s="428"/>
      <c r="H602" s="554">
        <f>IFERROR(VLOOKUP(D602,'ВИС-2026'!$E$17:$K$2649,7,0),"")</f>
        <v>70.38</v>
      </c>
      <c r="I602" s="554">
        <f t="shared" si="178"/>
        <v>0</v>
      </c>
      <c r="J602" s="554">
        <f t="shared" si="179"/>
        <v>70.38</v>
      </c>
      <c r="K602" s="554">
        <f t="shared" si="180"/>
        <v>0</v>
      </c>
      <c r="L602" s="554">
        <f t="shared" si="181"/>
        <v>0</v>
      </c>
      <c r="M602" s="554">
        <f t="shared" si="182"/>
        <v>0</v>
      </c>
      <c r="N602" s="104"/>
    </row>
    <row r="603" spans="1:14" s="73" customFormat="1" ht="26.45">
      <c r="A603" s="147"/>
      <c r="B603" s="311" t="s">
        <v>30</v>
      </c>
      <c r="C603" s="277" t="s">
        <v>459</v>
      </c>
      <c r="D603" s="313">
        <v>19102441001</v>
      </c>
      <c r="E603" s="553" t="str">
        <f>IFERROR(VLOOKUP(D603,'ВИС-2026'!$E$17:$H$2115,2,0),"")</f>
        <v>Панель смыва РЕХАУ NOVA ELLIPSE 002 с овальными клавишами, пластик, черный, матовый, контур клавиш хром, глянцевый</v>
      </c>
      <c r="F603" s="292" t="str">
        <f>IFERROR(VLOOKUP(D603,'ВИС-2026'!$E$17:$H$2115,4,0),"")</f>
        <v>шт</v>
      </c>
      <c r="G603" s="428"/>
      <c r="H603" s="554">
        <f>IFERROR(VLOOKUP(D603,'ВИС-2026'!$E$17:$K$2649,7,0),"")</f>
        <v>70.38</v>
      </c>
      <c r="I603" s="554">
        <f t="shared" si="178"/>
        <v>0</v>
      </c>
      <c r="J603" s="554">
        <f t="shared" si="179"/>
        <v>70.38</v>
      </c>
      <c r="K603" s="554">
        <f t="shared" si="180"/>
        <v>0</v>
      </c>
      <c r="L603" s="554">
        <f t="shared" si="181"/>
        <v>0</v>
      </c>
      <c r="M603" s="554">
        <f t="shared" si="182"/>
        <v>0</v>
      </c>
      <c r="N603" s="104"/>
    </row>
    <row r="604" spans="1:14" s="73" customFormat="1" ht="26.45">
      <c r="A604" s="147"/>
      <c r="B604" s="311" t="s">
        <v>474</v>
      </c>
      <c r="C604" s="277" t="s">
        <v>459</v>
      </c>
      <c r="D604" s="313">
        <v>19102451001</v>
      </c>
      <c r="E604" s="553" t="str">
        <f>IFERROR(VLOOKUP(D604,'ВИС-2026'!$E$17:$H$2115,2,0),"")</f>
        <v>Панель смыва РЕХАУ NOVA ELLIPSE 002 с овальными клавишами, пластик, золотой, матовый, контур клавиш хром, глянцевый</v>
      </c>
      <c r="F604" s="292" t="str">
        <f>IFERROR(VLOOKUP(D604,'ВИС-2026'!$E$17:$H$2115,4,0),"")</f>
        <v>шт</v>
      </c>
      <c r="G604" s="428"/>
      <c r="H604" s="554">
        <f>IFERROR(VLOOKUP(D604,'ВИС-2026'!$E$17:$K$2649,7,0),"")</f>
        <v>70.38</v>
      </c>
      <c r="I604" s="554">
        <f t="shared" si="178"/>
        <v>0</v>
      </c>
      <c r="J604" s="554">
        <f t="shared" si="179"/>
        <v>70.38</v>
      </c>
      <c r="K604" s="554">
        <f t="shared" si="180"/>
        <v>0</v>
      </c>
      <c r="L604" s="554">
        <f t="shared" si="181"/>
        <v>0</v>
      </c>
      <c r="M604" s="554">
        <f t="shared" si="182"/>
        <v>0</v>
      </c>
      <c r="N604" s="104"/>
    </row>
    <row r="605" spans="1:14" s="73" customFormat="1" ht="26.45">
      <c r="A605" s="147"/>
      <c r="B605" s="311" t="s">
        <v>474</v>
      </c>
      <c r="C605" s="277" t="s">
        <v>459</v>
      </c>
      <c r="D605" s="313">
        <v>19102461001</v>
      </c>
      <c r="E605" s="553" t="str">
        <f>IFERROR(VLOOKUP(D605,'ВИС-2026'!$E$17:$H$2115,2,0),"")</f>
        <v>Панель смыва РЕХАУ NOVA ELLIPSE 002 с овальными клавишами, пластик, розовое золото, матовый, контур клавиш хром, глянцевый</v>
      </c>
      <c r="F605" s="292" t="str">
        <f>IFERROR(VLOOKUP(D605,'ВИС-2026'!$E$17:$H$2115,4,0),"")</f>
        <v>шт</v>
      </c>
      <c r="G605" s="428"/>
      <c r="H605" s="554">
        <f>IFERROR(VLOOKUP(D605,'ВИС-2026'!$E$17:$K$2649,7,0),"")</f>
        <v>70.38</v>
      </c>
      <c r="I605" s="554">
        <f t="shared" si="178"/>
        <v>0</v>
      </c>
      <c r="J605" s="554">
        <f t="shared" si="179"/>
        <v>70.38</v>
      </c>
      <c r="K605" s="554">
        <f t="shared" si="180"/>
        <v>0</v>
      </c>
      <c r="L605" s="554">
        <f t="shared" si="181"/>
        <v>0</v>
      </c>
      <c r="M605" s="554">
        <f t="shared" si="182"/>
        <v>0</v>
      </c>
      <c r="N605" s="104"/>
    </row>
    <row r="606" spans="1:14" s="73" customFormat="1">
      <c r="A606" s="147"/>
      <c r="B606" s="311"/>
      <c r="C606" s="277"/>
      <c r="D606" s="313"/>
      <c r="E606" s="176"/>
      <c r="F606" s="292"/>
      <c r="G606" s="428"/>
      <c r="H606" s="554"/>
      <c r="I606" s="554"/>
      <c r="J606" s="554"/>
      <c r="K606" s="554"/>
      <c r="L606" s="554"/>
      <c r="M606" s="554"/>
      <c r="N606" s="104"/>
    </row>
    <row r="607" spans="1:14" s="73" customFormat="1" ht="26.45">
      <c r="A607" s="147"/>
      <c r="B607" s="311" t="s">
        <v>30</v>
      </c>
      <c r="C607" s="277" t="s">
        <v>459</v>
      </c>
      <c r="D607" s="313">
        <v>19102501001</v>
      </c>
      <c r="E607" s="553" t="str">
        <f>IFERROR(VLOOKUP(D607,'ВИС-2026'!$E$17:$H$2115,2,0),"")</f>
        <v>Панель смыва РЕХАУ NOVA LONG 002 с прямоугольными клавишами, пластик, белый, глянцевый, нижняя полоса клавиш хром, глянцевый</v>
      </c>
      <c r="F607" s="292" t="str">
        <f>IFERROR(VLOOKUP(D607,'ВИС-2026'!$E$17:$H$2115,4,0),"")</f>
        <v>шт</v>
      </c>
      <c r="G607" s="428"/>
      <c r="H607" s="554">
        <f>IFERROR(VLOOKUP(D607,'ВИС-2026'!$E$17:$K$2649,7,0),"")</f>
        <v>37.69</v>
      </c>
      <c r="I607" s="554">
        <f t="shared" ref="I607" si="183">IFERROR(H607*G607,"")</f>
        <v>0</v>
      </c>
      <c r="J607" s="554">
        <f t="shared" ref="J607" si="184">IFERROR((IF(H607="","",H607-H607*$D$7)),"")</f>
        <v>37.69</v>
      </c>
      <c r="K607" s="554">
        <f t="shared" ref="K607" si="185">IFERROR(J607*G607, "")</f>
        <v>0</v>
      </c>
      <c r="L607" s="554">
        <f t="shared" ref="L607" si="186">IFERROR(J607*$D$8, "")</f>
        <v>0</v>
      </c>
      <c r="M607" s="554">
        <f t="shared" ref="M607" si="187">IFERROR(L607*G607, "")</f>
        <v>0</v>
      </c>
      <c r="N607" s="104"/>
    </row>
    <row r="608" spans="1:14" s="73" customFormat="1" ht="26.45">
      <c r="A608" s="147"/>
      <c r="B608" s="311" t="s">
        <v>30</v>
      </c>
      <c r="C608" s="277" t="s">
        <v>459</v>
      </c>
      <c r="D608" s="313">
        <v>19102511001</v>
      </c>
      <c r="E608" s="553" t="str">
        <f>IFERROR(VLOOKUP(D608,'ВИС-2026'!$E$17:$H$2115,2,0),"")</f>
        <v>Панель смыва РЕХАУ NOVA LONG 002 с прямоугольными клавишами, пластик, хром, глянцевый, нижняя полоса клавиш хром, глянцевый</v>
      </c>
      <c r="F608" s="292" t="str">
        <f>IFERROR(VLOOKUP(D608,'ВИС-2026'!$E$17:$H$2115,4,0),"")</f>
        <v>шт</v>
      </c>
      <c r="G608" s="428"/>
      <c r="H608" s="554">
        <f>IFERROR(VLOOKUP(D608,'ВИС-2026'!$E$17:$K$2649,7,0),"")</f>
        <v>75.2</v>
      </c>
      <c r="I608" s="554">
        <f t="shared" ref="I608:I641" si="188">IFERROR(H608*G608,"")</f>
        <v>0</v>
      </c>
      <c r="J608" s="554">
        <f t="shared" ref="J608:J641" si="189">IFERROR((IF(H608="","",H608-H608*$D$7)),"")</f>
        <v>75.2</v>
      </c>
      <c r="K608" s="554">
        <f t="shared" ref="K608:K641" si="190">IFERROR(J608*G608, "")</f>
        <v>0</v>
      </c>
      <c r="L608" s="554">
        <f t="shared" ref="L608:L641" si="191">IFERROR(J608*$D$8, "")</f>
        <v>0</v>
      </c>
      <c r="M608" s="554">
        <f t="shared" ref="M608:M641" si="192">IFERROR(L608*G608, "")</f>
        <v>0</v>
      </c>
      <c r="N608" s="104"/>
    </row>
    <row r="609" spans="1:14" s="73" customFormat="1" ht="26.45">
      <c r="A609" s="147"/>
      <c r="B609" s="311" t="s">
        <v>474</v>
      </c>
      <c r="C609" s="277" t="s">
        <v>459</v>
      </c>
      <c r="D609" s="313">
        <v>19102521001</v>
      </c>
      <c r="E609" s="553" t="str">
        <f>IFERROR(VLOOKUP(D609,'ВИС-2026'!$E$17:$H$2115,2,0),"")</f>
        <v>Панель смыва РЕХАУ NOVA LONG 002 с прямоугольными клавишами, пластик, серебристый, матовый, нижняя полоса клавиш хром, глянцевый</v>
      </c>
      <c r="F609" s="292" t="str">
        <f>IFERROR(VLOOKUP(D609,'ВИС-2026'!$E$17:$H$2115,4,0),"")</f>
        <v>шт</v>
      </c>
      <c r="G609" s="428"/>
      <c r="H609" s="554">
        <f>IFERROR(VLOOKUP(D609,'ВИС-2026'!$E$17:$K$2649,7,0),"")</f>
        <v>70.38</v>
      </c>
      <c r="I609" s="554">
        <f t="shared" si="188"/>
        <v>0</v>
      </c>
      <c r="J609" s="554">
        <f t="shared" si="189"/>
        <v>70.38</v>
      </c>
      <c r="K609" s="554">
        <f t="shared" si="190"/>
        <v>0</v>
      </c>
      <c r="L609" s="554">
        <f t="shared" si="191"/>
        <v>0</v>
      </c>
      <c r="M609" s="554">
        <f t="shared" si="192"/>
        <v>0</v>
      </c>
      <c r="N609" s="104"/>
    </row>
    <row r="610" spans="1:14" s="73" customFormat="1" ht="26.45">
      <c r="A610" s="147"/>
      <c r="B610" s="311" t="s">
        <v>30</v>
      </c>
      <c r="C610" s="277" t="s">
        <v>459</v>
      </c>
      <c r="D610" s="313">
        <v>19102531001</v>
      </c>
      <c r="E610" s="553" t="str">
        <f>IFERROR(VLOOKUP(D610,'ВИС-2026'!$E$17:$H$2115,2,0),"")</f>
        <v>Панель смыва РЕХАУ NOVA LONG 002 с прямоугольными клавишами, пластик, графит,матовый,  нижняя полоса клавиш хром, глянцевый</v>
      </c>
      <c r="F610" s="292" t="str">
        <f>IFERROR(VLOOKUP(D610,'ВИС-2026'!$E$17:$H$2115,4,0),"")</f>
        <v>шт</v>
      </c>
      <c r="G610" s="428"/>
      <c r="H610" s="554">
        <f>IFERROR(VLOOKUP(D610,'ВИС-2026'!$E$17:$K$2649,7,0),"")</f>
        <v>70.38</v>
      </c>
      <c r="I610" s="554">
        <f t="shared" si="188"/>
        <v>0</v>
      </c>
      <c r="J610" s="554">
        <f t="shared" si="189"/>
        <v>70.38</v>
      </c>
      <c r="K610" s="554">
        <f t="shared" si="190"/>
        <v>0</v>
      </c>
      <c r="L610" s="554">
        <f t="shared" si="191"/>
        <v>0</v>
      </c>
      <c r="M610" s="554">
        <f t="shared" si="192"/>
        <v>0</v>
      </c>
      <c r="N610" s="104"/>
    </row>
    <row r="611" spans="1:14" s="73" customFormat="1" ht="26.45">
      <c r="A611" s="147"/>
      <c r="B611" s="311" t="s">
        <v>30</v>
      </c>
      <c r="C611" s="277" t="s">
        <v>459</v>
      </c>
      <c r="D611" s="313">
        <v>19102541001</v>
      </c>
      <c r="E611" s="553" t="str">
        <f>IFERROR(VLOOKUP(D611,'ВИС-2026'!$E$17:$H$2115,2,0),"")</f>
        <v>Панель смыва РЕХАУ NOVA LONG 002 с прямоугольными клавишами, пластик, черный, матовый, нижняя полоса клавиш хром, глянцевый</v>
      </c>
      <c r="F611" s="292" t="str">
        <f>IFERROR(VLOOKUP(D611,'ВИС-2026'!$E$17:$H$2115,4,0),"")</f>
        <v>шт</v>
      </c>
      <c r="G611" s="428"/>
      <c r="H611" s="554">
        <f>IFERROR(VLOOKUP(D611,'ВИС-2026'!$E$17:$K$2649,7,0),"")</f>
        <v>70.38</v>
      </c>
      <c r="I611" s="554">
        <f t="shared" si="188"/>
        <v>0</v>
      </c>
      <c r="J611" s="554">
        <f t="shared" si="189"/>
        <v>70.38</v>
      </c>
      <c r="K611" s="554">
        <f t="shared" si="190"/>
        <v>0</v>
      </c>
      <c r="L611" s="554">
        <f t="shared" si="191"/>
        <v>0</v>
      </c>
      <c r="M611" s="554">
        <f t="shared" si="192"/>
        <v>0</v>
      </c>
      <c r="N611" s="104"/>
    </row>
    <row r="612" spans="1:14" s="73" customFormat="1" ht="26.45">
      <c r="A612" s="147"/>
      <c r="B612" s="311" t="s">
        <v>474</v>
      </c>
      <c r="C612" s="277" t="s">
        <v>459</v>
      </c>
      <c r="D612" s="313">
        <v>19102551001</v>
      </c>
      <c r="E612" s="553" t="str">
        <f>IFERROR(VLOOKUP(D612,'ВИС-2026'!$E$17:$H$2115,2,0),"")</f>
        <v>Панель смыва РЕХАУ NOVA LONG 002 с прямоугольными клавишами, пластик, золотой, матовый, нижняя полоса клавиш хром, глянцевый</v>
      </c>
      <c r="F612" s="292" t="str">
        <f>IFERROR(VLOOKUP(D612,'ВИС-2026'!$E$17:$H$2115,4,0),"")</f>
        <v>шт</v>
      </c>
      <c r="G612" s="428"/>
      <c r="H612" s="554">
        <f>IFERROR(VLOOKUP(D612,'ВИС-2026'!$E$17:$K$2649,7,0),"")</f>
        <v>70.38</v>
      </c>
      <c r="I612" s="554">
        <f t="shared" si="188"/>
        <v>0</v>
      </c>
      <c r="J612" s="554">
        <f t="shared" si="189"/>
        <v>70.38</v>
      </c>
      <c r="K612" s="554">
        <f t="shared" si="190"/>
        <v>0</v>
      </c>
      <c r="L612" s="554">
        <f t="shared" si="191"/>
        <v>0</v>
      </c>
      <c r="M612" s="554">
        <f t="shared" si="192"/>
        <v>0</v>
      </c>
      <c r="N612" s="104"/>
    </row>
    <row r="613" spans="1:14" s="73" customFormat="1" ht="26.45">
      <c r="A613" s="147"/>
      <c r="B613" s="311" t="s">
        <v>474</v>
      </c>
      <c r="C613" s="277" t="s">
        <v>459</v>
      </c>
      <c r="D613" s="313">
        <v>19102561001</v>
      </c>
      <c r="E613" s="553" t="str">
        <f>IFERROR(VLOOKUP(D613,'ВИС-2026'!$E$17:$H$2115,2,0),"")</f>
        <v>Панель смыва РЕХАУ NOVA LONG 002 с прямоугольными клавишами, пластик, розовое золото, нижняя полоса клавиш хром, глянцевый</v>
      </c>
      <c r="F613" s="292" t="str">
        <f>IFERROR(VLOOKUP(D613,'ВИС-2026'!$E$17:$H$2115,4,0),"")</f>
        <v>шт</v>
      </c>
      <c r="G613" s="428"/>
      <c r="H613" s="554">
        <f>IFERROR(VLOOKUP(D613,'ВИС-2026'!$E$17:$K$2649,7,0),"")</f>
        <v>70.38</v>
      </c>
      <c r="I613" s="554">
        <f t="shared" si="188"/>
        <v>0</v>
      </c>
      <c r="J613" s="554">
        <f t="shared" si="189"/>
        <v>70.38</v>
      </c>
      <c r="K613" s="554">
        <f t="shared" si="190"/>
        <v>0</v>
      </c>
      <c r="L613" s="554">
        <f t="shared" si="191"/>
        <v>0</v>
      </c>
      <c r="M613" s="554">
        <f t="shared" si="192"/>
        <v>0</v>
      </c>
      <c r="N613" s="104"/>
    </row>
    <row r="614" spans="1:14" s="73" customFormat="1" ht="11.25" customHeight="1">
      <c r="A614" s="147"/>
      <c r="B614" s="311"/>
      <c r="C614" s="277"/>
      <c r="D614" s="313"/>
      <c r="E614" s="553"/>
      <c r="F614" s="292"/>
      <c r="G614" s="428"/>
      <c r="H614" s="554"/>
      <c r="I614" s="554"/>
      <c r="J614" s="554"/>
      <c r="K614" s="554"/>
      <c r="L614" s="554"/>
      <c r="M614" s="554"/>
      <c r="N614" s="104"/>
    </row>
    <row r="615" spans="1:14" s="73" customFormat="1" ht="26.45">
      <c r="A615" s="147"/>
      <c r="B615" s="311" t="s">
        <v>30</v>
      </c>
      <c r="C615" s="277" t="s">
        <v>459</v>
      </c>
      <c r="D615" s="313">
        <v>19102901001</v>
      </c>
      <c r="E615" s="553" t="str">
        <f>IFERROR(VLOOKUP(D615,'ВИС-2026'!$E$17:$H$2115,2,0),"")</f>
        <v>Панель смыва РЕХАУ NOVA ORB GLASS с круглыми клавишами, закаленное стекло, белый, клавиши и их контур хром, глянцевый</v>
      </c>
      <c r="F615" s="292" t="str">
        <f>IFERROR(VLOOKUP(D615,'ВИС-2026'!$E$17:$H$2115,4,0),"")</f>
        <v>шт</v>
      </c>
      <c r="G615" s="428"/>
      <c r="H615" s="554">
        <f>IFERROR(VLOOKUP(D615,'ВИС-2026'!$E$17:$K$2649,7,0),"")</f>
        <v>114.01</v>
      </c>
      <c r="I615" s="554">
        <f t="shared" si="188"/>
        <v>0</v>
      </c>
      <c r="J615" s="554">
        <f t="shared" si="189"/>
        <v>114.01</v>
      </c>
      <c r="K615" s="554">
        <f t="shared" si="190"/>
        <v>0</v>
      </c>
      <c r="L615" s="554">
        <f t="shared" si="191"/>
        <v>0</v>
      </c>
      <c r="M615" s="554">
        <f t="shared" si="192"/>
        <v>0</v>
      </c>
      <c r="N615" s="104"/>
    </row>
    <row r="616" spans="1:14" s="73" customFormat="1" ht="26.45">
      <c r="A616" s="147"/>
      <c r="B616" s="311" t="s">
        <v>30</v>
      </c>
      <c r="C616" s="277" t="s">
        <v>459</v>
      </c>
      <c r="D616" s="313">
        <v>19102911001</v>
      </c>
      <c r="E616" s="553" t="str">
        <f>IFERROR(VLOOKUP(D616,'ВИС-2026'!$E$17:$H$2115,2,0),"")</f>
        <v>Панель смыва РЕХАУ NOVA ORB GLASS с круглыми клавишами, закаленное стекло, черный, клавиши и их контур хром, глянцевый</v>
      </c>
      <c r="F616" s="292" t="str">
        <f>IFERROR(VLOOKUP(D616,'ВИС-2026'!$E$17:$H$2115,4,0),"")</f>
        <v>шт</v>
      </c>
      <c r="G616" s="428"/>
      <c r="H616" s="554">
        <f>IFERROR(VLOOKUP(D616,'ВИС-2026'!$E$17:$K$2649,7,0),"")</f>
        <v>114.01</v>
      </c>
      <c r="I616" s="554">
        <f t="shared" si="188"/>
        <v>0</v>
      </c>
      <c r="J616" s="554">
        <f t="shared" si="189"/>
        <v>114.01</v>
      </c>
      <c r="K616" s="554">
        <f t="shared" si="190"/>
        <v>0</v>
      </c>
      <c r="L616" s="554">
        <f t="shared" si="191"/>
        <v>0</v>
      </c>
      <c r="M616" s="554">
        <f t="shared" si="192"/>
        <v>0</v>
      </c>
      <c r="N616" s="104"/>
    </row>
    <row r="617" spans="1:14" s="73" customFormat="1" ht="26.45">
      <c r="A617" s="147"/>
      <c r="B617" s="311" t="s">
        <v>30</v>
      </c>
      <c r="C617" s="277" t="s">
        <v>459</v>
      </c>
      <c r="D617" s="313">
        <v>19102921001</v>
      </c>
      <c r="E617" s="553" t="str">
        <f>IFERROR(VLOOKUP(D617,'ВИС-2026'!$E$17:$H$2115,2,0),"")</f>
        <v>Панель смыва РЕХАУ NOVA ORB GLASS с круглыми клавишами, закаленное стекло, красный, клавиши и их контур хром, глянцевый</v>
      </c>
      <c r="F617" s="292" t="str">
        <f>IFERROR(VLOOKUP(D617,'ВИС-2026'!$E$17:$H$2115,4,0),"")</f>
        <v>шт</v>
      </c>
      <c r="G617" s="428"/>
      <c r="H617" s="554">
        <f>IFERROR(VLOOKUP(D617,'ВИС-2026'!$E$17:$K$2649,7,0),"")</f>
        <v>114.01</v>
      </c>
      <c r="I617" s="554">
        <f t="shared" si="188"/>
        <v>0</v>
      </c>
      <c r="J617" s="554">
        <f t="shared" si="189"/>
        <v>114.01</v>
      </c>
      <c r="K617" s="554">
        <f t="shared" si="190"/>
        <v>0</v>
      </c>
      <c r="L617" s="554">
        <f t="shared" si="191"/>
        <v>0</v>
      </c>
      <c r="M617" s="554">
        <f t="shared" si="192"/>
        <v>0</v>
      </c>
      <c r="N617" s="104"/>
    </row>
    <row r="618" spans="1:14" s="73" customFormat="1" ht="14.25" customHeight="1">
      <c r="A618" s="147"/>
      <c r="B618" s="311"/>
      <c r="C618" s="277"/>
      <c r="D618" s="313"/>
      <c r="E618" s="553" t="str">
        <f>IFERROR(VLOOKUP(D618,'ВИС-2026'!$E$17:$H$2115,2,0),"")</f>
        <v/>
      </c>
      <c r="F618" s="292" t="str">
        <f>IFERROR(VLOOKUP(D618,'ВИС-2026'!$E$17:$H$2115,4,0),"")</f>
        <v/>
      </c>
      <c r="G618" s="428"/>
      <c r="H618" s="554" t="str">
        <f>IFERROR(VLOOKUP(D618,'ВИС-2026'!$E$17:$K$2649,7,0),"")</f>
        <v/>
      </c>
      <c r="I618" s="554" t="str">
        <f t="shared" si="188"/>
        <v/>
      </c>
      <c r="J618" s="554" t="str">
        <f t="shared" si="189"/>
        <v/>
      </c>
      <c r="K618" s="554" t="str">
        <f t="shared" si="190"/>
        <v/>
      </c>
      <c r="L618" s="554" t="str">
        <f t="shared" si="191"/>
        <v/>
      </c>
      <c r="M618" s="554" t="str">
        <f t="shared" si="192"/>
        <v/>
      </c>
      <c r="N618" s="104"/>
    </row>
    <row r="619" spans="1:14" s="73" customFormat="1" ht="43.5" customHeight="1">
      <c r="A619" s="147"/>
      <c r="B619" s="311" t="s">
        <v>30</v>
      </c>
      <c r="C619" s="277" t="s">
        <v>459</v>
      </c>
      <c r="D619" s="313">
        <v>19102601001</v>
      </c>
      <c r="E619" s="553" t="str">
        <f>IFERROR(VLOOKUP(D619,'ВИС-2026'!$E$17:$H$2115,2,0),"")</f>
        <v>Панель смыва РЕХАУ NOVA ORB STEEL с круглыми клавишами с покрытием против отпечатков пальцев, нержавеющая сталь, цвет брашированная нержавеющая сталь, матовый</v>
      </c>
      <c r="F619" s="292" t="str">
        <f>IFERROR(VLOOKUP(D619,'ВИС-2026'!$E$17:$H$2115,4,0),"")</f>
        <v>шт</v>
      </c>
      <c r="G619" s="428"/>
      <c r="H619" s="554">
        <f>IFERROR(VLOOKUP(D619,'ВИС-2026'!$E$17:$K$2649,7,0),"")</f>
        <v>95.09</v>
      </c>
      <c r="I619" s="554">
        <f t="shared" si="188"/>
        <v>0</v>
      </c>
      <c r="J619" s="554">
        <f t="shared" si="189"/>
        <v>95.09</v>
      </c>
      <c r="K619" s="554">
        <f t="shared" si="190"/>
        <v>0</v>
      </c>
      <c r="L619" s="554">
        <f t="shared" si="191"/>
        <v>0</v>
      </c>
      <c r="M619" s="554">
        <f t="shared" si="192"/>
        <v>0</v>
      </c>
      <c r="N619" s="104"/>
    </row>
    <row r="620" spans="1:14" s="73" customFormat="1" ht="43.5" customHeight="1">
      <c r="A620" s="147"/>
      <c r="B620" s="311" t="s">
        <v>30</v>
      </c>
      <c r="C620" s="277" t="s">
        <v>459</v>
      </c>
      <c r="D620" s="313">
        <v>19102611001</v>
      </c>
      <c r="E620" s="553" t="str">
        <f>IFERROR(VLOOKUP(D620,'ВИС-2026'!$E$17:$H$2115,2,0),"")</f>
        <v>Панель смыва РЕХАУ NOVA ORB STEEL с круглыми клавишами, нержавеющая сталь, цвет нержавеющая сталь, глянцевый</v>
      </c>
      <c r="F620" s="292" t="str">
        <f>IFERROR(VLOOKUP(D620,'ВИС-2026'!$E$17:$H$2115,4,0),"")</f>
        <v>шт</v>
      </c>
      <c r="G620" s="428"/>
      <c r="H620" s="554">
        <f>IFERROR(VLOOKUP(D620,'ВИС-2026'!$E$17:$K$2649,7,0),"")</f>
        <v>95.09</v>
      </c>
      <c r="I620" s="554">
        <f t="shared" si="188"/>
        <v>0</v>
      </c>
      <c r="J620" s="554">
        <f t="shared" si="189"/>
        <v>95.09</v>
      </c>
      <c r="K620" s="554">
        <f t="shared" si="190"/>
        <v>0</v>
      </c>
      <c r="L620" s="554">
        <f t="shared" si="191"/>
        <v>0</v>
      </c>
      <c r="M620" s="554">
        <f t="shared" si="192"/>
        <v>0</v>
      </c>
      <c r="N620" s="104"/>
    </row>
    <row r="621" spans="1:14" s="73" customFormat="1" ht="43.5" customHeight="1">
      <c r="A621" s="147"/>
      <c r="B621" s="311" t="s">
        <v>30</v>
      </c>
      <c r="C621" s="277" t="s">
        <v>459</v>
      </c>
      <c r="D621" s="313">
        <v>19102621001</v>
      </c>
      <c r="E621" s="553" t="str">
        <f>IFERROR(VLOOKUP(D621,'ВИС-2026'!$E$17:$H$2115,2,0),"")</f>
        <v>Панель смыва РЕХАУ NOVA ORB STEEL с круглыми клавишами с покрытием против отпечатков пальцев, нержавеющая сталь, брашированный графитовый, матовый</v>
      </c>
      <c r="F621" s="292" t="str">
        <f>IFERROR(VLOOKUP(D621,'ВИС-2026'!$E$17:$H$2115,4,0),"")</f>
        <v>шт</v>
      </c>
      <c r="G621" s="428"/>
      <c r="H621" s="554">
        <f>IFERROR(VLOOKUP(D621,'ВИС-2026'!$E$17:$K$2649,7,0),"")</f>
        <v>160.09</v>
      </c>
      <c r="I621" s="554">
        <f t="shared" si="188"/>
        <v>0</v>
      </c>
      <c r="J621" s="554">
        <f t="shared" si="189"/>
        <v>160.09</v>
      </c>
      <c r="K621" s="554">
        <f t="shared" si="190"/>
        <v>0</v>
      </c>
      <c r="L621" s="554">
        <f t="shared" si="191"/>
        <v>0</v>
      </c>
      <c r="M621" s="554">
        <f t="shared" si="192"/>
        <v>0</v>
      </c>
      <c r="N621" s="104"/>
    </row>
    <row r="622" spans="1:14" s="73" customFormat="1" ht="43.5" customHeight="1">
      <c r="A622" s="147"/>
      <c r="B622" s="311" t="s">
        <v>30</v>
      </c>
      <c r="C622" s="277" t="s">
        <v>459</v>
      </c>
      <c r="D622" s="313">
        <v>19102631001</v>
      </c>
      <c r="E622" s="553" t="str">
        <f>IFERROR(VLOOKUP(D622,'ВИС-2026'!$E$17:$H$2115,2,0),"")</f>
        <v>Панель смыва РЕХАУ NOVA ORB STEEL с круглыми клавишами с покрытием против отпечатков пальцев, нержавеющая сталь, черный, матовый</v>
      </c>
      <c r="F622" s="292" t="str">
        <f>IFERROR(VLOOKUP(D622,'ВИС-2026'!$E$17:$H$2115,4,0),"")</f>
        <v>шт</v>
      </c>
      <c r="G622" s="428"/>
      <c r="H622" s="554">
        <f>IFERROR(VLOOKUP(D622,'ВИС-2026'!$E$17:$K$2649,7,0),"")</f>
        <v>95.09</v>
      </c>
      <c r="I622" s="554">
        <f t="shared" si="188"/>
        <v>0</v>
      </c>
      <c r="J622" s="554">
        <f t="shared" si="189"/>
        <v>95.09</v>
      </c>
      <c r="K622" s="554">
        <f t="shared" si="190"/>
        <v>0</v>
      </c>
      <c r="L622" s="554">
        <f t="shared" si="191"/>
        <v>0</v>
      </c>
      <c r="M622" s="554">
        <f t="shared" si="192"/>
        <v>0</v>
      </c>
      <c r="N622" s="104"/>
    </row>
    <row r="623" spans="1:14" s="73" customFormat="1" ht="43.5" customHeight="1">
      <c r="A623" s="147"/>
      <c r="B623" s="311" t="s">
        <v>30</v>
      </c>
      <c r="C623" s="277" t="s">
        <v>459</v>
      </c>
      <c r="D623" s="313">
        <v>19102641001</v>
      </c>
      <c r="E623" s="553" t="str">
        <f>IFERROR(VLOOKUP(D623,'ВИС-2026'!$E$17:$H$2115,2,0),"")</f>
        <v>Панель смыва РЕХАУ NOVA ORB STEEL с круглыми клавишами с покрытием против отпечатков пальцев, нержавеющая сталь, брашированное розовое золото, матовый</v>
      </c>
      <c r="F623" s="292" t="str">
        <f>IFERROR(VLOOKUP(D623,'ВИС-2026'!$E$17:$H$2115,4,0),"")</f>
        <v>шт</v>
      </c>
      <c r="G623" s="428"/>
      <c r="H623" s="554">
        <f>IFERROR(VLOOKUP(D623,'ВИС-2026'!$E$17:$K$2649,7,0),"")</f>
        <v>160.09</v>
      </c>
      <c r="I623" s="554">
        <f t="shared" si="188"/>
        <v>0</v>
      </c>
      <c r="J623" s="554">
        <f t="shared" si="189"/>
        <v>160.09</v>
      </c>
      <c r="K623" s="554">
        <f t="shared" si="190"/>
        <v>0</v>
      </c>
      <c r="L623" s="554">
        <f t="shared" si="191"/>
        <v>0</v>
      </c>
      <c r="M623" s="554">
        <f t="shared" si="192"/>
        <v>0</v>
      </c>
      <c r="N623" s="104"/>
    </row>
    <row r="624" spans="1:14" s="73" customFormat="1" ht="43.5" customHeight="1">
      <c r="A624" s="147"/>
      <c r="B624" s="311" t="s">
        <v>30</v>
      </c>
      <c r="C624" s="277" t="s">
        <v>459</v>
      </c>
      <c r="D624" s="313">
        <v>19102651001</v>
      </c>
      <c r="E624" s="553" t="str">
        <f>IFERROR(VLOOKUP(D624,'ВИС-2026'!$E$17:$H$2115,2,0),"")</f>
        <v>Панель смыва РЕХАУ NOVA ORB STEEL с круглыми клавишами с покрытием против отпечатков пальцев, нержавеющая сталь, брашированное циркониевое золото, матовый</v>
      </c>
      <c r="F624" s="292" t="str">
        <f>IFERROR(VLOOKUP(D624,'ВИС-2026'!$E$17:$H$2115,4,0),"")</f>
        <v>шт</v>
      </c>
      <c r="G624" s="428"/>
      <c r="H624" s="554">
        <f>IFERROR(VLOOKUP(D624,'ВИС-2026'!$E$17:$K$2649,7,0),"")</f>
        <v>160.09</v>
      </c>
      <c r="I624" s="554">
        <f t="shared" si="188"/>
        <v>0</v>
      </c>
      <c r="J624" s="554">
        <f t="shared" si="189"/>
        <v>160.09</v>
      </c>
      <c r="K624" s="554">
        <f t="shared" si="190"/>
        <v>0</v>
      </c>
      <c r="L624" s="554">
        <f t="shared" si="191"/>
        <v>0</v>
      </c>
      <c r="M624" s="554">
        <f t="shared" si="192"/>
        <v>0</v>
      </c>
      <c r="N624" s="104"/>
    </row>
    <row r="625" spans="1:14" s="73" customFormat="1" ht="43.5" customHeight="1">
      <c r="A625" s="147"/>
      <c r="B625" s="311" t="s">
        <v>30</v>
      </c>
      <c r="C625" s="277" t="s">
        <v>459</v>
      </c>
      <c r="D625" s="313">
        <v>19102661001</v>
      </c>
      <c r="E625" s="553" t="str">
        <f>IFERROR(VLOOKUP(D625,'ВИС-2026'!$E$17:$H$2115,2,0),"")</f>
        <v>Панель смыва РЕХАУ NOVA ORB STEEL с круглыми клавишами с покрытием против отпечатков пальцев, нержавеющая сталь, брашированное титановое золото, матовый</v>
      </c>
      <c r="F625" s="292" t="str">
        <f>IFERROR(VLOOKUP(D625,'ВИС-2026'!$E$17:$H$2115,4,0),"")</f>
        <v>шт</v>
      </c>
      <c r="G625" s="428"/>
      <c r="H625" s="554">
        <f>IFERROR(VLOOKUP(D625,'ВИС-2026'!$E$17:$K$2649,7,0),"")</f>
        <v>160.09</v>
      </c>
      <c r="I625" s="554">
        <f t="shared" si="188"/>
        <v>0</v>
      </c>
      <c r="J625" s="554">
        <f t="shared" si="189"/>
        <v>160.09</v>
      </c>
      <c r="K625" s="554">
        <f t="shared" si="190"/>
        <v>0</v>
      </c>
      <c r="L625" s="554">
        <f t="shared" si="191"/>
        <v>0</v>
      </c>
      <c r="M625" s="554">
        <f t="shared" si="192"/>
        <v>0</v>
      </c>
      <c r="N625" s="104"/>
    </row>
    <row r="626" spans="1:14" s="73" customFormat="1" ht="15" customHeight="1">
      <c r="A626" s="147"/>
      <c r="B626" s="311"/>
      <c r="C626" s="277"/>
      <c r="D626" s="313"/>
      <c r="E626" s="553" t="str">
        <f>IFERROR(VLOOKUP(D626,'ВИС-2026'!$E$17:$H$2115,2,0),"")</f>
        <v/>
      </c>
      <c r="F626" s="292" t="str">
        <f>IFERROR(VLOOKUP(D626,'ВИС-2026'!$E$17:$H$2115,4,0),"")</f>
        <v/>
      </c>
      <c r="G626" s="428"/>
      <c r="H626" s="554" t="str">
        <f>IFERROR(VLOOKUP(D626,'ВИС-2026'!$E$17:$K$2649,7,0),"")</f>
        <v/>
      </c>
      <c r="I626" s="554" t="str">
        <f t="shared" si="188"/>
        <v/>
      </c>
      <c r="J626" s="554" t="str">
        <f t="shared" si="189"/>
        <v/>
      </c>
      <c r="K626" s="554" t="str">
        <f t="shared" si="190"/>
        <v/>
      </c>
      <c r="L626" s="554" t="str">
        <f t="shared" si="191"/>
        <v/>
      </c>
      <c r="M626" s="554" t="str">
        <f t="shared" si="192"/>
        <v/>
      </c>
      <c r="N626" s="104"/>
    </row>
    <row r="627" spans="1:14" s="73" customFormat="1" ht="40.5" customHeight="1">
      <c r="A627" s="147"/>
      <c r="B627" s="311" t="s">
        <v>30</v>
      </c>
      <c r="C627" s="277" t="s">
        <v>459</v>
      </c>
      <c r="D627" s="313">
        <v>19102701001</v>
      </c>
      <c r="E627" s="553" t="str">
        <f>IFERROR(VLOOKUP(D627,'ВИС-2026'!$E$17:$H$2115,2,0),"")</f>
        <v>Панель смыва РЕХАУ NOVA QUAD STEEL с прямоугольными клавишами с покрытием против отпечатков пальцев, нержавеющая сталь, цвет брашированная нержавеющая сталь, матовый</v>
      </c>
      <c r="F627" s="292" t="str">
        <f>IFERROR(VLOOKUP(D627,'ВИС-2026'!$E$17:$H$2115,4,0),"")</f>
        <v>шт</v>
      </c>
      <c r="G627" s="428"/>
      <c r="H627" s="554">
        <f>IFERROR(VLOOKUP(D627,'ВИС-2026'!$E$17:$K$2649,7,0),"")</f>
        <v>95.09</v>
      </c>
      <c r="I627" s="554">
        <f t="shared" si="188"/>
        <v>0</v>
      </c>
      <c r="J627" s="554">
        <f t="shared" si="189"/>
        <v>95.09</v>
      </c>
      <c r="K627" s="554">
        <f t="shared" si="190"/>
        <v>0</v>
      </c>
      <c r="L627" s="554">
        <f t="shared" si="191"/>
        <v>0</v>
      </c>
      <c r="M627" s="554">
        <f t="shared" si="192"/>
        <v>0</v>
      </c>
      <c r="N627" s="104"/>
    </row>
    <row r="628" spans="1:14" s="73" customFormat="1" ht="40.5" customHeight="1">
      <c r="A628" s="147"/>
      <c r="B628" s="311" t="s">
        <v>30</v>
      </c>
      <c r="C628" s="277" t="s">
        <v>459</v>
      </c>
      <c r="D628" s="313">
        <v>19102711001</v>
      </c>
      <c r="E628" s="553" t="str">
        <f>IFERROR(VLOOKUP(D628,'ВИС-2026'!$E$17:$H$2115,2,0),"")</f>
        <v>Панель смыва РЕХАУ NOVA QUAD STEEL с прямоугольными клавишами, нержавеющая сталь, цвет нержавеющая сталь, глянцевый</v>
      </c>
      <c r="F628" s="292" t="str">
        <f>IFERROR(VLOOKUP(D628,'ВИС-2026'!$E$17:$H$2115,4,0),"")</f>
        <v>шт</v>
      </c>
      <c r="G628" s="428"/>
      <c r="H628" s="554">
        <f>IFERROR(VLOOKUP(D628,'ВИС-2026'!$E$17:$K$2649,7,0),"")</f>
        <v>95.09</v>
      </c>
      <c r="I628" s="554">
        <f t="shared" si="188"/>
        <v>0</v>
      </c>
      <c r="J628" s="554">
        <f t="shared" si="189"/>
        <v>95.09</v>
      </c>
      <c r="K628" s="554">
        <f t="shared" si="190"/>
        <v>0</v>
      </c>
      <c r="L628" s="554">
        <f t="shared" si="191"/>
        <v>0</v>
      </c>
      <c r="M628" s="554">
        <f t="shared" si="192"/>
        <v>0</v>
      </c>
      <c r="N628" s="104"/>
    </row>
    <row r="629" spans="1:14" s="73" customFormat="1" ht="40.5" customHeight="1">
      <c r="A629" s="147"/>
      <c r="B629" s="311" t="s">
        <v>30</v>
      </c>
      <c r="C629" s="277" t="s">
        <v>459</v>
      </c>
      <c r="D629" s="313">
        <v>19102721001</v>
      </c>
      <c r="E629" s="553" t="str">
        <f>IFERROR(VLOOKUP(D629,'ВИС-2026'!$E$17:$H$2115,2,0),"")</f>
        <v xml:space="preserve">Панель смыва РЕХАУ NOVA QUAD STEEL с прямоугольными клавишами с покрытием против отпечатков пальцев, нержавеющая сталь, брашированный графитовый, матовый                                                              </v>
      </c>
      <c r="F629" s="292" t="str">
        <f>IFERROR(VLOOKUP(D629,'ВИС-2026'!$E$17:$H$2115,4,0),"")</f>
        <v>шт</v>
      </c>
      <c r="G629" s="428"/>
      <c r="H629" s="554">
        <f>IFERROR(VLOOKUP(D629,'ВИС-2026'!$E$17:$K$2649,7,0),"")</f>
        <v>160.09</v>
      </c>
      <c r="I629" s="554">
        <f t="shared" si="188"/>
        <v>0</v>
      </c>
      <c r="J629" s="554">
        <f t="shared" si="189"/>
        <v>160.09</v>
      </c>
      <c r="K629" s="554">
        <f t="shared" si="190"/>
        <v>0</v>
      </c>
      <c r="L629" s="554">
        <f t="shared" si="191"/>
        <v>0</v>
      </c>
      <c r="M629" s="554">
        <f t="shared" si="192"/>
        <v>0</v>
      </c>
      <c r="N629" s="104"/>
    </row>
    <row r="630" spans="1:14" s="73" customFormat="1" ht="40.5" customHeight="1">
      <c r="A630" s="147"/>
      <c r="B630" s="311" t="s">
        <v>30</v>
      </c>
      <c r="C630" s="277" t="s">
        <v>459</v>
      </c>
      <c r="D630" s="313">
        <v>19102731001</v>
      </c>
      <c r="E630" s="553" t="str">
        <f>IFERROR(VLOOKUP(D630,'ВИС-2026'!$E$17:$H$2115,2,0),"")</f>
        <v>Панель смыва РЕХАУ NOVA QUAD STEEL с прямоугольными клавишами с покрытием против отпечатков пальцев, нержавеющая сталь, черный, матовый</v>
      </c>
      <c r="F630" s="292" t="str">
        <f>IFERROR(VLOOKUP(D630,'ВИС-2026'!$E$17:$H$2115,4,0),"")</f>
        <v>шт</v>
      </c>
      <c r="G630" s="428"/>
      <c r="H630" s="554">
        <f>IFERROR(VLOOKUP(D630,'ВИС-2026'!$E$17:$K$2649,7,0),"")</f>
        <v>95.09</v>
      </c>
      <c r="I630" s="554">
        <f t="shared" si="188"/>
        <v>0</v>
      </c>
      <c r="J630" s="554">
        <f t="shared" si="189"/>
        <v>95.09</v>
      </c>
      <c r="K630" s="554">
        <f t="shared" si="190"/>
        <v>0</v>
      </c>
      <c r="L630" s="554">
        <f t="shared" si="191"/>
        <v>0</v>
      </c>
      <c r="M630" s="554">
        <f t="shared" si="192"/>
        <v>0</v>
      </c>
      <c r="N630" s="104"/>
    </row>
    <row r="631" spans="1:14" s="73" customFormat="1" ht="40.5" customHeight="1">
      <c r="A631" s="147"/>
      <c r="B631" s="311" t="s">
        <v>30</v>
      </c>
      <c r="C631" s="277" t="s">
        <v>459</v>
      </c>
      <c r="D631" s="313">
        <v>19102741001</v>
      </c>
      <c r="E631" s="553" t="str">
        <f>IFERROR(VLOOKUP(D631,'ВИС-2026'!$E$17:$H$2115,2,0),"")</f>
        <v>Панель смыва РЕХАУ NOVA QUAD STEEL с прямоугольными клавишами с покрытием против отпечатков пальцев, нержавеющая сталь, брашированное розовое золото, матовый</v>
      </c>
      <c r="F631" s="292" t="str">
        <f>IFERROR(VLOOKUP(D631,'ВИС-2026'!$E$17:$H$2115,4,0),"")</f>
        <v>шт</v>
      </c>
      <c r="G631" s="428"/>
      <c r="H631" s="554">
        <f>IFERROR(VLOOKUP(D631,'ВИС-2026'!$E$17:$K$2649,7,0),"")</f>
        <v>160.09</v>
      </c>
      <c r="I631" s="554">
        <f t="shared" si="188"/>
        <v>0</v>
      </c>
      <c r="J631" s="554">
        <f t="shared" si="189"/>
        <v>160.09</v>
      </c>
      <c r="K631" s="554">
        <f t="shared" si="190"/>
        <v>0</v>
      </c>
      <c r="L631" s="554">
        <f t="shared" si="191"/>
        <v>0</v>
      </c>
      <c r="M631" s="554">
        <f t="shared" si="192"/>
        <v>0</v>
      </c>
      <c r="N631" s="104"/>
    </row>
    <row r="632" spans="1:14" s="73" customFormat="1" ht="40.5" customHeight="1">
      <c r="A632" s="147"/>
      <c r="B632" s="311" t="s">
        <v>30</v>
      </c>
      <c r="C632" s="277" t="s">
        <v>459</v>
      </c>
      <c r="D632" s="313">
        <v>19102751001</v>
      </c>
      <c r="E632" s="553" t="str">
        <f>IFERROR(VLOOKUP(D632,'ВИС-2026'!$E$17:$H$2115,2,0),"")</f>
        <v>Панель смыва РЕХАУ NOVA QUAD STEEL с прямоугольными клавишами с покрытием против отпечатков пальцев, нержавеющая сталь, брашированное циркониевое золото, матовый</v>
      </c>
      <c r="F632" s="292" t="str">
        <f>IFERROR(VLOOKUP(D632,'ВИС-2026'!$E$17:$H$2115,4,0),"")</f>
        <v>шт</v>
      </c>
      <c r="G632" s="428"/>
      <c r="H632" s="554">
        <f>IFERROR(VLOOKUP(D632,'ВИС-2026'!$E$17:$K$2649,7,0),"")</f>
        <v>160.09</v>
      </c>
      <c r="I632" s="554">
        <f t="shared" si="188"/>
        <v>0</v>
      </c>
      <c r="J632" s="554">
        <f t="shared" si="189"/>
        <v>160.09</v>
      </c>
      <c r="K632" s="554">
        <f t="shared" si="190"/>
        <v>0</v>
      </c>
      <c r="L632" s="554">
        <f t="shared" si="191"/>
        <v>0</v>
      </c>
      <c r="M632" s="554">
        <f t="shared" si="192"/>
        <v>0</v>
      </c>
      <c r="N632" s="104"/>
    </row>
    <row r="633" spans="1:14" s="73" customFormat="1" ht="40.5" customHeight="1">
      <c r="A633" s="147"/>
      <c r="B633" s="311" t="s">
        <v>30</v>
      </c>
      <c r="C633" s="277" t="s">
        <v>459</v>
      </c>
      <c r="D633" s="313">
        <v>19102761001</v>
      </c>
      <c r="E633" s="553" t="str">
        <f>IFERROR(VLOOKUP(D633,'ВИС-2026'!$E$17:$H$2115,2,0),"")</f>
        <v>Панель смыва РЕХАУ NOVA QUAD STEEL с прямоугольными клавишами с покрытием против отпечатков пальцев, нержавеющая сталь, брашированное титановое золото, матовый</v>
      </c>
      <c r="F633" s="292" t="str">
        <f>IFERROR(VLOOKUP(D633,'ВИС-2026'!$E$17:$H$2115,4,0),"")</f>
        <v>шт</v>
      </c>
      <c r="G633" s="428"/>
      <c r="H633" s="554">
        <f>IFERROR(VLOOKUP(D633,'ВИС-2026'!$E$17:$K$2649,7,0),"")</f>
        <v>160.09</v>
      </c>
      <c r="I633" s="554">
        <f t="shared" si="188"/>
        <v>0</v>
      </c>
      <c r="J633" s="554">
        <f t="shared" si="189"/>
        <v>160.09</v>
      </c>
      <c r="K633" s="554">
        <f t="shared" si="190"/>
        <v>0</v>
      </c>
      <c r="L633" s="554">
        <f t="shared" si="191"/>
        <v>0</v>
      </c>
      <c r="M633" s="554">
        <f t="shared" si="192"/>
        <v>0</v>
      </c>
      <c r="N633" s="104"/>
    </row>
    <row r="634" spans="1:14" s="73" customFormat="1" ht="15.75" customHeight="1">
      <c r="A634" s="147"/>
      <c r="B634" s="225"/>
      <c r="C634" s="226"/>
      <c r="D634" s="319"/>
      <c r="E634" s="553"/>
      <c r="F634" s="292"/>
      <c r="G634" s="428"/>
      <c r="H634" s="554"/>
      <c r="I634" s="554"/>
      <c r="J634" s="554"/>
      <c r="K634" s="554"/>
      <c r="L634" s="554"/>
      <c r="M634" s="554"/>
      <c r="N634" s="104"/>
    </row>
    <row r="635" spans="1:14" s="73" customFormat="1" ht="39" customHeight="1">
      <c r="A635" s="147"/>
      <c r="B635" s="311" t="s">
        <v>474</v>
      </c>
      <c r="C635" s="277" t="s">
        <v>459</v>
      </c>
      <c r="D635" s="313">
        <v>19102801001</v>
      </c>
      <c r="E635" s="553" t="str">
        <f>IFERROR(VLOOKUP(D635,'ВИС-2026'!$E$17:$H$2115,2,0),"")</f>
        <v>Панель смыва РЕХАУ NOVA PUBLIC антивандальная с прямоугольными клавишами с покрытием против отпечатков пальцев, нержавеющая сталь, цвет брашированная нержавеющая сталь, матовый</v>
      </c>
      <c r="F635" s="292" t="str">
        <f>IFERROR(VLOOKUP(D635,'ВИС-2026'!$E$17:$H$2115,4,0),"")</f>
        <v>шт</v>
      </c>
      <c r="G635" s="428"/>
      <c r="H635" s="554">
        <f>IFERROR(VLOOKUP(D635,'ВИС-2026'!$E$17:$K$2649,7,0),"")</f>
        <v>133.38999999999999</v>
      </c>
      <c r="I635" s="554">
        <f t="shared" si="188"/>
        <v>0</v>
      </c>
      <c r="J635" s="554">
        <f t="shared" si="189"/>
        <v>133.38999999999999</v>
      </c>
      <c r="K635" s="554">
        <f t="shared" si="190"/>
        <v>0</v>
      </c>
      <c r="L635" s="554">
        <f t="shared" si="191"/>
        <v>0</v>
      </c>
      <c r="M635" s="554">
        <f t="shared" si="192"/>
        <v>0</v>
      </c>
      <c r="N635" s="104"/>
    </row>
    <row r="636" spans="1:14" s="73" customFormat="1" ht="39" customHeight="1">
      <c r="A636" s="147"/>
      <c r="B636" s="311" t="s">
        <v>474</v>
      </c>
      <c r="C636" s="277" t="s">
        <v>459</v>
      </c>
      <c r="D636" s="313">
        <v>19102811001</v>
      </c>
      <c r="E636" s="553" t="str">
        <f>IFERROR(VLOOKUP(D636,'ВИС-2026'!$E$17:$H$2115,2,0),"")</f>
        <v>Панель смыва РЕХАУ NOVA PUBLIC антивандальная с прямоугольными клавишами, нержавеющая сталь, цвет нержавеющая сталь, глянцевый</v>
      </c>
      <c r="F636" s="292" t="str">
        <f>IFERROR(VLOOKUP(D636,'ВИС-2026'!$E$17:$H$2115,4,0),"")</f>
        <v>шт</v>
      </c>
      <c r="G636" s="428"/>
      <c r="H636" s="554">
        <f>IFERROR(VLOOKUP(D636,'ВИС-2026'!$E$17:$K$2649,7,0),"")</f>
        <v>133.38999999999999</v>
      </c>
      <c r="I636" s="554">
        <f t="shared" si="188"/>
        <v>0</v>
      </c>
      <c r="J636" s="554">
        <f t="shared" si="189"/>
        <v>133.38999999999999</v>
      </c>
      <c r="K636" s="554">
        <f t="shared" si="190"/>
        <v>0</v>
      </c>
      <c r="L636" s="554">
        <f t="shared" si="191"/>
        <v>0</v>
      </c>
      <c r="M636" s="554">
        <f t="shared" si="192"/>
        <v>0</v>
      </c>
      <c r="N636" s="104"/>
    </row>
    <row r="637" spans="1:14" s="73" customFormat="1" ht="39" customHeight="1">
      <c r="A637" s="147"/>
      <c r="B637" s="311" t="s">
        <v>474</v>
      </c>
      <c r="C637" s="277" t="s">
        <v>459</v>
      </c>
      <c r="D637" s="313">
        <v>19102821001</v>
      </c>
      <c r="E637" s="553" t="str">
        <f>IFERROR(VLOOKUP(D637,'ВИС-2026'!$E$17:$H$2115,2,0),"")</f>
        <v xml:space="preserve">Панель смыва РЕХАУ NOVA PUBLIC антивандальная с прямоугольными клавишами с покрытием против отпечатков пальцев, нержавеющая сталь, брашированный графитовый, матовый                                                                           </v>
      </c>
      <c r="F637" s="292" t="str">
        <f>IFERROR(VLOOKUP(D637,'ВИС-2026'!$E$17:$H$2115,4,0),"")</f>
        <v>шт</v>
      </c>
      <c r="G637" s="428"/>
      <c r="H637" s="554">
        <f>IFERROR(VLOOKUP(D637,'ВИС-2026'!$E$17:$K$2649,7,0),"")</f>
        <v>186.77</v>
      </c>
      <c r="I637" s="554">
        <f t="shared" si="188"/>
        <v>0</v>
      </c>
      <c r="J637" s="554">
        <f t="shared" si="189"/>
        <v>186.77</v>
      </c>
      <c r="K637" s="554">
        <f t="shared" si="190"/>
        <v>0</v>
      </c>
      <c r="L637" s="554">
        <f t="shared" si="191"/>
        <v>0</v>
      </c>
      <c r="M637" s="554">
        <f t="shared" si="192"/>
        <v>0</v>
      </c>
      <c r="N637" s="104"/>
    </row>
    <row r="638" spans="1:14" s="73" customFormat="1" ht="39" customHeight="1">
      <c r="A638" s="147"/>
      <c r="B638" s="311" t="s">
        <v>474</v>
      </c>
      <c r="C638" s="277" t="s">
        <v>459</v>
      </c>
      <c r="D638" s="313">
        <v>19102831001</v>
      </c>
      <c r="E638" s="553" t="str">
        <f>IFERROR(VLOOKUP(D638,'ВИС-2026'!$E$17:$H$2115,2,0),"")</f>
        <v>Панель смыва РЕХАУ NOVA PUBLIC антивандальная с прямоугольными клавишами с покрытием против отпечатков пальцев, нержавеющая сталь, черный, матовый</v>
      </c>
      <c r="F638" s="292" t="str">
        <f>IFERROR(VLOOKUP(D638,'ВИС-2026'!$E$17:$H$2115,4,0),"")</f>
        <v>шт</v>
      </c>
      <c r="G638" s="428"/>
      <c r="H638" s="554">
        <f>IFERROR(VLOOKUP(D638,'ВИС-2026'!$E$17:$K$2649,7,0),"")</f>
        <v>186.77</v>
      </c>
      <c r="I638" s="554">
        <f t="shared" si="188"/>
        <v>0</v>
      </c>
      <c r="J638" s="554">
        <f t="shared" si="189"/>
        <v>186.77</v>
      </c>
      <c r="K638" s="554">
        <f t="shared" si="190"/>
        <v>0</v>
      </c>
      <c r="L638" s="554">
        <f t="shared" si="191"/>
        <v>0</v>
      </c>
      <c r="M638" s="554">
        <f t="shared" si="192"/>
        <v>0</v>
      </c>
      <c r="N638" s="104"/>
    </row>
    <row r="639" spans="1:14" s="73" customFormat="1" ht="39" customHeight="1">
      <c r="A639" s="147"/>
      <c r="B639" s="311" t="s">
        <v>474</v>
      </c>
      <c r="C639" s="277" t="s">
        <v>459</v>
      </c>
      <c r="D639" s="313">
        <v>19102841001</v>
      </c>
      <c r="E639" s="553" t="str">
        <f>IFERROR(VLOOKUP(D639,'ВИС-2026'!$E$17:$H$2115,2,0),"")</f>
        <v>Панель смыва РЕХАУ NOVA PUBLIC антивандальная с прямоугольными клавишами с покрытием против отпечатков пальцев, нержавеющая сталь, брашированное розовое золото, матовый</v>
      </c>
      <c r="F639" s="292" t="str">
        <f>IFERROR(VLOOKUP(D639,'ВИС-2026'!$E$17:$H$2115,4,0),"")</f>
        <v>шт</v>
      </c>
      <c r="G639" s="428"/>
      <c r="H639" s="554">
        <f>IFERROR(VLOOKUP(D639,'ВИС-2026'!$E$17:$K$2649,7,0),"")</f>
        <v>186.77</v>
      </c>
      <c r="I639" s="554">
        <f t="shared" si="188"/>
        <v>0</v>
      </c>
      <c r="J639" s="554">
        <f t="shared" si="189"/>
        <v>186.77</v>
      </c>
      <c r="K639" s="554">
        <f t="shared" si="190"/>
        <v>0</v>
      </c>
      <c r="L639" s="554">
        <f t="shared" si="191"/>
        <v>0</v>
      </c>
      <c r="M639" s="554">
        <f t="shared" si="192"/>
        <v>0</v>
      </c>
      <c r="N639" s="104"/>
    </row>
    <row r="640" spans="1:14" s="73" customFormat="1" ht="39" customHeight="1">
      <c r="A640" s="147"/>
      <c r="B640" s="311" t="s">
        <v>474</v>
      </c>
      <c r="C640" s="277" t="s">
        <v>459</v>
      </c>
      <c r="D640" s="313">
        <v>19102851001</v>
      </c>
      <c r="E640" s="553" t="str">
        <f>IFERROR(VLOOKUP(D640,'ВИС-2026'!$E$17:$H$2115,2,0),"")</f>
        <v xml:space="preserve">Панель смыва РЕХАУ NOVA PUBLIC антивандальная с прямоугольными клавишами с покрытием против отпечатков пальцев, нержавеющая сталь, брашированное циркониевое золото, матовый    </v>
      </c>
      <c r="F640" s="292" t="str">
        <f>IFERROR(VLOOKUP(D640,'ВИС-2026'!$E$17:$H$2115,4,0),"")</f>
        <v>шт</v>
      </c>
      <c r="G640" s="428"/>
      <c r="H640" s="554">
        <f>IFERROR(VLOOKUP(D640,'ВИС-2026'!$E$17:$K$2649,7,0),"")</f>
        <v>186.77</v>
      </c>
      <c r="I640" s="554">
        <f t="shared" si="188"/>
        <v>0</v>
      </c>
      <c r="J640" s="554">
        <f t="shared" si="189"/>
        <v>186.77</v>
      </c>
      <c r="K640" s="554">
        <f t="shared" si="190"/>
        <v>0</v>
      </c>
      <c r="L640" s="554">
        <f t="shared" si="191"/>
        <v>0</v>
      </c>
      <c r="M640" s="554">
        <f t="shared" si="192"/>
        <v>0</v>
      </c>
      <c r="N640" s="104"/>
    </row>
    <row r="641" spans="1:14" s="73" customFormat="1" ht="39" customHeight="1">
      <c r="A641" s="147"/>
      <c r="B641" s="311" t="s">
        <v>474</v>
      </c>
      <c r="C641" s="277" t="s">
        <v>459</v>
      </c>
      <c r="D641" s="313">
        <v>19102861001</v>
      </c>
      <c r="E641" s="553" t="str">
        <f>IFERROR(VLOOKUP(D641,'ВИС-2026'!$E$17:$H$2115,2,0),"")</f>
        <v xml:space="preserve">Панель смыва РЕХАУ NOVA PUBLIC антивандальная с прямоугольными клавишами с покрытием против отпечатков пальцев, нержавеющая сталь, брашированное титановое золото, матовый </v>
      </c>
      <c r="F641" s="292" t="str">
        <f>IFERROR(VLOOKUP(D641,'ВИС-2026'!$E$17:$H$2115,4,0),"")</f>
        <v>шт</v>
      </c>
      <c r="G641" s="428"/>
      <c r="H641" s="554">
        <f>IFERROR(VLOOKUP(D641,'ВИС-2026'!$E$17:$K$2649,7,0),"")</f>
        <v>186.77</v>
      </c>
      <c r="I641" s="554">
        <f t="shared" si="188"/>
        <v>0</v>
      </c>
      <c r="J641" s="554">
        <f t="shared" si="189"/>
        <v>186.77</v>
      </c>
      <c r="K641" s="554">
        <f t="shared" si="190"/>
        <v>0</v>
      </c>
      <c r="L641" s="554">
        <f t="shared" si="191"/>
        <v>0</v>
      </c>
      <c r="M641" s="554">
        <f t="shared" si="192"/>
        <v>0</v>
      </c>
      <c r="N641" s="104"/>
    </row>
    <row r="642" spans="1:14" s="73" customFormat="1">
      <c r="A642" s="147"/>
      <c r="B642" s="225"/>
      <c r="C642" s="226"/>
      <c r="D642" s="312"/>
      <c r="E642" s="176"/>
      <c r="F642" s="292"/>
      <c r="G642" s="428"/>
      <c r="H642" s="554"/>
      <c r="I642" s="554"/>
      <c r="J642" s="554"/>
      <c r="K642" s="554"/>
      <c r="L642" s="554"/>
      <c r="M642" s="554"/>
      <c r="N642" s="104"/>
    </row>
    <row r="643" spans="1:14" s="73" customFormat="1">
      <c r="A643" s="36"/>
      <c r="B643" s="321"/>
      <c r="C643" s="322" t="s">
        <v>542</v>
      </c>
      <c r="D643" s="302"/>
      <c r="E643" s="303" t="s">
        <v>543</v>
      </c>
      <c r="F643" s="555" t="str">
        <f>IFERROR(VLOOKUP(D643,'ВИС-2026'!$E$17:$H$2115,5,0),"")</f>
        <v/>
      </c>
      <c r="G643" s="556"/>
      <c r="H643" s="557" t="str">
        <f>IFERROR(VLOOKUP(D643,'ВИС-2026'!$E$17:$K$2649,8,0),"")</f>
        <v/>
      </c>
      <c r="I643" s="557" t="str">
        <f t="shared" si="113"/>
        <v/>
      </c>
      <c r="J643" s="557" t="str">
        <f t="shared" si="114"/>
        <v/>
      </c>
      <c r="K643" s="557" t="str">
        <f t="shared" si="115"/>
        <v/>
      </c>
      <c r="L643" s="557" t="str">
        <f t="shared" si="116"/>
        <v/>
      </c>
      <c r="M643" s="557" t="str">
        <f t="shared" si="117"/>
        <v/>
      </c>
      <c r="N643" s="104"/>
    </row>
    <row r="644" spans="1:14" s="73" customFormat="1">
      <c r="A644" s="36"/>
      <c r="B644" s="321"/>
      <c r="C644" s="322" t="s">
        <v>542</v>
      </c>
      <c r="D644" s="302"/>
      <c r="E644" s="303" t="s">
        <v>544</v>
      </c>
      <c r="F644" s="555" t="str">
        <f>IFERROR(VLOOKUP(D644,'ВИС-2026'!$E$17:$H$2115,5,0),"")</f>
        <v/>
      </c>
      <c r="G644" s="556"/>
      <c r="H644" s="557" t="str">
        <f>IFERROR(VLOOKUP(D644,'ВИС-2026'!$E$17:$K$2649,8,0),"")</f>
        <v/>
      </c>
      <c r="I644" s="557" t="str">
        <f t="shared" si="113"/>
        <v/>
      </c>
      <c r="J644" s="557" t="str">
        <f t="shared" si="114"/>
        <v/>
      </c>
      <c r="K644" s="557" t="str">
        <f t="shared" si="115"/>
        <v/>
      </c>
      <c r="L644" s="557" t="str">
        <f t="shared" si="116"/>
        <v/>
      </c>
      <c r="M644" s="557" t="str">
        <f t="shared" si="117"/>
        <v/>
      </c>
      <c r="N644" s="104"/>
    </row>
    <row r="645" spans="1:14" s="73" customFormat="1">
      <c r="A645" s="36"/>
      <c r="B645" s="321"/>
      <c r="C645" s="322" t="s">
        <v>542</v>
      </c>
      <c r="D645" s="302"/>
      <c r="E645" s="303" t="s">
        <v>542</v>
      </c>
      <c r="F645" s="555" t="str">
        <f>IFERROR(VLOOKUP(D645,'ВИС-2026'!$E$17:$H$2115,5,0),"")</f>
        <v/>
      </c>
      <c r="G645" s="556"/>
      <c r="H645" s="557" t="str">
        <f>IFERROR(VLOOKUP(D645,'ВИС-2026'!$E$17:$K$2649,8,0),"")</f>
        <v/>
      </c>
      <c r="I645" s="557" t="str">
        <f t="shared" si="113"/>
        <v/>
      </c>
      <c r="J645" s="557" t="str">
        <f t="shared" si="114"/>
        <v/>
      </c>
      <c r="K645" s="557" t="str">
        <f t="shared" si="115"/>
        <v/>
      </c>
      <c r="L645" s="557" t="str">
        <f t="shared" si="116"/>
        <v/>
      </c>
      <c r="M645" s="557" t="str">
        <f t="shared" si="117"/>
        <v/>
      </c>
      <c r="N645" s="104"/>
    </row>
    <row r="646" spans="1:14" s="73" customFormat="1">
      <c r="A646" s="36"/>
      <c r="B646" s="311" t="s">
        <v>30</v>
      </c>
      <c r="C646" s="327" t="s">
        <v>542</v>
      </c>
      <c r="D646" s="328">
        <v>11361403120</v>
      </c>
      <c r="E646" s="553" t="str">
        <f>IFERROR(VLOOKUP(D646,'ВИС-2026'!$E$17:$H$2115,2,0),"")</f>
        <v>Отопит.труба РЕХАУ THERM S 17х2,0 мм, бухта 120 м</v>
      </c>
      <c r="F646" s="292" t="str">
        <f>IFERROR(VLOOKUP(D646,'ВИС-2026'!$E$17:$H$2115,4,0),"")</f>
        <v>м</v>
      </c>
      <c r="G646" s="428"/>
      <c r="H646" s="554">
        <f>IFERROR(VLOOKUP(D646,'ВИС-2026'!$E$17:$K$2649,7,0),"")</f>
        <v>2.34</v>
      </c>
      <c r="I646" s="554">
        <f t="shared" si="113"/>
        <v>0</v>
      </c>
      <c r="J646" s="554">
        <f t="shared" si="114"/>
        <v>2.34</v>
      </c>
      <c r="K646" s="554">
        <f t="shared" si="115"/>
        <v>0</v>
      </c>
      <c r="L646" s="554">
        <f t="shared" si="116"/>
        <v>0</v>
      </c>
      <c r="M646" s="554">
        <f t="shared" si="117"/>
        <v>0</v>
      </c>
      <c r="N646" s="104"/>
    </row>
    <row r="647" spans="1:14" s="73" customFormat="1">
      <c r="A647" s="36"/>
      <c r="B647" s="311" t="s">
        <v>30</v>
      </c>
      <c r="C647" s="327" t="s">
        <v>542</v>
      </c>
      <c r="D647" s="328">
        <v>11361403500</v>
      </c>
      <c r="E647" s="553" t="str">
        <f>IFERROR(VLOOKUP(D647,'ВИС-2026'!$E$17:$H$2115,2,0),"")</f>
        <v xml:space="preserve">Отопит.труба РЕХАУ THERM S 17х2,0 мм, бухта 500 м </v>
      </c>
      <c r="F647" s="292" t="str">
        <f>IFERROR(VLOOKUP(D647,'ВИС-2026'!$E$17:$H$2115,4,0),"")</f>
        <v>м</v>
      </c>
      <c r="G647" s="428"/>
      <c r="H647" s="554">
        <f>IFERROR(VLOOKUP(D647,'ВИС-2026'!$E$17:$K$2649,7,0),"")</f>
        <v>2.16</v>
      </c>
      <c r="I647" s="554">
        <f t="shared" si="113"/>
        <v>0</v>
      </c>
      <c r="J647" s="554">
        <f t="shared" si="114"/>
        <v>2.16</v>
      </c>
      <c r="K647" s="554">
        <f t="shared" si="115"/>
        <v>0</v>
      </c>
      <c r="L647" s="554">
        <f t="shared" si="116"/>
        <v>0</v>
      </c>
      <c r="M647" s="554">
        <f t="shared" si="117"/>
        <v>0</v>
      </c>
      <c r="N647" s="104"/>
    </row>
    <row r="648" spans="1:14" s="73" customFormat="1">
      <c r="A648" s="36"/>
      <c r="B648" s="311" t="s">
        <v>30</v>
      </c>
      <c r="C648" s="327" t="s">
        <v>542</v>
      </c>
      <c r="D648" s="328">
        <v>11361603120</v>
      </c>
      <c r="E648" s="553" t="str">
        <f>IFERROR(VLOOKUP(D648,'ВИС-2026'!$E$17:$H$2115,2,0),"")</f>
        <v>Отопит.труба РЕХАУ THERM S 20х2,0 мм, бухта 120 м</v>
      </c>
      <c r="F648" s="292" t="str">
        <f>IFERROR(VLOOKUP(D648,'ВИС-2026'!$E$17:$H$2115,4,0),"")</f>
        <v>м</v>
      </c>
      <c r="G648" s="428"/>
      <c r="H648" s="554">
        <f>IFERROR(VLOOKUP(D648,'ВИС-2026'!$E$17:$K$2649,7,0),"")</f>
        <v>3.23</v>
      </c>
      <c r="I648" s="554">
        <f t="shared" si="113"/>
        <v>0</v>
      </c>
      <c r="J648" s="554">
        <f t="shared" si="114"/>
        <v>3.23</v>
      </c>
      <c r="K648" s="554">
        <f t="shared" si="115"/>
        <v>0</v>
      </c>
      <c r="L648" s="554">
        <f t="shared" si="116"/>
        <v>0</v>
      </c>
      <c r="M648" s="554">
        <f t="shared" si="117"/>
        <v>0</v>
      </c>
      <c r="N648" s="104"/>
    </row>
    <row r="649" spans="1:14" s="73" customFormat="1">
      <c r="A649" s="36"/>
      <c r="B649" s="311" t="s">
        <v>30</v>
      </c>
      <c r="C649" s="327" t="s">
        <v>542</v>
      </c>
      <c r="D649" s="328">
        <v>11361603500</v>
      </c>
      <c r="E649" s="553" t="str">
        <f>IFERROR(VLOOKUP(D649,'ВИС-2026'!$E$17:$H$2115,2,0),"")</f>
        <v>Отопит.труба РЕХАУ THERM S 20х2,0 мм, бухта 500 м</v>
      </c>
      <c r="F649" s="292" t="str">
        <f>IFERROR(VLOOKUP(D649,'ВИС-2026'!$E$17:$H$2115,4,0),"")</f>
        <v>м</v>
      </c>
      <c r="G649" s="428"/>
      <c r="H649" s="554">
        <f>IFERROR(VLOOKUP(D649,'ВИС-2026'!$E$17:$K$2649,7,0),"")</f>
        <v>2.99</v>
      </c>
      <c r="I649" s="554">
        <f t="shared" si="113"/>
        <v>0</v>
      </c>
      <c r="J649" s="554">
        <f t="shared" si="114"/>
        <v>2.99</v>
      </c>
      <c r="K649" s="554">
        <f t="shared" si="115"/>
        <v>0</v>
      </c>
      <c r="L649" s="554">
        <f t="shared" si="116"/>
        <v>0</v>
      </c>
      <c r="M649" s="554">
        <f t="shared" si="117"/>
        <v>0</v>
      </c>
      <c r="N649" s="104"/>
    </row>
    <row r="650" spans="1:14" s="73" customFormat="1">
      <c r="A650" s="155"/>
      <c r="B650" s="311" t="s">
        <v>30</v>
      </c>
      <c r="C650" s="327" t="s">
        <v>542</v>
      </c>
      <c r="D650" s="328">
        <v>11367703120</v>
      </c>
      <c r="E650" s="553" t="str">
        <f>IFERROR(VLOOKUP(D650,'ВИС-2026'!$E$17:$H$2115,2,0),"")</f>
        <v>Отопит.труба РЕХАУ THERM S 25х2,3 мм, бухта 120 м</v>
      </c>
      <c r="F650" s="292" t="str">
        <f>IFERROR(VLOOKUP(D650,'ВИС-2026'!$E$17:$H$2115,4,0),"")</f>
        <v>м</v>
      </c>
      <c r="G650" s="428"/>
      <c r="H650" s="554">
        <f>IFERROR(VLOOKUP(D650,'ВИС-2026'!$E$17:$K$2649,7,0),"")</f>
        <v>4.93</v>
      </c>
      <c r="I650" s="554">
        <f t="shared" ref="I650:I651" si="193">IFERROR(H650*G650,"")</f>
        <v>0</v>
      </c>
      <c r="J650" s="554">
        <f t="shared" ref="J650:J651" si="194">IFERROR((IF(H650="","",H650-H650*$D$7)),"")</f>
        <v>4.93</v>
      </c>
      <c r="K650" s="554">
        <f t="shared" ref="K650:K651" si="195">IFERROR(J650*G650, "")</f>
        <v>0</v>
      </c>
      <c r="L650" s="554">
        <f t="shared" ref="L650:L651" si="196">IFERROR(J650*$D$8, "")</f>
        <v>0</v>
      </c>
      <c r="M650" s="554">
        <f t="shared" ref="M650:M651" si="197">IFERROR(L650*G650, "")</f>
        <v>0</v>
      </c>
      <c r="N650" s="104"/>
    </row>
    <row r="651" spans="1:14" s="73" customFormat="1">
      <c r="A651" s="155"/>
      <c r="B651" s="311" t="s">
        <v>30</v>
      </c>
      <c r="C651" s="327" t="s">
        <v>542</v>
      </c>
      <c r="D651" s="328">
        <v>11367703300</v>
      </c>
      <c r="E651" s="553" t="str">
        <f>IFERROR(VLOOKUP(D651,'ВИС-2026'!$E$17:$H$2115,2,0),"")</f>
        <v>Отопит.труба РЕХАУ THERM S 25х2,3 мм, бухта 300 м</v>
      </c>
      <c r="F651" s="292" t="str">
        <f>IFERROR(VLOOKUP(D651,'ВИС-2026'!$E$17:$H$2115,4,0),"")</f>
        <v>м</v>
      </c>
      <c r="G651" s="428"/>
      <c r="H651" s="554">
        <f>IFERROR(VLOOKUP(D651,'ВИС-2026'!$E$17:$K$2649,7,0),"")</f>
        <v>4.93</v>
      </c>
      <c r="I651" s="554">
        <f t="shared" si="193"/>
        <v>0</v>
      </c>
      <c r="J651" s="554">
        <f t="shared" si="194"/>
        <v>4.93</v>
      </c>
      <c r="K651" s="554">
        <f t="shared" si="195"/>
        <v>0</v>
      </c>
      <c r="L651" s="554">
        <f t="shared" si="196"/>
        <v>0</v>
      </c>
      <c r="M651" s="554">
        <f t="shared" si="197"/>
        <v>0</v>
      </c>
      <c r="N651" s="104"/>
    </row>
    <row r="652" spans="1:14" s="73" customFormat="1">
      <c r="A652" s="155"/>
      <c r="B652" s="334"/>
      <c r="C652" s="335"/>
      <c r="D652" s="337"/>
      <c r="E652" s="561"/>
      <c r="F652" s="292" t="str">
        <f>IFERROR(VLOOKUP(D652,'ВИС-2026'!$E$17:$H$2115,5,0),"")</f>
        <v/>
      </c>
      <c r="G652" s="428"/>
      <c r="H652" s="554" t="str">
        <f>IFERROR(VLOOKUP(D652,'ВИС-2026'!$E$17:$K$2649,8,0),"")</f>
        <v/>
      </c>
      <c r="I652" s="554" t="str">
        <f t="shared" ref="I652:I663" si="198">IFERROR(H652*G652,"")</f>
        <v/>
      </c>
      <c r="J652" s="554" t="str">
        <f t="shared" ref="J652:J663" si="199">IFERROR((IF(H652="","",H652-H652*$D$7)),"")</f>
        <v/>
      </c>
      <c r="K652" s="554" t="str">
        <f t="shared" ref="K652:K663" si="200">IFERROR(J652*G652, "")</f>
        <v/>
      </c>
      <c r="L652" s="554" t="str">
        <f t="shared" ref="L652:L663" si="201">IFERROR(J652*$D$8, "")</f>
        <v/>
      </c>
      <c r="M652" s="554" t="str">
        <f t="shared" ref="M652:M663" si="202">IFERROR(L652*G652, "")</f>
        <v/>
      </c>
      <c r="N652" s="104"/>
    </row>
    <row r="653" spans="1:14" s="73" customFormat="1">
      <c r="A653" s="36"/>
      <c r="B653" s="343"/>
      <c r="C653" s="344" t="s">
        <v>542</v>
      </c>
      <c r="D653" s="346"/>
      <c r="E653" s="347" t="s">
        <v>551</v>
      </c>
      <c r="F653" s="562" t="str">
        <f>IFERROR(VLOOKUP(D653,'ВИС-2026'!$E$17:$H$2115,5,0),"")</f>
        <v/>
      </c>
      <c r="G653" s="556"/>
      <c r="H653" s="563" t="str">
        <f>IFERROR(VLOOKUP(D653,'ВИС-2026'!$E$17:$K$2649,8,0),"")</f>
        <v/>
      </c>
      <c r="I653" s="563" t="str">
        <f t="shared" si="198"/>
        <v/>
      </c>
      <c r="J653" s="563" t="str">
        <f t="shared" si="199"/>
        <v/>
      </c>
      <c r="K653" s="563" t="str">
        <f t="shared" si="200"/>
        <v/>
      </c>
      <c r="L653" s="563" t="str">
        <f t="shared" si="201"/>
        <v/>
      </c>
      <c r="M653" s="563" t="str">
        <f t="shared" si="202"/>
        <v/>
      </c>
      <c r="N653" s="104"/>
    </row>
    <row r="654" spans="1:14" s="73" customFormat="1">
      <c r="A654" s="36"/>
      <c r="B654" s="343"/>
      <c r="C654" s="344" t="s">
        <v>542</v>
      </c>
      <c r="D654" s="346"/>
      <c r="E654" s="347" t="s">
        <v>552</v>
      </c>
      <c r="F654" s="562" t="str">
        <f>IFERROR(VLOOKUP(D654,'ВИС-2026'!$E$17:$H$2115,5,0),"")</f>
        <v/>
      </c>
      <c r="G654" s="556"/>
      <c r="H654" s="563" t="str">
        <f>IFERROR(VLOOKUP(D654,'ВИС-2026'!$E$17:$K$2649,8,0),"")</f>
        <v/>
      </c>
      <c r="I654" s="563" t="str">
        <f t="shared" si="198"/>
        <v/>
      </c>
      <c r="J654" s="563" t="str">
        <f t="shared" si="199"/>
        <v/>
      </c>
      <c r="K654" s="563" t="str">
        <f t="shared" si="200"/>
        <v/>
      </c>
      <c r="L654" s="563" t="str">
        <f t="shared" si="201"/>
        <v/>
      </c>
      <c r="M654" s="563" t="str">
        <f t="shared" si="202"/>
        <v/>
      </c>
      <c r="N654" s="104"/>
    </row>
    <row r="655" spans="1:14" s="73" customFormat="1" ht="30.6">
      <c r="A655" s="148" t="s">
        <v>25</v>
      </c>
      <c r="B655" s="208" t="s">
        <v>26</v>
      </c>
      <c r="C655" s="351" t="s">
        <v>542</v>
      </c>
      <c r="D655" s="188">
        <v>12591971002</v>
      </c>
      <c r="E655" s="553" t="str">
        <f>IFERROR(VLOOKUP(D655,'ВИС-2026'!$E$17:$H$2115,2,0),"")</f>
        <v xml:space="preserve">Надвижная гильза 25x2,3 </v>
      </c>
      <c r="F655" s="292" t="str">
        <f>IFERROR(VLOOKUP(D655,'ВИС-2026'!$E$17:$H$2115,4,0),"")</f>
        <v>шт</v>
      </c>
      <c r="G655" s="428"/>
      <c r="H655" s="554">
        <f>IFERROR(VLOOKUP(D655,'ВИС-2026'!$E$17:$K$2649,7,0),"")</f>
        <v>1.39</v>
      </c>
      <c r="I655" s="554">
        <f t="shared" si="198"/>
        <v>0</v>
      </c>
      <c r="J655" s="554">
        <f t="shared" si="199"/>
        <v>1.39</v>
      </c>
      <c r="K655" s="554">
        <f t="shared" si="200"/>
        <v>0</v>
      </c>
      <c r="L655" s="554">
        <f t="shared" si="201"/>
        <v>0</v>
      </c>
      <c r="M655" s="554">
        <f t="shared" si="202"/>
        <v>0</v>
      </c>
      <c r="N655" s="104"/>
    </row>
    <row r="656" spans="1:14" s="73" customFormat="1">
      <c r="A656" s="156"/>
      <c r="B656" s="352" t="s">
        <v>30</v>
      </c>
      <c r="C656" s="327" t="s">
        <v>542</v>
      </c>
      <c r="D656" s="311">
        <v>12502973002</v>
      </c>
      <c r="E656" s="553" t="str">
        <f>IFERROR(VLOOKUP(D656,'ВИС-2026'!$E$17:$H$2115,2,0),"")</f>
        <v>Надвижная гильза 17x2,0 THERM S</v>
      </c>
      <c r="F656" s="292" t="str">
        <f>IFERROR(VLOOKUP(D656,'ВИС-2026'!$E$17:$H$2115,4,0),"")</f>
        <v>шт</v>
      </c>
      <c r="G656" s="428"/>
      <c r="H656" s="554">
        <f>IFERROR(VLOOKUP(D656,'ВИС-2026'!$E$17:$K$2649,7,0),"")</f>
        <v>1.42</v>
      </c>
      <c r="I656" s="554">
        <f t="shared" si="198"/>
        <v>0</v>
      </c>
      <c r="J656" s="554">
        <f t="shared" si="199"/>
        <v>1.42</v>
      </c>
      <c r="K656" s="554">
        <f t="shared" si="200"/>
        <v>0</v>
      </c>
      <c r="L656" s="554">
        <f t="shared" si="201"/>
        <v>0</v>
      </c>
      <c r="M656" s="554">
        <f t="shared" si="202"/>
        <v>0</v>
      </c>
      <c r="N656" s="104"/>
    </row>
    <row r="657" spans="1:14" s="73" customFormat="1">
      <c r="A657" s="156"/>
      <c r="B657" s="352" t="s">
        <v>30</v>
      </c>
      <c r="C657" s="327" t="s">
        <v>542</v>
      </c>
      <c r="D657" s="311">
        <v>12503073002</v>
      </c>
      <c r="E657" s="553" t="str">
        <f>IFERROR(VLOOKUP(D657,'ВИС-2026'!$E$17:$H$2115,2,0),"")</f>
        <v>Надвижная гильза 20x2,0 THERM S</v>
      </c>
      <c r="F657" s="292" t="str">
        <f>IFERROR(VLOOKUP(D657,'ВИС-2026'!$E$17:$H$2115,4,0),"")</f>
        <v>шт</v>
      </c>
      <c r="G657" s="428"/>
      <c r="H657" s="554">
        <f>IFERROR(VLOOKUP(D657,'ВИС-2026'!$E$17:$K$2649,7,0),"")</f>
        <v>1.45</v>
      </c>
      <c r="I657" s="554">
        <f t="shared" si="198"/>
        <v>0</v>
      </c>
      <c r="J657" s="554">
        <f t="shared" si="199"/>
        <v>1.45</v>
      </c>
      <c r="K657" s="554">
        <f t="shared" si="200"/>
        <v>0</v>
      </c>
      <c r="L657" s="554">
        <f t="shared" si="201"/>
        <v>0</v>
      </c>
      <c r="M657" s="554">
        <f t="shared" si="202"/>
        <v>0</v>
      </c>
      <c r="N657" s="104"/>
    </row>
    <row r="658" spans="1:14" s="73" customFormat="1">
      <c r="A658" s="156"/>
      <c r="B658" s="352" t="s">
        <v>30</v>
      </c>
      <c r="C658" s="327" t="s">
        <v>542</v>
      </c>
      <c r="D658" s="311">
        <v>12591973002</v>
      </c>
      <c r="E658" s="553" t="str">
        <f>IFERROR(VLOOKUP(D658,'ВИС-2026'!$E$17:$H$2115,2,0),"")</f>
        <v>Надвижная гильза 25x2,3 THERM S</v>
      </c>
      <c r="F658" s="292" t="str">
        <f>IFERROR(VLOOKUP(D658,'ВИС-2026'!$E$17:$H$2115,4,0),"")</f>
        <v>шт</v>
      </c>
      <c r="G658" s="428"/>
      <c r="H658" s="554">
        <f>IFERROR(VLOOKUP(D658,'ВИС-2026'!$E$17:$K$2649,7,0),"")</f>
        <v>2.48</v>
      </c>
      <c r="I658" s="554">
        <f t="shared" si="198"/>
        <v>0</v>
      </c>
      <c r="J658" s="554">
        <f t="shared" si="199"/>
        <v>2.48</v>
      </c>
      <c r="K658" s="554">
        <f t="shared" si="200"/>
        <v>0</v>
      </c>
      <c r="L658" s="554">
        <f t="shared" si="201"/>
        <v>0</v>
      </c>
      <c r="M658" s="554">
        <f t="shared" si="202"/>
        <v>0</v>
      </c>
      <c r="N658" s="104"/>
    </row>
    <row r="659" spans="1:14" s="73" customFormat="1">
      <c r="A659" s="36"/>
      <c r="B659" s="296"/>
      <c r="C659" s="355"/>
      <c r="D659" s="188"/>
      <c r="E659" s="258"/>
      <c r="F659" s="292" t="str">
        <f>IFERROR(VLOOKUP(D659,'ВИС-2026'!$E$17:$H$2115,5,0),"")</f>
        <v/>
      </c>
      <c r="G659" s="428"/>
      <c r="H659" s="554" t="str">
        <f>IFERROR(VLOOKUP(D659,'ВИС-2026'!$E$17:$K$2649,8,0),"")</f>
        <v/>
      </c>
      <c r="I659" s="554" t="str">
        <f t="shared" si="198"/>
        <v/>
      </c>
      <c r="J659" s="554" t="str">
        <f t="shared" si="199"/>
        <v/>
      </c>
      <c r="K659" s="554" t="str">
        <f t="shared" si="200"/>
        <v/>
      </c>
      <c r="L659" s="554" t="str">
        <f t="shared" si="201"/>
        <v/>
      </c>
      <c r="M659" s="554" t="str">
        <f t="shared" si="202"/>
        <v/>
      </c>
      <c r="N659" s="104"/>
    </row>
    <row r="660" spans="1:14" s="73" customFormat="1">
      <c r="A660" s="36"/>
      <c r="B660" s="343"/>
      <c r="C660" s="344" t="s">
        <v>542</v>
      </c>
      <c r="D660" s="346"/>
      <c r="E660" s="347" t="s">
        <v>557</v>
      </c>
      <c r="F660" s="555" t="str">
        <f>IFERROR(VLOOKUP(D660,'ВИС-2026'!$E$17:$H$2115,5,0),"")</f>
        <v/>
      </c>
      <c r="G660" s="556"/>
      <c r="H660" s="557" t="str">
        <f>IFERROR(VLOOKUP(D660,'ВИС-2026'!$E$17:$K$2649,8,0),"")</f>
        <v/>
      </c>
      <c r="I660" s="557" t="str">
        <f t="shared" si="198"/>
        <v/>
      </c>
      <c r="J660" s="557" t="str">
        <f t="shared" si="199"/>
        <v/>
      </c>
      <c r="K660" s="557" t="str">
        <f t="shared" si="200"/>
        <v/>
      </c>
      <c r="L660" s="557" t="str">
        <f t="shared" si="201"/>
        <v/>
      </c>
      <c r="M660" s="557" t="str">
        <f t="shared" si="202"/>
        <v/>
      </c>
      <c r="N660" s="104"/>
    </row>
    <row r="661" spans="1:14" s="73" customFormat="1">
      <c r="A661" s="156"/>
      <c r="B661" s="352" t="s">
        <v>30</v>
      </c>
      <c r="C661" s="327" t="s">
        <v>542</v>
      </c>
      <c r="D661" s="311">
        <v>12502773002</v>
      </c>
      <c r="E661" s="553" t="str">
        <f>IFERROR(VLOOKUP(D661,'ВИС-2026'!$E$17:$H$2115,2,0),"")</f>
        <v>Муфта соединительная равнопроходная 17 THERM S</v>
      </c>
      <c r="F661" s="292" t="str">
        <f>IFERROR(VLOOKUP(D661,'ВИС-2026'!$E$17:$H$2115,4,0),"")</f>
        <v>шт</v>
      </c>
      <c r="G661" s="428"/>
      <c r="H661" s="554">
        <f>IFERROR(VLOOKUP(D661,'ВИС-2026'!$E$17:$K$2649,7,0),"")</f>
        <v>4.47</v>
      </c>
      <c r="I661" s="554">
        <f t="shared" si="198"/>
        <v>0</v>
      </c>
      <c r="J661" s="554">
        <f t="shared" si="199"/>
        <v>4.47</v>
      </c>
      <c r="K661" s="554">
        <f t="shared" si="200"/>
        <v>0</v>
      </c>
      <c r="L661" s="554">
        <f t="shared" si="201"/>
        <v>0</v>
      </c>
      <c r="M661" s="554">
        <f t="shared" si="202"/>
        <v>0</v>
      </c>
      <c r="N661" s="104"/>
    </row>
    <row r="662" spans="1:14" s="73" customFormat="1">
      <c r="A662" s="156"/>
      <c r="B662" s="352" t="s">
        <v>30</v>
      </c>
      <c r="C662" s="327" t="s">
        <v>542</v>
      </c>
      <c r="D662" s="311">
        <v>12503173002</v>
      </c>
      <c r="E662" s="553" t="str">
        <f>IFERROR(VLOOKUP(D662,'ВИС-2026'!$E$17:$H$2115,2,0),"")</f>
        <v>Муфта соединительная равнопроходная 20 THERM S</v>
      </c>
      <c r="F662" s="292" t="str">
        <f>IFERROR(VLOOKUP(D662,'ВИС-2026'!$E$17:$H$2115,4,0),"")</f>
        <v>шт</v>
      </c>
      <c r="G662" s="428"/>
      <c r="H662" s="554">
        <f>IFERROR(VLOOKUP(D662,'ВИС-2026'!$E$17:$K$2649,7,0),"")</f>
        <v>4.8099999999999996</v>
      </c>
      <c r="I662" s="554">
        <f t="shared" si="198"/>
        <v>0</v>
      </c>
      <c r="J662" s="554">
        <f t="shared" si="199"/>
        <v>4.8099999999999996</v>
      </c>
      <c r="K662" s="554">
        <f t="shared" si="200"/>
        <v>0</v>
      </c>
      <c r="L662" s="554">
        <f t="shared" si="201"/>
        <v>0</v>
      </c>
      <c r="M662" s="554">
        <f t="shared" si="202"/>
        <v>0</v>
      </c>
      <c r="N662" s="104"/>
    </row>
    <row r="663" spans="1:14" s="73" customFormat="1">
      <c r="A663" s="156"/>
      <c r="B663" s="352" t="s">
        <v>30</v>
      </c>
      <c r="C663" s="327" t="s">
        <v>542</v>
      </c>
      <c r="D663" s="311">
        <v>12591873002</v>
      </c>
      <c r="E663" s="553" t="str">
        <f>IFERROR(VLOOKUP(D663,'ВИС-2026'!$E$17:$H$2115,2,0),"")</f>
        <v>Муфта соединительная равнопроходная 25 THERM S</v>
      </c>
      <c r="F663" s="292" t="str">
        <f>IFERROR(VLOOKUP(D663,'ВИС-2026'!$E$17:$H$2115,4,0),"")</f>
        <v>шт</v>
      </c>
      <c r="G663" s="428"/>
      <c r="H663" s="554">
        <f>IFERROR(VLOOKUP(D663,'ВИС-2026'!$E$17:$K$2649,7,0),"")</f>
        <v>6.25</v>
      </c>
      <c r="I663" s="554">
        <f t="shared" si="198"/>
        <v>0</v>
      </c>
      <c r="J663" s="554">
        <f t="shared" si="199"/>
        <v>6.25</v>
      </c>
      <c r="K663" s="554">
        <f t="shared" si="200"/>
        <v>0</v>
      </c>
      <c r="L663" s="554">
        <f t="shared" si="201"/>
        <v>0</v>
      </c>
      <c r="M663" s="554">
        <f t="shared" si="202"/>
        <v>0</v>
      </c>
      <c r="N663" s="104"/>
    </row>
    <row r="664" spans="1:14" s="73" customFormat="1">
      <c r="A664" s="36"/>
      <c r="B664" s="296"/>
      <c r="C664" s="355"/>
      <c r="D664" s="188"/>
      <c r="E664" s="258"/>
      <c r="F664" s="292" t="str">
        <f>IFERROR(VLOOKUP(D664,'ВИС-2026'!$E$17:$H$2115,5,0),"")</f>
        <v/>
      </c>
      <c r="G664" s="428"/>
      <c r="H664" s="554" t="str">
        <f>IFERROR(VLOOKUP(D664,'ВИС-2026'!$E$17:$K$2649,8,0),"")</f>
        <v/>
      </c>
      <c r="I664" s="554" t="str">
        <f t="shared" ref="I664" si="203">IFERROR(H664*G664,"")</f>
        <v/>
      </c>
      <c r="J664" s="554" t="str">
        <f t="shared" ref="J664" si="204">IFERROR((IF(H664="","",H664-H664*$D$7)),"")</f>
        <v/>
      </c>
      <c r="K664" s="554" t="str">
        <f t="shared" ref="K664" si="205">IFERROR(J664*G664, "")</f>
        <v/>
      </c>
      <c r="L664" s="554" t="str">
        <f t="shared" ref="L664" si="206">IFERROR(J664*$D$8, "")</f>
        <v/>
      </c>
      <c r="M664" s="554" t="str">
        <f t="shared" ref="M664" si="207">IFERROR(L664*G664, "")</f>
        <v/>
      </c>
      <c r="N664" s="104"/>
    </row>
    <row r="665" spans="1:14" s="74" customFormat="1">
      <c r="A665" s="36"/>
      <c r="B665" s="360" t="s">
        <v>397</v>
      </c>
      <c r="C665" s="327" t="s">
        <v>542</v>
      </c>
      <c r="D665" s="311">
        <v>12588171002</v>
      </c>
      <c r="E665" s="553" t="str">
        <f>IFERROR(VLOOKUP(D665,'ВИС-2026'!$E$17:$H$2115,2,0),"")</f>
        <v>Переходник с наруж. резьбой 17-R 1/2</v>
      </c>
      <c r="F665" s="292" t="str">
        <f>IFERROR(VLOOKUP(D665,'ВИС-2026'!$E$17:$H$2115,4,0),"")</f>
        <v>шт</v>
      </c>
      <c r="G665" s="428"/>
      <c r="H665" s="554">
        <f>IFERROR(VLOOKUP(D665,'ВИС-2026'!$E$17:$K$2649,7,0),"")</f>
        <v>11.32</v>
      </c>
      <c r="I665" s="554">
        <f t="shared" ref="I665:I679" si="208">IFERROR(H665*G665,"")</f>
        <v>0</v>
      </c>
      <c r="J665" s="554">
        <f t="shared" ref="J665:J679" si="209">IFERROR((IF(H665="","",H665-H665*$D$7)),"")</f>
        <v>11.32</v>
      </c>
      <c r="K665" s="554">
        <f t="shared" ref="K665:K679" si="210">IFERROR(J665*G665, "")</f>
        <v>0</v>
      </c>
      <c r="L665" s="554">
        <f t="shared" ref="L665:L679" si="211">IFERROR(J665*$D$8, "")</f>
        <v>0</v>
      </c>
      <c r="M665" s="554">
        <f t="shared" ref="M665:M679" si="212">IFERROR(L665*G665, "")</f>
        <v>0</v>
      </c>
      <c r="N665" s="104"/>
    </row>
    <row r="666" spans="1:14" s="73" customFormat="1" ht="30.6">
      <c r="A666" s="148" t="s">
        <v>25</v>
      </c>
      <c r="B666" s="208" t="s">
        <v>26</v>
      </c>
      <c r="C666" s="351" t="s">
        <v>542</v>
      </c>
      <c r="D666" s="188">
        <v>12685701001</v>
      </c>
      <c r="E666" s="553" t="str">
        <f>IFERROR(VLOOKUP(D666,'ВИС-2026'!$E$17:$H$2115,2,0),"")</f>
        <v>Переходник с наруж. резьбой 20-R1/2</v>
      </c>
      <c r="F666" s="292" t="str">
        <f>IFERROR(VLOOKUP(D666,'ВИС-2026'!$E$17:$H$2115,4,0),"")</f>
        <v>шт</v>
      </c>
      <c r="G666" s="428"/>
      <c r="H666" s="554">
        <f>IFERROR(VLOOKUP(D666,'ВИС-2026'!$E$17:$K$2649,7,0),"")</f>
        <v>3.42</v>
      </c>
      <c r="I666" s="554">
        <f t="shared" si="208"/>
        <v>0</v>
      </c>
      <c r="J666" s="554">
        <f t="shared" si="209"/>
        <v>3.42</v>
      </c>
      <c r="K666" s="554">
        <f t="shared" si="210"/>
        <v>0</v>
      </c>
      <c r="L666" s="554">
        <f t="shared" si="211"/>
        <v>0</v>
      </c>
      <c r="M666" s="554">
        <f t="shared" si="212"/>
        <v>0</v>
      </c>
      <c r="N666" s="104"/>
    </row>
    <row r="667" spans="1:14" s="73" customFormat="1" ht="30.6">
      <c r="A667" s="148" t="s">
        <v>25</v>
      </c>
      <c r="B667" s="208" t="s">
        <v>26</v>
      </c>
      <c r="C667" s="351" t="s">
        <v>542</v>
      </c>
      <c r="D667" s="188">
        <v>12685801001</v>
      </c>
      <c r="E667" s="553" t="str">
        <f>IFERROR(VLOOKUP(D667,'ВИС-2026'!$E$17:$H$2115,2,0),"")</f>
        <v>Переходник с наруж. резьбой 25-R3/4</v>
      </c>
      <c r="F667" s="292" t="str">
        <f>IFERROR(VLOOKUP(D667,'ВИС-2026'!$E$17:$H$2115,4,0),"")</f>
        <v>шт</v>
      </c>
      <c r="G667" s="428"/>
      <c r="H667" s="554">
        <f>IFERROR(VLOOKUP(D667,'ВИС-2026'!$E$17:$K$2649,7,0),"")</f>
        <v>4.25</v>
      </c>
      <c r="I667" s="554">
        <f t="shared" si="208"/>
        <v>0</v>
      </c>
      <c r="J667" s="554">
        <f t="shared" si="209"/>
        <v>4.25</v>
      </c>
      <c r="K667" s="554">
        <f t="shared" si="210"/>
        <v>0</v>
      </c>
      <c r="L667" s="554">
        <f t="shared" si="211"/>
        <v>0</v>
      </c>
      <c r="M667" s="554">
        <f t="shared" si="212"/>
        <v>0</v>
      </c>
      <c r="N667" s="104"/>
    </row>
    <row r="668" spans="1:14" s="73" customFormat="1">
      <c r="A668" s="156"/>
      <c r="B668" s="352" t="s">
        <v>30</v>
      </c>
      <c r="C668" s="327" t="s">
        <v>542</v>
      </c>
      <c r="D668" s="311">
        <v>12588173002</v>
      </c>
      <c r="E668" s="553" t="str">
        <f>IFERROR(VLOOKUP(D668,'ВИС-2026'!$E$17:$H$2115,2,0),"")</f>
        <v>Переходник с наружной резьбой THERM S 17-R 1/2</v>
      </c>
      <c r="F668" s="292" t="str">
        <f>IFERROR(VLOOKUP(D668,'ВИС-2026'!$E$17:$H$2115,4,0),"")</f>
        <v>шт</v>
      </c>
      <c r="G668" s="428"/>
      <c r="H668" s="554">
        <f>IFERROR(VLOOKUP(D668,'ВИС-2026'!$E$17:$K$2649,7,0),"")</f>
        <v>4.2300000000000004</v>
      </c>
      <c r="I668" s="554">
        <f t="shared" si="208"/>
        <v>0</v>
      </c>
      <c r="J668" s="554">
        <f t="shared" si="209"/>
        <v>4.2300000000000004</v>
      </c>
      <c r="K668" s="554">
        <f t="shared" si="210"/>
        <v>0</v>
      </c>
      <c r="L668" s="554">
        <f t="shared" si="211"/>
        <v>0</v>
      </c>
      <c r="M668" s="554">
        <f t="shared" si="212"/>
        <v>0</v>
      </c>
      <c r="N668" s="104"/>
    </row>
    <row r="669" spans="1:14" s="73" customFormat="1">
      <c r="A669" s="156"/>
      <c r="B669" s="352" t="s">
        <v>30</v>
      </c>
      <c r="C669" s="327" t="s">
        <v>542</v>
      </c>
      <c r="D669" s="311">
        <v>12685703001</v>
      </c>
      <c r="E669" s="553" t="str">
        <f>IFERROR(VLOOKUP(D669,'ВИС-2026'!$E$17:$H$2115,2,0),"")</f>
        <v>Переходник с наружной резьбой THERM S 20-R 1/2</v>
      </c>
      <c r="F669" s="292" t="str">
        <f>IFERROR(VLOOKUP(D669,'ВИС-2026'!$E$17:$H$2115,4,0),"")</f>
        <v>шт</v>
      </c>
      <c r="G669" s="428"/>
      <c r="H669" s="554">
        <f>IFERROR(VLOOKUP(D669,'ВИС-2026'!$E$17:$K$2649,7,0),"")</f>
        <v>5.75</v>
      </c>
      <c r="I669" s="554">
        <f t="shared" si="208"/>
        <v>0</v>
      </c>
      <c r="J669" s="554">
        <f t="shared" si="209"/>
        <v>5.75</v>
      </c>
      <c r="K669" s="554">
        <f t="shared" si="210"/>
        <v>0</v>
      </c>
      <c r="L669" s="554">
        <f t="shared" si="211"/>
        <v>0</v>
      </c>
      <c r="M669" s="554">
        <f t="shared" si="212"/>
        <v>0</v>
      </c>
      <c r="N669" s="104"/>
    </row>
    <row r="670" spans="1:14" s="73" customFormat="1">
      <c r="A670" s="156"/>
      <c r="B670" s="352" t="s">
        <v>30</v>
      </c>
      <c r="C670" s="327" t="s">
        <v>542</v>
      </c>
      <c r="D670" s="311">
        <v>12588273002</v>
      </c>
      <c r="E670" s="553" t="str">
        <f>IFERROR(VLOOKUP(D670,'ВИС-2026'!$E$17:$H$2115,2,0),"")</f>
        <v>Переходник с наружной резьбой THERM S 20-R 3/4</v>
      </c>
      <c r="F670" s="292" t="str">
        <f>IFERROR(VLOOKUP(D670,'ВИС-2026'!$E$17:$H$2115,4,0),"")</f>
        <v>шт</v>
      </c>
      <c r="G670" s="428"/>
      <c r="H670" s="554">
        <f>IFERROR(VLOOKUP(D670,'ВИС-2026'!$E$17:$K$2649,7,0),"")</f>
        <v>6.4</v>
      </c>
      <c r="I670" s="554">
        <f t="shared" si="208"/>
        <v>0</v>
      </c>
      <c r="J670" s="554">
        <f t="shared" si="209"/>
        <v>6.4</v>
      </c>
      <c r="K670" s="554">
        <f t="shared" si="210"/>
        <v>0</v>
      </c>
      <c r="L670" s="554">
        <f t="shared" si="211"/>
        <v>0</v>
      </c>
      <c r="M670" s="554">
        <f t="shared" si="212"/>
        <v>0</v>
      </c>
      <c r="N670" s="104"/>
    </row>
    <row r="671" spans="1:14" s="73" customFormat="1">
      <c r="A671" s="156"/>
      <c r="B671" s="352" t="s">
        <v>30</v>
      </c>
      <c r="C671" s="327" t="s">
        <v>542</v>
      </c>
      <c r="D671" s="311">
        <v>12685803001</v>
      </c>
      <c r="E671" s="553" t="str">
        <f>IFERROR(VLOOKUP(D671,'ВИС-2026'!$E$17:$H$2115,2,0),"")</f>
        <v>Переходник с наружной резьбой THERM S 25-R 3/4</v>
      </c>
      <c r="F671" s="292" t="str">
        <f>IFERROR(VLOOKUP(D671,'ВИС-2026'!$E$17:$H$2115,4,0),"")</f>
        <v>шт</v>
      </c>
      <c r="G671" s="428"/>
      <c r="H671" s="554">
        <f>IFERROR(VLOOKUP(D671,'ВИС-2026'!$E$17:$K$2649,7,0),"")</f>
        <v>6.6</v>
      </c>
      <c r="I671" s="554">
        <f t="shared" si="208"/>
        <v>0</v>
      </c>
      <c r="J671" s="554">
        <f t="shared" si="209"/>
        <v>6.6</v>
      </c>
      <c r="K671" s="554">
        <f t="shared" si="210"/>
        <v>0</v>
      </c>
      <c r="L671" s="554">
        <f t="shared" si="211"/>
        <v>0</v>
      </c>
      <c r="M671" s="554">
        <f t="shared" si="212"/>
        <v>0</v>
      </c>
      <c r="N671" s="104"/>
    </row>
    <row r="672" spans="1:14" s="73" customFormat="1">
      <c r="A672" s="156"/>
      <c r="B672" s="352" t="s">
        <v>30</v>
      </c>
      <c r="C672" s="327" t="s">
        <v>542</v>
      </c>
      <c r="D672" s="311">
        <v>12534393002</v>
      </c>
      <c r="E672" s="553" t="str">
        <f>IFERROR(VLOOKUP(D672,'ВИС-2026'!$E$17:$H$2115,2,0),"")</f>
        <v>Переходник с наружной резьбой THERM S 25-R 1</v>
      </c>
      <c r="F672" s="292" t="str">
        <f>IFERROR(VLOOKUP(D672,'ВИС-2026'!$E$17:$H$2115,4,0),"")</f>
        <v>шт</v>
      </c>
      <c r="G672" s="428"/>
      <c r="H672" s="554">
        <f>IFERROR(VLOOKUP(D672,'ВИС-2026'!$E$17:$K$2649,7,0),"")</f>
        <v>8.32</v>
      </c>
      <c r="I672" s="554">
        <f t="shared" si="208"/>
        <v>0</v>
      </c>
      <c r="J672" s="554">
        <f t="shared" si="209"/>
        <v>8.32</v>
      </c>
      <c r="K672" s="554">
        <f t="shared" si="210"/>
        <v>0</v>
      </c>
      <c r="L672" s="554">
        <f t="shared" si="211"/>
        <v>0</v>
      </c>
      <c r="M672" s="554">
        <f t="shared" si="212"/>
        <v>0</v>
      </c>
      <c r="N672" s="104"/>
    </row>
    <row r="673" spans="1:14" s="73" customFormat="1">
      <c r="A673" s="36"/>
      <c r="B673" s="296"/>
      <c r="C673" s="355"/>
      <c r="D673" s="188"/>
      <c r="E673" s="258"/>
      <c r="F673" s="292" t="str">
        <f>IFERROR(VLOOKUP(D673,'ВИС-2026'!$E$17:$H$2115,5,0),"")</f>
        <v/>
      </c>
      <c r="G673" s="428"/>
      <c r="H673" s="554" t="str">
        <f>IFERROR(VLOOKUP(D673,'ВИС-2026'!$E$17:$K$2649,8,0),"")</f>
        <v/>
      </c>
      <c r="I673" s="554" t="str">
        <f t="shared" si="208"/>
        <v/>
      </c>
      <c r="J673" s="554" t="str">
        <f t="shared" si="209"/>
        <v/>
      </c>
      <c r="K673" s="554" t="str">
        <f t="shared" si="210"/>
        <v/>
      </c>
      <c r="L673" s="554" t="str">
        <f t="shared" si="211"/>
        <v/>
      </c>
      <c r="M673" s="554" t="str">
        <f t="shared" si="212"/>
        <v/>
      </c>
      <c r="N673" s="104"/>
    </row>
    <row r="674" spans="1:14" s="73" customFormat="1" ht="30.6">
      <c r="A674" s="148" t="s">
        <v>25</v>
      </c>
      <c r="B674" s="208" t="s">
        <v>26</v>
      </c>
      <c r="C674" s="351" t="s">
        <v>542</v>
      </c>
      <c r="D674" s="188">
        <v>12350901001</v>
      </c>
      <c r="E674" s="553" t="str">
        <f>IFERROR(VLOOKUP(D674,'ВИС-2026'!$E$17:$H$2115,2,0),"")</f>
        <v>Угольник 90° - 14</v>
      </c>
      <c r="F674" s="292" t="str">
        <f>IFERROR(VLOOKUP(D674,'ВИС-2026'!$E$17:$H$2115,4,0),"")</f>
        <v>шт</v>
      </c>
      <c r="G674" s="428"/>
      <c r="H674" s="554">
        <f>IFERROR(VLOOKUP(D674,'ВИС-2026'!$E$17:$K$2649,7,0),"")</f>
        <v>6.95</v>
      </c>
      <c r="I674" s="554">
        <f t="shared" si="208"/>
        <v>0</v>
      </c>
      <c r="J674" s="554">
        <f t="shared" si="209"/>
        <v>6.95</v>
      </c>
      <c r="K674" s="554">
        <f t="shared" si="210"/>
        <v>0</v>
      </c>
      <c r="L674" s="554">
        <f t="shared" si="211"/>
        <v>0</v>
      </c>
      <c r="M674" s="554">
        <f t="shared" si="212"/>
        <v>0</v>
      </c>
      <c r="N674" s="104"/>
    </row>
    <row r="675" spans="1:14" s="73" customFormat="1" ht="30.6">
      <c r="A675" s="148" t="s">
        <v>25</v>
      </c>
      <c r="B675" s="208" t="s">
        <v>26</v>
      </c>
      <c r="C675" s="351" t="s">
        <v>542</v>
      </c>
      <c r="D675" s="188">
        <v>12589071002</v>
      </c>
      <c r="E675" s="553" t="str">
        <f>IFERROR(VLOOKUP(D675,'ВИС-2026'!$E$17:$H$2115,2,0),"")</f>
        <v>Угольник 90° - 20</v>
      </c>
      <c r="F675" s="292" t="str">
        <f>IFERROR(VLOOKUP(D675,'ВИС-2026'!$E$17:$H$2115,4,0),"")</f>
        <v>шт</v>
      </c>
      <c r="G675" s="428"/>
      <c r="H675" s="554">
        <f>IFERROR(VLOOKUP(D675,'ВИС-2026'!$E$17:$K$2649,7,0),"")</f>
        <v>7.6</v>
      </c>
      <c r="I675" s="554">
        <f t="shared" si="208"/>
        <v>0</v>
      </c>
      <c r="J675" s="554">
        <f t="shared" si="209"/>
        <v>7.6</v>
      </c>
      <c r="K675" s="554">
        <f t="shared" si="210"/>
        <v>0</v>
      </c>
      <c r="L675" s="554">
        <f t="shared" si="211"/>
        <v>0</v>
      </c>
      <c r="M675" s="554">
        <f t="shared" si="212"/>
        <v>0</v>
      </c>
      <c r="N675" s="104"/>
    </row>
    <row r="676" spans="1:14" s="73" customFormat="1" ht="30.6">
      <c r="A676" s="148" t="s">
        <v>25</v>
      </c>
      <c r="B676" s="208" t="s">
        <v>26</v>
      </c>
      <c r="C676" s="351" t="s">
        <v>542</v>
      </c>
      <c r="D676" s="188">
        <v>12594491002</v>
      </c>
      <c r="E676" s="553" t="str">
        <f>IFERROR(VLOOKUP(D676,'ВИС-2026'!$E$17:$H$2115,2,0),"")</f>
        <v>Угольник 90° - 25</v>
      </c>
      <c r="F676" s="292" t="str">
        <f>IFERROR(VLOOKUP(D676,'ВИС-2026'!$E$17:$H$2115,4,0),"")</f>
        <v>шт</v>
      </c>
      <c r="G676" s="428"/>
      <c r="H676" s="554">
        <f>IFERROR(VLOOKUP(D676,'ВИС-2026'!$E$17:$K$2649,7,0),"")</f>
        <v>11.43</v>
      </c>
      <c r="I676" s="554">
        <f t="shared" si="208"/>
        <v>0</v>
      </c>
      <c r="J676" s="554">
        <f t="shared" si="209"/>
        <v>11.43</v>
      </c>
      <c r="K676" s="554">
        <f t="shared" si="210"/>
        <v>0</v>
      </c>
      <c r="L676" s="554">
        <f t="shared" si="211"/>
        <v>0</v>
      </c>
      <c r="M676" s="554">
        <f t="shared" si="212"/>
        <v>0</v>
      </c>
      <c r="N676" s="104"/>
    </row>
    <row r="677" spans="1:14" s="73" customFormat="1">
      <c r="A677" s="156"/>
      <c r="B677" s="352" t="s">
        <v>30</v>
      </c>
      <c r="C677" s="327" t="s">
        <v>542</v>
      </c>
      <c r="D677" s="311">
        <v>12588973002</v>
      </c>
      <c r="E677" s="553" t="str">
        <f>IFERROR(VLOOKUP(D677,'ВИС-2026'!$E$17:$H$2115,2,0),"")</f>
        <v>Угольник 90° - 17 THERM S</v>
      </c>
      <c r="F677" s="292" t="str">
        <f>IFERROR(VLOOKUP(D677,'ВИС-2026'!$E$17:$H$2115,4,0),"")</f>
        <v>шт</v>
      </c>
      <c r="G677" s="428"/>
      <c r="H677" s="554">
        <f>IFERROR(VLOOKUP(D677,'ВИС-2026'!$E$17:$K$2649,7,0),"")</f>
        <v>8.33</v>
      </c>
      <c r="I677" s="554">
        <f t="shared" si="208"/>
        <v>0</v>
      </c>
      <c r="J677" s="554">
        <f t="shared" si="209"/>
        <v>8.33</v>
      </c>
      <c r="K677" s="554">
        <f t="shared" si="210"/>
        <v>0</v>
      </c>
      <c r="L677" s="554">
        <f t="shared" si="211"/>
        <v>0</v>
      </c>
      <c r="M677" s="554">
        <f t="shared" si="212"/>
        <v>0</v>
      </c>
      <c r="N677" s="104"/>
    </row>
    <row r="678" spans="1:14" s="73" customFormat="1">
      <c r="A678" s="156"/>
      <c r="B678" s="352" t="s">
        <v>30</v>
      </c>
      <c r="C678" s="327" t="s">
        <v>542</v>
      </c>
      <c r="D678" s="311">
        <v>12589073002</v>
      </c>
      <c r="E678" s="553" t="str">
        <f>IFERROR(VLOOKUP(D678,'ВИС-2026'!$E$17:$H$2115,2,0),"")</f>
        <v>Угольник 90° - 20 THERM S</v>
      </c>
      <c r="F678" s="292" t="str">
        <f>IFERROR(VLOOKUP(D678,'ВИС-2026'!$E$17:$H$2115,4,0),"")</f>
        <v>шт</v>
      </c>
      <c r="G678" s="428"/>
      <c r="H678" s="554">
        <f>IFERROR(VLOOKUP(D678,'ВИС-2026'!$E$17:$K$2649,7,0),"")</f>
        <v>8.35</v>
      </c>
      <c r="I678" s="554">
        <f t="shared" si="208"/>
        <v>0</v>
      </c>
      <c r="J678" s="554">
        <f t="shared" si="209"/>
        <v>8.35</v>
      </c>
      <c r="K678" s="554">
        <f t="shared" si="210"/>
        <v>0</v>
      </c>
      <c r="L678" s="554">
        <f t="shared" si="211"/>
        <v>0</v>
      </c>
      <c r="M678" s="554">
        <f t="shared" si="212"/>
        <v>0</v>
      </c>
      <c r="N678" s="104"/>
    </row>
    <row r="679" spans="1:14" s="73" customFormat="1">
      <c r="A679" s="156"/>
      <c r="B679" s="352" t="s">
        <v>30</v>
      </c>
      <c r="C679" s="327" t="s">
        <v>542</v>
      </c>
      <c r="D679" s="311">
        <v>12594493002</v>
      </c>
      <c r="E679" s="553" t="str">
        <f>IFERROR(VLOOKUP(D679,'ВИС-2026'!$E$17:$H$2115,2,0),"")</f>
        <v>Угольник 90° - 25 THERM S</v>
      </c>
      <c r="F679" s="292" t="str">
        <f>IFERROR(VLOOKUP(D679,'ВИС-2026'!$E$17:$H$2115,4,0),"")</f>
        <v>шт</v>
      </c>
      <c r="G679" s="428"/>
      <c r="H679" s="554">
        <f>IFERROR(VLOOKUP(D679,'ВИС-2026'!$E$17:$K$2649,7,0),"")</f>
        <v>13.51</v>
      </c>
      <c r="I679" s="554">
        <f t="shared" si="208"/>
        <v>0</v>
      </c>
      <c r="J679" s="554">
        <f t="shared" si="209"/>
        <v>13.51</v>
      </c>
      <c r="K679" s="554">
        <f t="shared" si="210"/>
        <v>0</v>
      </c>
      <c r="L679" s="554">
        <f t="shared" si="211"/>
        <v>0</v>
      </c>
      <c r="M679" s="554">
        <f t="shared" si="212"/>
        <v>0</v>
      </c>
      <c r="N679" s="104"/>
    </row>
    <row r="680" spans="1:14" s="73" customFormat="1">
      <c r="A680" s="36"/>
      <c r="B680" s="296"/>
      <c r="C680" s="355"/>
      <c r="D680" s="188"/>
      <c r="E680" s="258"/>
      <c r="F680" s="292" t="str">
        <f>IFERROR(VLOOKUP(D680,'ВИС-2026'!$E$17:$H$2115,5,0),"")</f>
        <v/>
      </c>
      <c r="G680" s="428"/>
      <c r="H680" s="554" t="str">
        <f>IFERROR(VLOOKUP(D680,'ВИС-2026'!$E$17:$K$2649,8,0),"")</f>
        <v/>
      </c>
      <c r="I680" s="554" t="str">
        <f t="shared" ref="I680:I697" si="213">IFERROR(H680*G680,"")</f>
        <v/>
      </c>
      <c r="J680" s="554" t="str">
        <f t="shared" ref="J680:J697" si="214">IFERROR((IF(H680="","",H680-H680*$D$7)),"")</f>
        <v/>
      </c>
      <c r="K680" s="554" t="str">
        <f t="shared" ref="K680:K697" si="215">IFERROR(J680*G680, "")</f>
        <v/>
      </c>
      <c r="L680" s="554" t="str">
        <f t="shared" ref="L680:L697" si="216">IFERROR(J680*$D$8, "")</f>
        <v/>
      </c>
      <c r="M680" s="554" t="str">
        <f t="shared" ref="M680:M697" si="217">IFERROR(L680*G680, "")</f>
        <v/>
      </c>
      <c r="N680" s="104"/>
    </row>
    <row r="681" spans="1:14" s="73" customFormat="1">
      <c r="A681" s="36"/>
      <c r="B681" s="343"/>
      <c r="C681" s="344" t="s">
        <v>542</v>
      </c>
      <c r="D681" s="363"/>
      <c r="E681" s="364" t="s">
        <v>577</v>
      </c>
      <c r="F681" s="555"/>
      <c r="G681" s="556"/>
      <c r="H681" s="557"/>
      <c r="I681" s="557"/>
      <c r="J681" s="557"/>
      <c r="K681" s="557"/>
      <c r="L681" s="557"/>
      <c r="M681" s="557"/>
      <c r="N681" s="104"/>
    </row>
    <row r="682" spans="1:14" s="74" customFormat="1" ht="30.6">
      <c r="A682" s="148" t="s">
        <v>25</v>
      </c>
      <c r="B682" s="208" t="s">
        <v>26</v>
      </c>
      <c r="C682" s="351" t="s">
        <v>542</v>
      </c>
      <c r="D682" s="188">
        <v>12005431001</v>
      </c>
      <c r="E682" s="553" t="str">
        <f>IFERROR(VLOOKUP(D682,'ВИС-2026'!$E$17:$H$2115,2,0),"")</f>
        <v>Тройник 17-10-17</v>
      </c>
      <c r="F682" s="292" t="str">
        <f>IFERROR(VLOOKUP(D682,'ВИС-2026'!$E$17:$H$2115,4,0),"")</f>
        <v>шт</v>
      </c>
      <c r="G682" s="428"/>
      <c r="H682" s="554">
        <f>IFERROR(VLOOKUP(D682,'ВИС-2026'!$E$17:$K$2649,7,0),"")</f>
        <v>6</v>
      </c>
      <c r="I682" s="554">
        <f t="shared" ref="I682:I684" si="218">IFERROR(H682*G682,"")</f>
        <v>0</v>
      </c>
      <c r="J682" s="554">
        <f t="shared" ref="J682:J684" si="219">IFERROR((IF(H682="","",H682-H682*$D$7)),"")</f>
        <v>6</v>
      </c>
      <c r="K682" s="554">
        <f t="shared" ref="K682:K684" si="220">IFERROR(J682*G682, "")</f>
        <v>0</v>
      </c>
      <c r="L682" s="554">
        <f t="shared" ref="L682:L684" si="221">IFERROR(J682*$D$8, "")</f>
        <v>0</v>
      </c>
      <c r="M682" s="554">
        <f t="shared" ref="M682:M684" si="222">IFERROR(L682*G682, "")</f>
        <v>0</v>
      </c>
      <c r="N682" s="104"/>
    </row>
    <row r="683" spans="1:14" s="74" customFormat="1" ht="30.6">
      <c r="A683" s="148" t="s">
        <v>25</v>
      </c>
      <c r="B683" s="208" t="s">
        <v>26</v>
      </c>
      <c r="C683" s="351" t="s">
        <v>542</v>
      </c>
      <c r="D683" s="188">
        <v>12005441001</v>
      </c>
      <c r="E683" s="553" t="str">
        <f>IFERROR(VLOOKUP(D683,'ВИС-2026'!$E$17:$H$2115,2,0),"")</f>
        <v>Тройник 20-10-20</v>
      </c>
      <c r="F683" s="292" t="str">
        <f>IFERROR(VLOOKUP(D683,'ВИС-2026'!$E$17:$H$2115,4,0),"")</f>
        <v>шт</v>
      </c>
      <c r="G683" s="428"/>
      <c r="H683" s="554">
        <f>IFERROR(VLOOKUP(D683,'ВИС-2026'!$E$17:$K$2649,7,0),"")</f>
        <v>5.92</v>
      </c>
      <c r="I683" s="554">
        <f t="shared" si="218"/>
        <v>0</v>
      </c>
      <c r="J683" s="554">
        <f t="shared" si="219"/>
        <v>5.92</v>
      </c>
      <c r="K683" s="554">
        <f t="shared" si="220"/>
        <v>0</v>
      </c>
      <c r="L683" s="554">
        <f t="shared" si="221"/>
        <v>0</v>
      </c>
      <c r="M683" s="554">
        <f t="shared" si="222"/>
        <v>0</v>
      </c>
      <c r="N683" s="104"/>
    </row>
    <row r="684" spans="1:14" s="74" customFormat="1" ht="30.6">
      <c r="A684" s="148" t="s">
        <v>25</v>
      </c>
      <c r="B684" s="208" t="s">
        <v>26</v>
      </c>
      <c r="C684" s="351" t="s">
        <v>542</v>
      </c>
      <c r="D684" s="188">
        <v>12535691002</v>
      </c>
      <c r="E684" s="553" t="str">
        <f>IFERROR(VLOOKUP(D684,'ВИС-2026'!$E$17:$H$2115,2,0),"")</f>
        <v>Тройник 25-17-25</v>
      </c>
      <c r="F684" s="292" t="str">
        <f>IFERROR(VLOOKUP(D684,'ВИС-2026'!$E$17:$H$2115,4,0),"")</f>
        <v>шт</v>
      </c>
      <c r="G684" s="428"/>
      <c r="H684" s="554">
        <f>IFERROR(VLOOKUP(D684,'ВИС-2026'!$E$17:$K$2649,7,0),"")</f>
        <v>24.2</v>
      </c>
      <c r="I684" s="554">
        <f t="shared" si="218"/>
        <v>0</v>
      </c>
      <c r="J684" s="554">
        <f t="shared" si="219"/>
        <v>24.2</v>
      </c>
      <c r="K684" s="554">
        <f t="shared" si="220"/>
        <v>0</v>
      </c>
      <c r="L684" s="554">
        <f t="shared" si="221"/>
        <v>0</v>
      </c>
      <c r="M684" s="554">
        <f t="shared" si="222"/>
        <v>0</v>
      </c>
      <c r="N684" s="104"/>
    </row>
    <row r="685" spans="1:14" s="73" customFormat="1">
      <c r="A685" s="36"/>
      <c r="B685" s="343"/>
      <c r="C685" s="344" t="s">
        <v>542</v>
      </c>
      <c r="D685" s="363"/>
      <c r="E685" s="365" t="s">
        <v>581</v>
      </c>
      <c r="F685" s="555" t="str">
        <f>IFERROR(VLOOKUP(D685,'ВИС-2026'!$E$17:$H$2115,5,0),"")</f>
        <v/>
      </c>
      <c r="G685" s="556"/>
      <c r="H685" s="557" t="str">
        <f>IFERROR(VLOOKUP(D685,'ВИС-2026'!$E$17:$K$2649,8,0),"")</f>
        <v/>
      </c>
      <c r="I685" s="557" t="str">
        <f t="shared" si="213"/>
        <v/>
      </c>
      <c r="J685" s="557" t="str">
        <f t="shared" si="214"/>
        <v/>
      </c>
      <c r="K685" s="557" t="str">
        <f t="shared" si="215"/>
        <v/>
      </c>
      <c r="L685" s="557" t="str">
        <f t="shared" si="216"/>
        <v/>
      </c>
      <c r="M685" s="557" t="str">
        <f t="shared" si="217"/>
        <v/>
      </c>
      <c r="N685" s="104"/>
    </row>
    <row r="686" spans="1:14" s="73" customFormat="1">
      <c r="A686" s="36"/>
      <c r="B686" s="343"/>
      <c r="C686" s="344" t="s">
        <v>542</v>
      </c>
      <c r="D686" s="363"/>
      <c r="E686" s="364" t="s">
        <v>582</v>
      </c>
      <c r="F686" s="562" t="str">
        <f>IFERROR(VLOOKUP(D686,'ВИС-2026'!$E$17:$H$2115,5,0),"")</f>
        <v/>
      </c>
      <c r="G686" s="556"/>
      <c r="H686" s="563" t="str">
        <f>IFERROR(VLOOKUP(D686,'ВИС-2026'!$E$17:$K$2649,8,0),"")</f>
        <v/>
      </c>
      <c r="I686" s="563" t="str">
        <f t="shared" si="213"/>
        <v/>
      </c>
      <c r="J686" s="563" t="str">
        <f t="shared" si="214"/>
        <v/>
      </c>
      <c r="K686" s="563" t="str">
        <f t="shared" si="215"/>
        <v/>
      </c>
      <c r="L686" s="563" t="str">
        <f t="shared" si="216"/>
        <v/>
      </c>
      <c r="M686" s="563" t="str">
        <f t="shared" si="217"/>
        <v/>
      </c>
      <c r="N686" s="104"/>
    </row>
    <row r="687" spans="1:14" s="73" customFormat="1">
      <c r="A687" s="36"/>
      <c r="B687" s="360" t="s">
        <v>397</v>
      </c>
      <c r="C687" s="327" t="s">
        <v>542</v>
      </c>
      <c r="D687" s="311">
        <v>12278291001</v>
      </c>
      <c r="E687" s="553" t="str">
        <f>IFERROR(VLOOKUP(D687,'ВИС-2026'!$E$17:$H$2115,2,0),"")</f>
        <v>Мат ППС 30-2 EPS и панель с фиксаторами Varionova, 040 DES</v>
      </c>
      <c r="F687" s="292" t="str">
        <f>IFERROR(VLOOKUP(D687,'ВИС-2026'!$E$17:$H$2115,4,0),"")</f>
        <v>м2</v>
      </c>
      <c r="G687" s="428"/>
      <c r="H687" s="554">
        <f>IFERROR(VLOOKUP(D687,'ВИС-2026'!$E$17:$K$2649,7,0),"")</f>
        <v>32.1</v>
      </c>
      <c r="I687" s="554">
        <f t="shared" si="213"/>
        <v>0</v>
      </c>
      <c r="J687" s="554">
        <f t="shared" si="214"/>
        <v>32.1</v>
      </c>
      <c r="K687" s="554">
        <f t="shared" si="215"/>
        <v>0</v>
      </c>
      <c r="L687" s="554">
        <f t="shared" si="216"/>
        <v>0</v>
      </c>
      <c r="M687" s="554">
        <f t="shared" si="217"/>
        <v>0</v>
      </c>
      <c r="N687" s="104"/>
    </row>
    <row r="688" spans="1:14" s="73" customFormat="1">
      <c r="A688" s="36"/>
      <c r="B688" s="360" t="s">
        <v>30</v>
      </c>
      <c r="C688" s="327" t="s">
        <v>542</v>
      </c>
      <c r="D688" s="311">
        <v>12278293001</v>
      </c>
      <c r="E688" s="553" t="str">
        <f>IFERROR(VLOOKUP(D688,'ВИС-2026'!$E$17:$H$2115,2,0),"")</f>
        <v>Мат c фиксаторами VarioFix</v>
      </c>
      <c r="F688" s="292" t="str">
        <f>IFERROR(VLOOKUP(D688,'ВИС-2026'!$E$17:$H$2115,4,0),"")</f>
        <v>м2</v>
      </c>
      <c r="G688" s="428"/>
      <c r="H688" s="554">
        <f>IFERROR(VLOOKUP(D688,'ВИС-2026'!$E$17:$K$2649,7,0),"")</f>
        <v>28.18</v>
      </c>
      <c r="I688" s="554">
        <f t="shared" si="213"/>
        <v>0</v>
      </c>
      <c r="J688" s="554">
        <f t="shared" si="214"/>
        <v>28.18</v>
      </c>
      <c r="K688" s="554">
        <f t="shared" si="215"/>
        <v>0</v>
      </c>
      <c r="L688" s="554">
        <f t="shared" si="216"/>
        <v>0</v>
      </c>
      <c r="M688" s="554">
        <f t="shared" si="217"/>
        <v>0</v>
      </c>
      <c r="N688" s="104"/>
    </row>
    <row r="689" spans="1:14" s="73" customFormat="1">
      <c r="A689" s="36"/>
      <c r="B689" s="293"/>
      <c r="C689" s="367"/>
      <c r="D689" s="217"/>
      <c r="E689" s="295"/>
      <c r="F689" s="292" t="str">
        <f>IFERROR(VLOOKUP(D689,'ВИС-2026'!$E$17:$H$2115,5,0),"")</f>
        <v/>
      </c>
      <c r="G689" s="428"/>
      <c r="H689" s="554" t="str">
        <f>IFERROR(VLOOKUP(D689,'ВИС-2026'!$E$17:$K$2649,8,0),"")</f>
        <v/>
      </c>
      <c r="I689" s="554" t="str">
        <f t="shared" si="213"/>
        <v/>
      </c>
      <c r="J689" s="554" t="str">
        <f t="shared" si="214"/>
        <v/>
      </c>
      <c r="K689" s="554" t="str">
        <f t="shared" si="215"/>
        <v/>
      </c>
      <c r="L689" s="554" t="str">
        <f t="shared" si="216"/>
        <v/>
      </c>
      <c r="M689" s="554" t="str">
        <f t="shared" si="217"/>
        <v/>
      </c>
      <c r="N689" s="104"/>
    </row>
    <row r="690" spans="1:14" s="73" customFormat="1">
      <c r="A690" s="36"/>
      <c r="B690" s="360" t="s">
        <v>397</v>
      </c>
      <c r="C690" s="327" t="s">
        <v>542</v>
      </c>
      <c r="D690" s="311">
        <v>12278391001</v>
      </c>
      <c r="E690" s="553" t="str">
        <f>IFERROR(VLOOKUP(D690,'ВИС-2026'!$E$17:$H$2115,2,0),"")</f>
        <v>Панель (пленка) с фиксаторами Varionova</v>
      </c>
      <c r="F690" s="292" t="str">
        <f>IFERROR(VLOOKUP(D690,'ВИС-2026'!$E$17:$H$2115,4,0),"")</f>
        <v>м2</v>
      </c>
      <c r="G690" s="428"/>
      <c r="H690" s="554">
        <f>IFERROR(VLOOKUP(D690,'ВИС-2026'!$E$17:$K$2649,7,0),"")</f>
        <v>18.36</v>
      </c>
      <c r="I690" s="554">
        <f t="shared" si="213"/>
        <v>0</v>
      </c>
      <c r="J690" s="554">
        <f t="shared" si="214"/>
        <v>18.36</v>
      </c>
      <c r="K690" s="554">
        <f t="shared" si="215"/>
        <v>0</v>
      </c>
      <c r="L690" s="554">
        <f t="shared" si="216"/>
        <v>0</v>
      </c>
      <c r="M690" s="554">
        <f t="shared" si="217"/>
        <v>0</v>
      </c>
      <c r="N690" s="104"/>
    </row>
    <row r="691" spans="1:14" s="73" customFormat="1">
      <c r="A691" s="36"/>
      <c r="B691" s="293"/>
      <c r="C691" s="367"/>
      <c r="D691" s="217"/>
      <c r="E691" s="295"/>
      <c r="F691" s="292" t="str">
        <f>IFERROR(VLOOKUP(D691,'ВИС-2026'!$E$17:$H$2115,5,0),"")</f>
        <v/>
      </c>
      <c r="G691" s="428"/>
      <c r="H691" s="554" t="str">
        <f>IFERROR(VLOOKUP(D691,'ВИС-2026'!$E$17:$K$2649,8,0),"")</f>
        <v/>
      </c>
      <c r="I691" s="554" t="str">
        <f t="shared" si="213"/>
        <v/>
      </c>
      <c r="J691" s="554" t="str">
        <f t="shared" si="214"/>
        <v/>
      </c>
      <c r="K691" s="554" t="str">
        <f t="shared" si="215"/>
        <v/>
      </c>
      <c r="L691" s="554" t="str">
        <f t="shared" si="216"/>
        <v/>
      </c>
      <c r="M691" s="554" t="str">
        <f t="shared" si="217"/>
        <v/>
      </c>
      <c r="N691" s="104"/>
    </row>
    <row r="692" spans="1:14" s="73" customFormat="1" ht="30.6">
      <c r="A692" s="148" t="s">
        <v>25</v>
      </c>
      <c r="B692" s="208" t="s">
        <v>26</v>
      </c>
      <c r="C692" s="351" t="s">
        <v>542</v>
      </c>
      <c r="D692" s="188">
        <v>12278491001</v>
      </c>
      <c r="E692" s="553" t="str">
        <f>IFERROR(VLOOKUP(D692,'ВИС-2026'!$E$17:$H$2115,2,0),"")</f>
        <v>Соединительная лента для мат с фиксаторами Varionova</v>
      </c>
      <c r="F692" s="292" t="str">
        <f>IFERROR(VLOOKUP(D692,'ВИС-2026'!$E$17:$H$2115,4,0),"")</f>
        <v>шт</v>
      </c>
      <c r="G692" s="428"/>
      <c r="H692" s="554">
        <f>IFERROR(VLOOKUP(D692,'ВИС-2026'!$E$17:$K$2649,7,0),"")</f>
        <v>2.62</v>
      </c>
      <c r="I692" s="554">
        <f t="shared" si="213"/>
        <v>0</v>
      </c>
      <c r="J692" s="554">
        <f t="shared" si="214"/>
        <v>2.62</v>
      </c>
      <c r="K692" s="554">
        <f t="shared" si="215"/>
        <v>0</v>
      </c>
      <c r="L692" s="554">
        <f t="shared" si="216"/>
        <v>0</v>
      </c>
      <c r="M692" s="554">
        <f t="shared" si="217"/>
        <v>0</v>
      </c>
      <c r="N692" s="104"/>
    </row>
    <row r="693" spans="1:14" s="73" customFormat="1">
      <c r="A693" s="36"/>
      <c r="B693" s="368"/>
      <c r="C693" s="355"/>
      <c r="D693" s="188"/>
      <c r="E693" s="258"/>
      <c r="F693" s="292" t="str">
        <f>IFERROR(VLOOKUP(D693,'ВИС-2026'!$E$17:$H$2115,5,0),"")</f>
        <v/>
      </c>
      <c r="G693" s="428"/>
      <c r="H693" s="554" t="str">
        <f>IFERROR(VLOOKUP(D693,'ВИС-2026'!$E$17:$K$2649,8,0),"")</f>
        <v/>
      </c>
      <c r="I693" s="554" t="str">
        <f t="shared" si="213"/>
        <v/>
      </c>
      <c r="J693" s="554" t="str">
        <f t="shared" si="214"/>
        <v/>
      </c>
      <c r="K693" s="554" t="str">
        <f t="shared" si="215"/>
        <v/>
      </c>
      <c r="L693" s="554" t="str">
        <f t="shared" si="216"/>
        <v/>
      </c>
      <c r="M693" s="554" t="str">
        <f t="shared" si="217"/>
        <v/>
      </c>
      <c r="N693" s="104"/>
    </row>
    <row r="694" spans="1:14" s="73" customFormat="1" ht="30.6">
      <c r="A694" s="148" t="s">
        <v>25</v>
      </c>
      <c r="B694" s="208" t="s">
        <v>26</v>
      </c>
      <c r="C694" s="351" t="s">
        <v>542</v>
      </c>
      <c r="D694" s="188">
        <v>12278691001</v>
      </c>
      <c r="E694" s="553" t="str">
        <f>IFERROR(VLOOKUP(D694,'ВИС-2026'!$E$17:$H$2115,2,0),"")</f>
        <v>Крепежный элемент для мат с фиксаторами Varionova</v>
      </c>
      <c r="F694" s="292" t="str">
        <f>IFERROR(VLOOKUP(D694,'ВИС-2026'!$E$17:$H$2115,4,0),"")</f>
        <v>шт</v>
      </c>
      <c r="G694" s="428"/>
      <c r="H694" s="554">
        <f>IFERROR(VLOOKUP(D694,'ВИС-2026'!$E$17:$K$2649,7,0),"")</f>
        <v>0.22</v>
      </c>
      <c r="I694" s="554">
        <f t="shared" si="213"/>
        <v>0</v>
      </c>
      <c r="J694" s="554">
        <f t="shared" si="214"/>
        <v>0.22</v>
      </c>
      <c r="K694" s="554">
        <f t="shared" si="215"/>
        <v>0</v>
      </c>
      <c r="L694" s="554">
        <f t="shared" si="216"/>
        <v>0</v>
      </c>
      <c r="M694" s="554">
        <f t="shared" si="217"/>
        <v>0</v>
      </c>
      <c r="N694" s="104"/>
    </row>
    <row r="695" spans="1:14" s="73" customFormat="1">
      <c r="A695" s="36"/>
      <c r="B695" s="296"/>
      <c r="C695" s="355"/>
      <c r="D695" s="188"/>
      <c r="E695" s="258"/>
      <c r="F695" s="292" t="str">
        <f>IFERROR(VLOOKUP(D695,'ВИС-2026'!$E$17:$H$2115,5,0),"")</f>
        <v/>
      </c>
      <c r="G695" s="428"/>
      <c r="H695" s="554" t="str">
        <f>IFERROR(VLOOKUP(D695,'ВИС-2026'!$E$17:$K$2649,8,0),"")</f>
        <v/>
      </c>
      <c r="I695" s="554" t="str">
        <f t="shared" si="213"/>
        <v/>
      </c>
      <c r="J695" s="554" t="str">
        <f t="shared" si="214"/>
        <v/>
      </c>
      <c r="K695" s="554" t="str">
        <f t="shared" si="215"/>
        <v/>
      </c>
      <c r="L695" s="554" t="str">
        <f t="shared" si="216"/>
        <v/>
      </c>
      <c r="M695" s="554" t="str">
        <f t="shared" si="217"/>
        <v/>
      </c>
      <c r="N695" s="104"/>
    </row>
    <row r="696" spans="1:14" s="73" customFormat="1">
      <c r="A696" s="36"/>
      <c r="B696" s="343"/>
      <c r="C696" s="344" t="s">
        <v>542</v>
      </c>
      <c r="D696" s="346"/>
      <c r="E696" s="347" t="s">
        <v>589</v>
      </c>
      <c r="F696" s="555" t="str">
        <f>IFERROR(VLOOKUP(D696,'ВИС-2026'!$E$17:$H$2115,5,0),"")</f>
        <v/>
      </c>
      <c r="G696" s="556"/>
      <c r="H696" s="557" t="str">
        <f>IFERROR(VLOOKUP(D696,'ВИС-2026'!$E$17:$K$2649,8,0),"")</f>
        <v/>
      </c>
      <c r="I696" s="557" t="str">
        <f t="shared" si="213"/>
        <v/>
      </c>
      <c r="J696" s="557" t="str">
        <f t="shared" si="214"/>
        <v/>
      </c>
      <c r="K696" s="557" t="str">
        <f t="shared" si="215"/>
        <v/>
      </c>
      <c r="L696" s="557" t="str">
        <f t="shared" si="216"/>
        <v/>
      </c>
      <c r="M696" s="557" t="str">
        <f t="shared" si="217"/>
        <v/>
      </c>
      <c r="N696" s="104"/>
    </row>
    <row r="697" spans="1:14" s="73" customFormat="1" ht="30.6">
      <c r="A697" s="148" t="s">
        <v>25</v>
      </c>
      <c r="B697" s="208" t="s">
        <v>26</v>
      </c>
      <c r="C697" s="351" t="s">
        <v>542</v>
      </c>
      <c r="D697" s="188">
        <v>12623931001</v>
      </c>
      <c r="E697" s="553" t="str">
        <f>IFERROR(VLOOKUP(D697,'ВИС-2026'!$E$17:$H$2115,2,0),"")</f>
        <v>Мат ППС 50-2 для крепления гарпун-скоб, складной рулон</v>
      </c>
      <c r="F697" s="292" t="str">
        <f>IFERROR(VLOOKUP(D697,'ВИС-2026'!$E$17:$H$2115,4,0),"")</f>
        <v>м2</v>
      </c>
      <c r="G697" s="428"/>
      <c r="H697" s="554">
        <f>IFERROR(VLOOKUP(D697,'ВИС-2026'!$E$17:$K$2649,7,0),"")</f>
        <v>17.73</v>
      </c>
      <c r="I697" s="554">
        <f t="shared" si="213"/>
        <v>0</v>
      </c>
      <c r="J697" s="554">
        <f t="shared" si="214"/>
        <v>17.73</v>
      </c>
      <c r="K697" s="554">
        <f t="shared" si="215"/>
        <v>0</v>
      </c>
      <c r="L697" s="554">
        <f t="shared" si="216"/>
        <v>0</v>
      </c>
      <c r="M697" s="554">
        <f t="shared" si="217"/>
        <v>0</v>
      </c>
      <c r="N697" s="104"/>
    </row>
    <row r="698" spans="1:14" s="73" customFormat="1">
      <c r="A698" s="36"/>
      <c r="B698" s="296"/>
      <c r="C698" s="355"/>
      <c r="D698" s="188"/>
      <c r="E698" s="258"/>
      <c r="F698" s="292" t="str">
        <f>IFERROR(VLOOKUP(D698,'ВИС-2026'!$E$17:$H$2115,5,0),"")</f>
        <v/>
      </c>
      <c r="G698" s="428"/>
      <c r="H698" s="554" t="str">
        <f>IFERROR(VLOOKUP(D698,'ВИС-2026'!$E$17:$K$2649,8,0),"")</f>
        <v/>
      </c>
      <c r="I698" s="554" t="str">
        <f t="shared" ref="I698:I716" si="223">IFERROR(H698*G698,"")</f>
        <v/>
      </c>
      <c r="J698" s="554" t="str">
        <f t="shared" ref="J698:J716" si="224">IFERROR((IF(H698="","",H698-H698*$D$7)),"")</f>
        <v/>
      </c>
      <c r="K698" s="554" t="str">
        <f t="shared" ref="K698:K716" si="225">IFERROR(J698*G698, "")</f>
        <v/>
      </c>
      <c r="L698" s="554" t="str">
        <f t="shared" ref="L698:L716" si="226">IFERROR(J698*$D$8, "")</f>
        <v/>
      </c>
      <c r="M698" s="554" t="str">
        <f t="shared" ref="M698:M716" si="227">IFERROR(L698*G698, "")</f>
        <v/>
      </c>
      <c r="N698" s="104"/>
    </row>
    <row r="699" spans="1:14" s="73" customFormat="1">
      <c r="A699" s="36"/>
      <c r="B699" s="296" t="s">
        <v>30</v>
      </c>
      <c r="C699" s="327" t="s">
        <v>542</v>
      </c>
      <c r="D699" s="311">
        <v>12278353001</v>
      </c>
      <c r="E699" s="553" t="str">
        <f>IFERROR(VLOOKUP(D699,'ВИС-2026'!$E$17:$H$2115,2,0),"")</f>
        <v>Такер РЕХАУ для крепления гарпун-скоб</v>
      </c>
      <c r="F699" s="292" t="str">
        <f>IFERROR(VLOOKUP(D699,'ВИС-2026'!$E$17:$H$2115,4,0),"")</f>
        <v>шт</v>
      </c>
      <c r="G699" s="428"/>
      <c r="H699" s="554">
        <f>IFERROR(VLOOKUP(D699,'ВИС-2026'!$E$17:$K$2649,7,0),"")</f>
        <v>115.9</v>
      </c>
      <c r="I699" s="554">
        <f t="shared" si="223"/>
        <v>0</v>
      </c>
      <c r="J699" s="554">
        <f t="shared" si="224"/>
        <v>115.9</v>
      </c>
      <c r="K699" s="554">
        <f t="shared" si="225"/>
        <v>0</v>
      </c>
      <c r="L699" s="554">
        <f t="shared" si="226"/>
        <v>0</v>
      </c>
      <c r="M699" s="554">
        <f t="shared" si="227"/>
        <v>0</v>
      </c>
      <c r="N699" s="104"/>
    </row>
    <row r="700" spans="1:14" s="73" customFormat="1">
      <c r="A700" s="36"/>
      <c r="B700" s="296" t="s">
        <v>30</v>
      </c>
      <c r="C700" s="327" t="s">
        <v>542</v>
      </c>
      <c r="D700" s="311">
        <v>12623733001</v>
      </c>
      <c r="E700" s="553" t="str">
        <f>IFERROR(VLOOKUP(D700,'ВИС-2026'!$E$17:$H$2115,2,0),"")</f>
        <v>Гарпун-скобы РЕХАУ для крепления труб 14-20, 42 мм</v>
      </c>
      <c r="F700" s="292" t="str">
        <f>IFERROR(VLOOKUP(D700,'ВИС-2026'!$E$17:$H$2115,4,0),"")</f>
        <v>шт</v>
      </c>
      <c r="G700" s="428"/>
      <c r="H700" s="554">
        <f>IFERROR(VLOOKUP(D700,'ВИС-2026'!$E$17:$K$2649,7,0),"")</f>
        <v>7.0000000000000007E-2</v>
      </c>
      <c r="I700" s="554">
        <f t="shared" si="223"/>
        <v>0</v>
      </c>
      <c r="J700" s="554">
        <f t="shared" si="224"/>
        <v>7.0000000000000007E-2</v>
      </c>
      <c r="K700" s="554">
        <f t="shared" si="225"/>
        <v>0</v>
      </c>
      <c r="L700" s="554">
        <f t="shared" si="226"/>
        <v>0</v>
      </c>
      <c r="M700" s="554">
        <f t="shared" si="227"/>
        <v>0</v>
      </c>
      <c r="N700" s="104"/>
    </row>
    <row r="701" spans="1:14" s="73" customFormat="1">
      <c r="A701" s="36"/>
      <c r="B701" s="296" t="s">
        <v>30</v>
      </c>
      <c r="C701" s="327" t="s">
        <v>542</v>
      </c>
      <c r="D701" s="311">
        <v>12402213001</v>
      </c>
      <c r="E701" s="553" t="str">
        <f>IFERROR(VLOOKUP(D701,'ВИС-2026'!$E$17:$H$2115,2,0),"")</f>
        <v>Гарпун-скобы РЕХАУ для крепления труб 14-20, 50 мм</v>
      </c>
      <c r="F701" s="292" t="str">
        <f>IFERROR(VLOOKUP(D701,'ВИС-2026'!$E$17:$H$2115,4,0),"")</f>
        <v>шт</v>
      </c>
      <c r="G701" s="428"/>
      <c r="H701" s="554">
        <f>IFERROR(VLOOKUP(D701,'ВИС-2026'!$E$17:$K$2649,7,0),"")</f>
        <v>0.09</v>
      </c>
      <c r="I701" s="554">
        <f t="shared" si="223"/>
        <v>0</v>
      </c>
      <c r="J701" s="554">
        <f t="shared" si="224"/>
        <v>0.09</v>
      </c>
      <c r="K701" s="554">
        <f t="shared" si="225"/>
        <v>0</v>
      </c>
      <c r="L701" s="554">
        <f t="shared" si="226"/>
        <v>0</v>
      </c>
      <c r="M701" s="554">
        <f t="shared" si="227"/>
        <v>0</v>
      </c>
      <c r="N701" s="104"/>
    </row>
    <row r="702" spans="1:14" s="73" customFormat="1">
      <c r="A702" s="36"/>
      <c r="B702" s="296"/>
      <c r="C702" s="355"/>
      <c r="D702" s="188"/>
      <c r="E702" s="258"/>
      <c r="F702" s="292" t="str">
        <f>IFERROR(VLOOKUP(D702,'ВИС-2026'!$E$17:$H$2115,5,0),"")</f>
        <v/>
      </c>
      <c r="G702" s="428"/>
      <c r="H702" s="554" t="str">
        <f>IFERROR(VLOOKUP(D702,'ВИС-2026'!$E$17:$K$2649,8,0),"")</f>
        <v/>
      </c>
      <c r="I702" s="554" t="str">
        <f t="shared" si="223"/>
        <v/>
      </c>
      <c r="J702" s="554" t="str">
        <f t="shared" si="224"/>
        <v/>
      </c>
      <c r="K702" s="554" t="str">
        <f t="shared" si="225"/>
        <v/>
      </c>
      <c r="L702" s="554" t="str">
        <f t="shared" si="226"/>
        <v/>
      </c>
      <c r="M702" s="554" t="str">
        <f t="shared" si="227"/>
        <v/>
      </c>
      <c r="N702" s="104"/>
    </row>
    <row r="703" spans="1:14" s="73" customFormat="1">
      <c r="A703" s="36"/>
      <c r="B703" s="293"/>
      <c r="C703" s="367"/>
      <c r="D703" s="217"/>
      <c r="E703" s="295"/>
      <c r="F703" s="292" t="str">
        <f>IFERROR(VLOOKUP(D703,'ВИС-2026'!$E$17:$H$2115,5,0),"")</f>
        <v/>
      </c>
      <c r="G703" s="428"/>
      <c r="H703" s="554" t="str">
        <f>IFERROR(VLOOKUP(D703,'ВИС-2026'!$E$17:$K$2649,8,0),"")</f>
        <v/>
      </c>
      <c r="I703" s="554" t="str">
        <f t="shared" si="223"/>
        <v/>
      </c>
      <c r="J703" s="554" t="str">
        <f t="shared" si="224"/>
        <v/>
      </c>
      <c r="K703" s="554" t="str">
        <f t="shared" si="225"/>
        <v/>
      </c>
      <c r="L703" s="554" t="str">
        <f t="shared" si="226"/>
        <v/>
      </c>
      <c r="M703" s="554" t="str">
        <f t="shared" si="227"/>
        <v/>
      </c>
      <c r="N703" s="104"/>
    </row>
    <row r="704" spans="1:14" s="73" customFormat="1">
      <c r="A704" s="36"/>
      <c r="B704" s="343"/>
      <c r="C704" s="344" t="s">
        <v>542</v>
      </c>
      <c r="D704" s="346"/>
      <c r="E704" s="347" t="s">
        <v>594</v>
      </c>
      <c r="F704" s="555" t="str">
        <f>IFERROR(VLOOKUP(D704,'ВИС-2026'!$E$17:$H$2115,5,0),"")</f>
        <v/>
      </c>
      <c r="G704" s="556"/>
      <c r="H704" s="557" t="str">
        <f>IFERROR(VLOOKUP(D704,'ВИС-2026'!$E$17:$K$2649,8,0),"")</f>
        <v/>
      </c>
      <c r="I704" s="557" t="str">
        <f t="shared" si="223"/>
        <v/>
      </c>
      <c r="J704" s="557" t="str">
        <f t="shared" si="224"/>
        <v/>
      </c>
      <c r="K704" s="557" t="str">
        <f t="shared" si="225"/>
        <v/>
      </c>
      <c r="L704" s="557" t="str">
        <f t="shared" si="226"/>
        <v/>
      </c>
      <c r="M704" s="557" t="str">
        <f t="shared" si="227"/>
        <v/>
      </c>
      <c r="N704" s="104"/>
    </row>
    <row r="705" spans="1:14" s="73" customFormat="1">
      <c r="A705" s="36"/>
      <c r="B705" s="385"/>
      <c r="C705" s="355"/>
      <c r="D705" s="188"/>
      <c r="E705" s="376"/>
      <c r="F705" s="292" t="str">
        <f>IFERROR(VLOOKUP(D705,'ВИС-2026'!$E$17:$H$2115,5,0),"")</f>
        <v/>
      </c>
      <c r="G705" s="428"/>
      <c r="H705" s="554" t="str">
        <f>IFERROR(VLOOKUP(D705,'ВИС-2026'!$E$17:$K$2649,8,0),"")</f>
        <v/>
      </c>
      <c r="I705" s="554" t="str">
        <f t="shared" si="223"/>
        <v/>
      </c>
      <c r="J705" s="554" t="str">
        <f t="shared" si="224"/>
        <v/>
      </c>
      <c r="K705" s="554" t="str">
        <f t="shared" si="225"/>
        <v/>
      </c>
      <c r="L705" s="554" t="str">
        <f t="shared" si="226"/>
        <v/>
      </c>
      <c r="M705" s="554" t="str">
        <f t="shared" si="227"/>
        <v/>
      </c>
      <c r="N705" s="104"/>
    </row>
    <row r="706" spans="1:14" s="73" customFormat="1">
      <c r="A706" s="36"/>
      <c r="B706" s="352" t="s">
        <v>30</v>
      </c>
      <c r="C706" s="327" t="s">
        <v>542</v>
      </c>
      <c r="D706" s="311">
        <v>12442483002</v>
      </c>
      <c r="E706" s="553" t="str">
        <f>IFERROR(VLOOKUP(D706,'ВИС-2026'!$E$17:$H$2115,2,0),"")</f>
        <v>Фиксирующая шина РЕХАУ 16/17/20 мм</v>
      </c>
      <c r="F706" s="292" t="str">
        <f>IFERROR(VLOOKUP(D706,'ВИС-2026'!$E$17:$H$2115,4,0),"")</f>
        <v>м</v>
      </c>
      <c r="G706" s="428"/>
      <c r="H706" s="554">
        <f>IFERROR(VLOOKUP(D706,'ВИС-2026'!$E$17:$K$2649,7,0),"")</f>
        <v>2.09</v>
      </c>
      <c r="I706" s="554">
        <f t="shared" si="223"/>
        <v>0</v>
      </c>
      <c r="J706" s="554">
        <f t="shared" si="224"/>
        <v>2.09</v>
      </c>
      <c r="K706" s="554">
        <f t="shared" si="225"/>
        <v>0</v>
      </c>
      <c r="L706" s="554">
        <f t="shared" si="226"/>
        <v>0</v>
      </c>
      <c r="M706" s="554">
        <f t="shared" si="227"/>
        <v>0</v>
      </c>
      <c r="N706" s="104"/>
    </row>
    <row r="707" spans="1:14" s="73" customFormat="1">
      <c r="A707" s="36"/>
      <c r="B707" s="371"/>
      <c r="C707" s="367"/>
      <c r="D707" s="217"/>
      <c r="E707" s="373"/>
      <c r="F707" s="292" t="str">
        <f>IFERROR(VLOOKUP(D707,'ВИС-2026'!$E$17:$H$2115,5,0),"")</f>
        <v/>
      </c>
      <c r="G707" s="428"/>
      <c r="H707" s="554" t="str">
        <f>IFERROR(VLOOKUP(D707,'ВИС-2026'!$E$17:$K$2649,8,0),"")</f>
        <v/>
      </c>
      <c r="I707" s="554" t="str">
        <f t="shared" si="223"/>
        <v/>
      </c>
      <c r="J707" s="554" t="str">
        <f t="shared" si="224"/>
        <v/>
      </c>
      <c r="K707" s="554" t="str">
        <f t="shared" si="225"/>
        <v/>
      </c>
      <c r="L707" s="554" t="str">
        <f t="shared" si="226"/>
        <v/>
      </c>
      <c r="M707" s="554" t="str">
        <f t="shared" si="227"/>
        <v/>
      </c>
      <c r="N707" s="104"/>
    </row>
    <row r="708" spans="1:14" s="73" customFormat="1" ht="30.6">
      <c r="A708" s="148" t="s">
        <v>25</v>
      </c>
      <c r="B708" s="208" t="s">
        <v>26</v>
      </c>
      <c r="C708" s="351" t="s">
        <v>542</v>
      </c>
      <c r="D708" s="188">
        <v>12592681001</v>
      </c>
      <c r="E708" s="553" t="str">
        <f>IFERROR(VLOOKUP(D708,'ВИС-2026'!$E$17:$H$2115,2,0),"")</f>
        <v>Гарпун-скоба для фиксирующих шин</v>
      </c>
      <c r="F708" s="292" t="str">
        <f>IFERROR(VLOOKUP(D708,'ВИС-2026'!$E$17:$H$2115,4,0),"")</f>
        <v>шт</v>
      </c>
      <c r="G708" s="428"/>
      <c r="H708" s="554">
        <f>IFERROR(VLOOKUP(D708,'ВИС-2026'!$E$17:$K$2649,7,0),"")</f>
        <v>0.1</v>
      </c>
      <c r="I708" s="554">
        <f t="shared" si="223"/>
        <v>0</v>
      </c>
      <c r="J708" s="554">
        <f t="shared" si="224"/>
        <v>0.1</v>
      </c>
      <c r="K708" s="554">
        <f t="shared" si="225"/>
        <v>0</v>
      </c>
      <c r="L708" s="554">
        <f t="shared" si="226"/>
        <v>0</v>
      </c>
      <c r="M708" s="554">
        <f t="shared" si="227"/>
        <v>0</v>
      </c>
      <c r="N708" s="104"/>
    </row>
    <row r="709" spans="1:14" s="73" customFormat="1">
      <c r="A709" s="36"/>
      <c r="B709" s="371"/>
      <c r="C709" s="367"/>
      <c r="D709" s="217"/>
      <c r="E709" s="373"/>
      <c r="F709" s="292" t="str">
        <f>IFERROR(VLOOKUP(D709,'ВИС-2026'!$E$17:$H$2115,5,0),"")</f>
        <v/>
      </c>
      <c r="G709" s="428"/>
      <c r="H709" s="554" t="str">
        <f>IFERROR(VLOOKUP(D709,'ВИС-2026'!$E$17:$K$2649,8,0),"")</f>
        <v/>
      </c>
      <c r="I709" s="554" t="str">
        <f>IFERROR(H709*G709,"")</f>
        <v/>
      </c>
      <c r="J709" s="554" t="str">
        <f>IFERROR((IF(H709="","",H709-H709*$D$7)),"")</f>
        <v/>
      </c>
      <c r="K709" s="554" t="str">
        <f>IFERROR(J709*G709, "")</f>
        <v/>
      </c>
      <c r="L709" s="554" t="str">
        <f>IFERROR(J709*$D$8, "")</f>
        <v/>
      </c>
      <c r="M709" s="554" t="str">
        <f>IFERROR(L709*G709, "")</f>
        <v/>
      </c>
      <c r="N709" s="104"/>
    </row>
    <row r="710" spans="1:14" s="73" customFormat="1">
      <c r="A710" s="36"/>
      <c r="B710" s="343"/>
      <c r="C710" s="344" t="s">
        <v>542</v>
      </c>
      <c r="D710" s="346"/>
      <c r="E710" s="347" t="s">
        <v>597</v>
      </c>
      <c r="F710" s="555" t="str">
        <f>IFERROR(VLOOKUP(D710,'ВИС-2026'!$E$17:$H$2115,5,0),"")</f>
        <v/>
      </c>
      <c r="G710" s="556"/>
      <c r="H710" s="557" t="str">
        <f>IFERROR(VLOOKUP(D710,'ВИС-2026'!$E$17:$K$2649,8,0),"")</f>
        <v/>
      </c>
      <c r="I710" s="557" t="str">
        <f t="shared" si="223"/>
        <v/>
      </c>
      <c r="J710" s="557" t="str">
        <f t="shared" si="224"/>
        <v/>
      </c>
      <c r="K710" s="557" t="str">
        <f t="shared" si="225"/>
        <v/>
      </c>
      <c r="L710" s="557" t="str">
        <f t="shared" si="226"/>
        <v/>
      </c>
      <c r="M710" s="557" t="str">
        <f t="shared" si="227"/>
        <v/>
      </c>
      <c r="N710" s="104"/>
    </row>
    <row r="711" spans="1:14" s="73" customFormat="1" ht="30.6">
      <c r="A711" s="148" t="s">
        <v>25</v>
      </c>
      <c r="B711" s="208" t="s">
        <v>26</v>
      </c>
      <c r="C711" s="351" t="s">
        <v>542</v>
      </c>
      <c r="D711" s="188">
        <v>12288901001</v>
      </c>
      <c r="E711" s="553" t="str">
        <f>IFERROR(VLOOKUP(D711,'ВИС-2026'!$E$17:$H$2115,2,0),"")</f>
        <v>Двойной держатель для труб 10</v>
      </c>
      <c r="F711" s="292" t="str">
        <f>IFERROR(VLOOKUP(D711,'ВИС-2026'!$E$17:$H$2115,4,0),"")</f>
        <v>шт</v>
      </c>
      <c r="G711" s="428"/>
      <c r="H711" s="554">
        <f>IFERROR(VLOOKUP(D711,'ВИС-2026'!$E$17:$K$2649,7,0),"")</f>
        <v>0.43</v>
      </c>
      <c r="I711" s="554">
        <f t="shared" si="223"/>
        <v>0</v>
      </c>
      <c r="J711" s="554">
        <f t="shared" si="224"/>
        <v>0.43</v>
      </c>
      <c r="K711" s="554">
        <f t="shared" si="225"/>
        <v>0</v>
      </c>
      <c r="L711" s="554">
        <f t="shared" si="226"/>
        <v>0</v>
      </c>
      <c r="M711" s="554">
        <f t="shared" si="227"/>
        <v>0</v>
      </c>
      <c r="N711" s="104"/>
    </row>
    <row r="712" spans="1:14" s="73" customFormat="1">
      <c r="A712" s="36"/>
      <c r="B712" s="371"/>
      <c r="C712" s="367"/>
      <c r="D712" s="217"/>
      <c r="E712" s="373"/>
      <c r="F712" s="558" t="str">
        <f>IFERROR(VLOOKUP(D712,'ВИС-2026'!$E$17:$H$2115,5,0),"")</f>
        <v/>
      </c>
      <c r="G712" s="428"/>
      <c r="H712" s="559" t="str">
        <f>IFERROR(VLOOKUP(D712,'ВИС-2026'!$E$17:$K$2649,8,0),"")</f>
        <v/>
      </c>
      <c r="I712" s="559" t="str">
        <f t="shared" si="223"/>
        <v/>
      </c>
      <c r="J712" s="559" t="str">
        <f t="shared" si="224"/>
        <v/>
      </c>
      <c r="K712" s="559" t="str">
        <f t="shared" si="225"/>
        <v/>
      </c>
      <c r="L712" s="559" t="str">
        <f t="shared" si="226"/>
        <v/>
      </c>
      <c r="M712" s="559" t="str">
        <f t="shared" si="227"/>
        <v/>
      </c>
      <c r="N712" s="104"/>
    </row>
    <row r="713" spans="1:14" s="73" customFormat="1">
      <c r="A713" s="36"/>
      <c r="B713" s="343"/>
      <c r="C713" s="344" t="s">
        <v>542</v>
      </c>
      <c r="D713" s="346"/>
      <c r="E713" s="347" t="s">
        <v>599</v>
      </c>
      <c r="F713" s="562" t="str">
        <f>IFERROR(VLOOKUP(D713,'ВИС-2026'!$E$17:$H$2115,5,0),"")</f>
        <v/>
      </c>
      <c r="G713" s="556"/>
      <c r="H713" s="563" t="str">
        <f>IFERROR(VLOOKUP(D713,'ВИС-2026'!$E$17:$K$2649,8,0),"")</f>
        <v/>
      </c>
      <c r="I713" s="563" t="str">
        <f t="shared" si="223"/>
        <v/>
      </c>
      <c r="J713" s="563" t="str">
        <f t="shared" si="224"/>
        <v/>
      </c>
      <c r="K713" s="563" t="str">
        <f t="shared" si="225"/>
        <v/>
      </c>
      <c r="L713" s="563" t="str">
        <f t="shared" si="226"/>
        <v/>
      </c>
      <c r="M713" s="563" t="str">
        <f t="shared" si="227"/>
        <v/>
      </c>
      <c r="N713" s="104"/>
    </row>
    <row r="714" spans="1:14" s="73" customFormat="1" ht="30.6">
      <c r="A714" s="148" t="s">
        <v>25</v>
      </c>
      <c r="B714" s="208" t="s">
        <v>26</v>
      </c>
      <c r="C714" s="351" t="s">
        <v>542</v>
      </c>
      <c r="D714" s="188">
        <v>12125511001</v>
      </c>
      <c r="E714" s="553" t="str">
        <f>IFERROR(VLOOKUP(D714,'ВИС-2026'!$E$17:$H$2115,2,0),"")</f>
        <v>Поворотная клипса для арматурной сетки Quattro</v>
      </c>
      <c r="F714" s="292" t="str">
        <f>IFERROR(VLOOKUP(D714,'ВИС-2026'!$E$17:$H$2115,4,0),"")</f>
        <v>шт</v>
      </c>
      <c r="G714" s="428"/>
      <c r="H714" s="554">
        <f>IFERROR(VLOOKUP(D714,'ВИС-2026'!$E$17:$K$2649,7,0),"")</f>
        <v>0.45</v>
      </c>
      <c r="I714" s="554">
        <f t="shared" si="223"/>
        <v>0</v>
      </c>
      <c r="J714" s="554">
        <f t="shared" si="224"/>
        <v>0.45</v>
      </c>
      <c r="K714" s="554">
        <f t="shared" si="225"/>
        <v>0</v>
      </c>
      <c r="L714" s="554">
        <f t="shared" si="226"/>
        <v>0</v>
      </c>
      <c r="M714" s="554">
        <f t="shared" si="227"/>
        <v>0</v>
      </c>
      <c r="N714" s="104"/>
    </row>
    <row r="715" spans="1:14" s="73" customFormat="1">
      <c r="A715" s="36"/>
      <c r="B715" s="293"/>
      <c r="C715" s="367"/>
      <c r="D715" s="217"/>
      <c r="E715" s="295"/>
      <c r="F715" s="558" t="str">
        <f>IFERROR(VLOOKUP(D715,'ВИС-2026'!$E$17:$H$2115,5,0),"")</f>
        <v/>
      </c>
      <c r="G715" s="428"/>
      <c r="H715" s="559" t="str">
        <f>IFERROR(VLOOKUP(D715,'ВИС-2026'!$E$17:$K$2649,8,0),"")</f>
        <v/>
      </c>
      <c r="I715" s="559" t="str">
        <f t="shared" si="223"/>
        <v/>
      </c>
      <c r="J715" s="559" t="str">
        <f t="shared" si="224"/>
        <v/>
      </c>
      <c r="K715" s="559" t="str">
        <f t="shared" si="225"/>
        <v/>
      </c>
      <c r="L715" s="559" t="str">
        <f t="shared" si="226"/>
        <v/>
      </c>
      <c r="M715" s="559" t="str">
        <f t="shared" si="227"/>
        <v/>
      </c>
      <c r="N715" s="104"/>
    </row>
    <row r="716" spans="1:14" s="73" customFormat="1" ht="30.6">
      <c r="A716" s="148" t="s">
        <v>25</v>
      </c>
      <c r="B716" s="208" t="s">
        <v>26</v>
      </c>
      <c r="C716" s="351" t="s">
        <v>542</v>
      </c>
      <c r="D716" s="188">
        <v>12125521001</v>
      </c>
      <c r="E716" s="553" t="str">
        <f>IFERROR(VLOOKUP(D716,'ВИС-2026'!$E$17:$H$2115,2,0),"")</f>
        <v>Шток для крепления клипс Quattro</v>
      </c>
      <c r="F716" s="292" t="str">
        <f>IFERROR(VLOOKUP(D716,'ВИС-2026'!$E$17:$H$2115,4,0),"")</f>
        <v>шт</v>
      </c>
      <c r="G716" s="428"/>
      <c r="H716" s="554">
        <f>IFERROR(VLOOKUP(D716,'ВИС-2026'!$E$17:$K$2649,7,0),"")</f>
        <v>89.06</v>
      </c>
      <c r="I716" s="554">
        <f t="shared" si="223"/>
        <v>0</v>
      </c>
      <c r="J716" s="554">
        <f t="shared" si="224"/>
        <v>89.06</v>
      </c>
      <c r="K716" s="554">
        <f t="shared" si="225"/>
        <v>0</v>
      </c>
      <c r="L716" s="554">
        <f t="shared" si="226"/>
        <v>0</v>
      </c>
      <c r="M716" s="554">
        <f t="shared" si="227"/>
        <v>0</v>
      </c>
      <c r="N716" s="104"/>
    </row>
    <row r="717" spans="1:14">
      <c r="A717" s="36"/>
      <c r="B717" s="293"/>
      <c r="C717" s="367"/>
      <c r="D717" s="217"/>
      <c r="E717" s="295"/>
      <c r="F717" s="324"/>
      <c r="G717" s="428"/>
      <c r="H717" s="564" t="str">
        <f>IFERROR(VLOOKUP(D717,'ВИС-2026'!$E$17:$K$2649,8,0),"")</f>
        <v/>
      </c>
      <c r="I717" s="564" t="str">
        <f t="shared" ref="I717:I728" si="228">IFERROR(H717*G717,"")</f>
        <v/>
      </c>
      <c r="J717" s="564" t="str">
        <f t="shared" ref="J717:J728" si="229">IFERROR((IF(H717="","",H717-H717*$D$7)),"")</f>
        <v/>
      </c>
      <c r="K717" s="564" t="str">
        <f t="shared" ref="K717:K728" si="230">IFERROR(J717*G717, "")</f>
        <v/>
      </c>
      <c r="L717" s="564" t="str">
        <f t="shared" ref="L717:L728" si="231">IFERROR(J717*$D$8, "")</f>
        <v/>
      </c>
      <c r="M717" s="564" t="str">
        <f t="shared" ref="M717:M728" si="232">IFERROR(L717*G717, "")</f>
        <v/>
      </c>
      <c r="N717" s="104"/>
    </row>
    <row r="718" spans="1:14">
      <c r="A718" s="36"/>
      <c r="B718" s="343"/>
      <c r="C718" s="344" t="s">
        <v>542</v>
      </c>
      <c r="D718" s="346"/>
      <c r="E718" s="347" t="s">
        <v>603</v>
      </c>
      <c r="F718" s="565"/>
      <c r="G718" s="556"/>
      <c r="H718" s="557" t="str">
        <f>IFERROR(VLOOKUP(D718,'ВИС-2026'!$E$17:$K$2649,8,0),"")</f>
        <v/>
      </c>
      <c r="I718" s="557" t="str">
        <f t="shared" si="228"/>
        <v/>
      </c>
      <c r="J718" s="557" t="str">
        <f t="shared" si="229"/>
        <v/>
      </c>
      <c r="K718" s="557" t="str">
        <f t="shared" si="230"/>
        <v/>
      </c>
      <c r="L718" s="557" t="str">
        <f t="shared" si="231"/>
        <v/>
      </c>
      <c r="M718" s="557" t="str">
        <f t="shared" si="232"/>
        <v/>
      </c>
      <c r="N718" s="104"/>
    </row>
    <row r="719" spans="1:14" s="73" customFormat="1" ht="30.6">
      <c r="A719" s="148" t="s">
        <v>25</v>
      </c>
      <c r="B719" s="208" t="s">
        <v>26</v>
      </c>
      <c r="C719" s="351" t="s">
        <v>542</v>
      </c>
      <c r="D719" s="188">
        <v>12003031001</v>
      </c>
      <c r="E719" s="553" t="str">
        <f>IFERROR(VLOOKUP(D719,'ВИС-2026'!$E$17:$H$2115,2,0),"")</f>
        <v>Теплопроводная пластина TS-14 998 x 123 mm</v>
      </c>
      <c r="F719" s="292" t="str">
        <f>IFERROR(VLOOKUP(D719,'ВИС-2026'!$E$17:$H$2115,4,0),"")</f>
        <v>шт</v>
      </c>
      <c r="G719" s="428"/>
      <c r="H719" s="554">
        <f>IFERROR(VLOOKUP(D719,'ВИС-2026'!$E$17:$K$2649,7,0),"")</f>
        <v>5.8</v>
      </c>
      <c r="I719" s="554">
        <f t="shared" si="228"/>
        <v>0</v>
      </c>
      <c r="J719" s="554">
        <f t="shared" si="229"/>
        <v>5.8</v>
      </c>
      <c r="K719" s="554">
        <f t="shared" si="230"/>
        <v>0</v>
      </c>
      <c r="L719" s="554">
        <f t="shared" si="231"/>
        <v>0</v>
      </c>
      <c r="M719" s="554">
        <f t="shared" si="232"/>
        <v>0</v>
      </c>
      <c r="N719" s="104"/>
    </row>
    <row r="720" spans="1:14" s="73" customFormat="1">
      <c r="A720" s="36"/>
      <c r="B720" s="385"/>
      <c r="C720" s="351"/>
      <c r="D720" s="188"/>
      <c r="E720" s="258"/>
      <c r="F720" s="248" t="s">
        <v>65</v>
      </c>
      <c r="G720" s="428"/>
      <c r="H720" s="554" t="str">
        <f>IFERROR(VLOOKUP(D720,'ВИС-2026'!$E$17:$K$2649,8,0),"")</f>
        <v/>
      </c>
      <c r="I720" s="554" t="str">
        <f t="shared" si="228"/>
        <v/>
      </c>
      <c r="J720" s="554" t="str">
        <f t="shared" si="229"/>
        <v/>
      </c>
      <c r="K720" s="554" t="str">
        <f t="shared" si="230"/>
        <v/>
      </c>
      <c r="L720" s="554" t="str">
        <f t="shared" si="231"/>
        <v/>
      </c>
      <c r="M720" s="554" t="str">
        <f t="shared" si="232"/>
        <v/>
      </c>
      <c r="N720" s="104"/>
    </row>
    <row r="721" spans="1:14" s="74" customFormat="1">
      <c r="A721" s="36"/>
      <c r="B721" s="343"/>
      <c r="C721" s="344" t="s">
        <v>542</v>
      </c>
      <c r="D721" s="346"/>
      <c r="E721" s="347" t="s">
        <v>605</v>
      </c>
      <c r="F721" s="301"/>
      <c r="G721" s="556"/>
      <c r="H721" s="557" t="str">
        <f>IFERROR(VLOOKUP(D721,'ВИС-2026'!$E$17:$K$2649,8,0),"")</f>
        <v/>
      </c>
      <c r="I721" s="557" t="str">
        <f t="shared" ref="I721:I722" si="233">IFERROR(H721*G721,"")</f>
        <v/>
      </c>
      <c r="J721" s="557" t="str">
        <f t="shared" ref="J721:J722" si="234">IFERROR((IF(H721="","",H721-H721*$D$7)),"")</f>
        <v/>
      </c>
      <c r="K721" s="557" t="str">
        <f t="shared" ref="K721:K722" si="235">IFERROR(J721*G721, "")</f>
        <v/>
      </c>
      <c r="L721" s="557" t="str">
        <f t="shared" ref="L721:L722" si="236">IFERROR(J721*$D$8, "")</f>
        <v/>
      </c>
      <c r="M721" s="557" t="str">
        <f t="shared" ref="M721:M722" si="237">IFERROR(L721*G721, "")</f>
        <v/>
      </c>
      <c r="N721" s="104"/>
    </row>
    <row r="722" spans="1:14" s="73" customFormat="1">
      <c r="A722" s="36"/>
      <c r="B722" s="296" t="s">
        <v>30</v>
      </c>
      <c r="C722" s="327" t="s">
        <v>542</v>
      </c>
      <c r="D722" s="311">
        <v>12179043001</v>
      </c>
      <c r="E722" s="553" t="str">
        <f>IFERROR(VLOOKUP(D722,'ВИС-2026'!$E$17:$H$2115,2,0),"")</f>
        <v>Отстенная изоляция РЕХАУ 10/180мм 25 метров</v>
      </c>
      <c r="F722" s="248" t="s">
        <v>65</v>
      </c>
      <c r="G722" s="428"/>
      <c r="H722" s="554">
        <f>IFERROR(VLOOKUP(D722,'ВИС-2026'!$E$17:$K$2649,7,0),"")</f>
        <v>20.95</v>
      </c>
      <c r="I722" s="554">
        <f t="shared" si="233"/>
        <v>0</v>
      </c>
      <c r="J722" s="554">
        <f t="shared" si="234"/>
        <v>20.95</v>
      </c>
      <c r="K722" s="554">
        <f t="shared" si="235"/>
        <v>0</v>
      </c>
      <c r="L722" s="554">
        <f t="shared" si="236"/>
        <v>0</v>
      </c>
      <c r="M722" s="554">
        <f t="shared" si="237"/>
        <v>0</v>
      </c>
      <c r="N722" s="104"/>
    </row>
    <row r="723" spans="1:14" s="73" customFormat="1">
      <c r="A723" s="36"/>
      <c r="B723" s="293"/>
      <c r="C723" s="367"/>
      <c r="D723" s="217"/>
      <c r="E723" s="295"/>
      <c r="F723" s="248"/>
      <c r="G723" s="428"/>
      <c r="H723" s="554"/>
      <c r="I723" s="554"/>
      <c r="J723" s="554"/>
      <c r="K723" s="554"/>
      <c r="L723" s="554"/>
      <c r="M723" s="554"/>
      <c r="N723" s="104"/>
    </row>
    <row r="724" spans="1:14" s="74" customFormat="1">
      <c r="A724" s="36"/>
      <c r="B724" s="296" t="s">
        <v>30</v>
      </c>
      <c r="C724" s="327" t="s">
        <v>542</v>
      </c>
      <c r="D724" s="311">
        <v>12393333001</v>
      </c>
      <c r="E724" s="553" t="str">
        <f>IFERROR(VLOOKUP(D724,'ВИС-2026'!$E$17:$H$2115,2,0),"")</f>
        <v>Фиксатор поворота РЕХАУ пластмас. на 90° для трубы 16/17</v>
      </c>
      <c r="F724" s="292" t="str">
        <f>IFERROR(VLOOKUP(D724,'ВИС-2026'!$E$17:$H$2115,4,0),"")</f>
        <v>шт</v>
      </c>
      <c r="G724" s="428"/>
      <c r="H724" s="554">
        <f>IFERROR(VLOOKUP(D724,'ВИС-2026'!$E$17:$K$2649,7,0),"")</f>
        <v>2.16</v>
      </c>
      <c r="I724" s="554">
        <f t="shared" si="228"/>
        <v>0</v>
      </c>
      <c r="J724" s="554">
        <f t="shared" si="229"/>
        <v>2.16</v>
      </c>
      <c r="K724" s="554">
        <f t="shared" si="230"/>
        <v>0</v>
      </c>
      <c r="L724" s="554">
        <f t="shared" si="231"/>
        <v>0</v>
      </c>
      <c r="M724" s="554">
        <f t="shared" si="232"/>
        <v>0</v>
      </c>
      <c r="N724" s="104"/>
    </row>
    <row r="725" spans="1:14" s="73" customFormat="1">
      <c r="A725" s="36"/>
      <c r="B725" s="296" t="s">
        <v>30</v>
      </c>
      <c r="C725" s="327" t="s">
        <v>542</v>
      </c>
      <c r="D725" s="311">
        <v>12393433001</v>
      </c>
      <c r="E725" s="553" t="str">
        <f>IFERROR(VLOOKUP(D725,'ВИС-2026'!$E$17:$H$2115,2,0),"")</f>
        <v>Фиксатор поворота РЕХАУ пластмас. на 90° для трубы 20</v>
      </c>
      <c r="F725" s="292" t="str">
        <f>IFERROR(VLOOKUP(D725,'ВИС-2026'!$E$17:$H$2115,4,0),"")</f>
        <v>шт</v>
      </c>
      <c r="G725" s="428"/>
      <c r="H725" s="554">
        <f>IFERROR(VLOOKUP(D725,'ВИС-2026'!$E$17:$K$2649,7,0),"")</f>
        <v>2.72</v>
      </c>
      <c r="I725" s="554">
        <f t="shared" si="228"/>
        <v>0</v>
      </c>
      <c r="J725" s="554">
        <f t="shared" si="229"/>
        <v>2.72</v>
      </c>
      <c r="K725" s="554">
        <f t="shared" si="230"/>
        <v>0</v>
      </c>
      <c r="L725" s="554">
        <f t="shared" si="231"/>
        <v>0</v>
      </c>
      <c r="M725" s="554">
        <f t="shared" si="232"/>
        <v>0</v>
      </c>
      <c r="N725" s="104"/>
    </row>
    <row r="726" spans="1:14" s="73" customFormat="1">
      <c r="A726" s="36"/>
      <c r="B726" s="296" t="s">
        <v>30</v>
      </c>
      <c r="C726" s="327" t="s">
        <v>542</v>
      </c>
      <c r="D726" s="311">
        <v>12391933001</v>
      </c>
      <c r="E726" s="553" t="str">
        <f>IFERROR(VLOOKUP(D726,'ВИС-2026'!$E$17:$H$2115,2,0),"")</f>
        <v>Фиксатор поворота РЕХАУ пластмас. на 90° для трубы 25</v>
      </c>
      <c r="F726" s="292" t="str">
        <f>IFERROR(VLOOKUP(D726,'ВИС-2026'!$E$17:$H$2115,4,0),"")</f>
        <v>шт</v>
      </c>
      <c r="G726" s="428"/>
      <c r="H726" s="554">
        <f>IFERROR(VLOOKUP(D726,'ВИС-2026'!$E$17:$K$2649,7,0),"")</f>
        <v>4.5999999999999996</v>
      </c>
      <c r="I726" s="554">
        <f t="shared" si="228"/>
        <v>0</v>
      </c>
      <c r="J726" s="554">
        <f t="shared" si="229"/>
        <v>4.5999999999999996</v>
      </c>
      <c r="K726" s="554">
        <f t="shared" si="230"/>
        <v>0</v>
      </c>
      <c r="L726" s="554">
        <f t="shared" si="231"/>
        <v>0</v>
      </c>
      <c r="M726" s="554">
        <f t="shared" si="232"/>
        <v>0</v>
      </c>
      <c r="N726" s="104"/>
    </row>
    <row r="727" spans="1:14" s="73" customFormat="1">
      <c r="A727" s="36"/>
      <c r="B727" s="293"/>
      <c r="C727" s="367"/>
      <c r="D727" s="126"/>
      <c r="E727" s="128"/>
      <c r="F727" s="248" t="s">
        <v>65</v>
      </c>
      <c r="G727" s="428"/>
      <c r="H727" s="554" t="str">
        <f>IFERROR(VLOOKUP(D727,'ВИС-2026'!$E$17:$K$2649,8,0),"")</f>
        <v/>
      </c>
      <c r="I727" s="554" t="str">
        <f t="shared" si="228"/>
        <v/>
      </c>
      <c r="J727" s="554" t="str">
        <f t="shared" si="229"/>
        <v/>
      </c>
      <c r="K727" s="554" t="str">
        <f t="shared" si="230"/>
        <v/>
      </c>
      <c r="L727" s="554" t="str">
        <f t="shared" si="231"/>
        <v/>
      </c>
      <c r="M727" s="554" t="str">
        <f t="shared" si="232"/>
        <v/>
      </c>
      <c r="N727" s="104"/>
    </row>
    <row r="728" spans="1:14" s="74" customFormat="1" ht="30.6">
      <c r="A728" s="148" t="s">
        <v>25</v>
      </c>
      <c r="B728" s="208" t="s">
        <v>26</v>
      </c>
      <c r="C728" s="351" t="s">
        <v>542</v>
      </c>
      <c r="D728" s="188">
        <v>12278331001</v>
      </c>
      <c r="E728" s="553" t="str">
        <f>IFERROR(VLOOKUP(D728,'ВИС-2026'!$E$17:$H$2115,2,0),"")</f>
        <v>Фиксатор поворота пластмас. на 90° для трубы 14</v>
      </c>
      <c r="F728" s="292" t="str">
        <f>IFERROR(VLOOKUP(D728,'ВИС-2026'!$E$17:$H$2115,4,0),"")</f>
        <v>шт</v>
      </c>
      <c r="G728" s="428"/>
      <c r="H728" s="554">
        <f>IFERROR(VLOOKUP(D728,'ВИС-2026'!$E$17:$K$2649,7,0),"")</f>
        <v>1.33</v>
      </c>
      <c r="I728" s="554">
        <f t="shared" si="228"/>
        <v>0</v>
      </c>
      <c r="J728" s="554">
        <f t="shared" si="229"/>
        <v>1.33</v>
      </c>
      <c r="K728" s="554">
        <f t="shared" si="230"/>
        <v>0</v>
      </c>
      <c r="L728" s="554">
        <f t="shared" si="231"/>
        <v>0</v>
      </c>
      <c r="M728" s="554">
        <f t="shared" si="232"/>
        <v>0</v>
      </c>
      <c r="N728" s="104"/>
    </row>
    <row r="729" spans="1:14" s="73" customFormat="1">
      <c r="A729" s="36"/>
      <c r="B729" s="343"/>
      <c r="C729" s="344" t="s">
        <v>542</v>
      </c>
      <c r="D729" s="346"/>
      <c r="E729" s="384" t="s">
        <v>609</v>
      </c>
      <c r="F729" s="301"/>
      <c r="G729" s="556"/>
      <c r="H729" s="557" t="str">
        <f>IFERROR(VLOOKUP(D729,'ВИС-2026'!$E$17:$K$2649,8,0),"")</f>
        <v/>
      </c>
      <c r="I729" s="557" t="str">
        <f t="shared" ref="I729:I764" si="238">IFERROR(H729*G729,"")</f>
        <v/>
      </c>
      <c r="J729" s="557" t="str">
        <f t="shared" ref="J729:J764" si="239">IFERROR((IF(H729="","",H729-H729*$D$7)),"")</f>
        <v/>
      </c>
      <c r="K729" s="557" t="str">
        <f t="shared" ref="K729:K764" si="240">IFERROR(J729*G729, "")</f>
        <v/>
      </c>
      <c r="L729" s="557" t="str">
        <f t="shared" ref="L729:L764" si="241">IFERROR(J729*$D$8, "")</f>
        <v/>
      </c>
      <c r="M729" s="557" t="str">
        <f t="shared" ref="M729:M764" si="242">IFERROR(L729*G729, "")</f>
        <v/>
      </c>
      <c r="N729" s="104"/>
    </row>
    <row r="730" spans="1:14" s="73" customFormat="1" ht="30.6">
      <c r="A730" s="148" t="s">
        <v>25</v>
      </c>
      <c r="B730" s="208" t="s">
        <v>26</v>
      </c>
      <c r="C730" s="351" t="s">
        <v>542</v>
      </c>
      <c r="D730" s="188">
        <v>12288901001</v>
      </c>
      <c r="E730" s="553" t="str">
        <f>IFERROR(VLOOKUP(D730,'ВИС-2026'!$E$17:$H$2115,2,0),"")</f>
        <v>Двойной держатель для труб 10</v>
      </c>
      <c r="F730" s="292" t="str">
        <f>IFERROR(VLOOKUP(D730,'ВИС-2026'!$E$17:$H$2115,4,0),"")</f>
        <v>шт</v>
      </c>
      <c r="G730" s="428"/>
      <c r="H730" s="554">
        <f>IFERROR(VLOOKUP(D730,'ВИС-2026'!$E$17:$K$2649,7,0),"")</f>
        <v>0.43</v>
      </c>
      <c r="I730" s="554">
        <f t="shared" si="238"/>
        <v>0</v>
      </c>
      <c r="J730" s="554">
        <f t="shared" si="239"/>
        <v>0.43</v>
      </c>
      <c r="K730" s="554">
        <f t="shared" si="240"/>
        <v>0</v>
      </c>
      <c r="L730" s="554">
        <f t="shared" si="241"/>
        <v>0</v>
      </c>
      <c r="M730" s="554">
        <f t="shared" si="242"/>
        <v>0</v>
      </c>
      <c r="N730" s="104"/>
    </row>
    <row r="731" spans="1:14" s="73" customFormat="1">
      <c r="A731" s="36"/>
      <c r="B731" s="371"/>
      <c r="C731" s="367"/>
      <c r="D731" s="217"/>
      <c r="E731" s="373"/>
      <c r="F731" s="248" t="s">
        <v>65</v>
      </c>
      <c r="G731" s="428"/>
      <c r="H731" s="554" t="str">
        <f>IFERROR(VLOOKUP(D731,'ВИС-2026'!$E$17:$K$2649,8,0),"")</f>
        <v/>
      </c>
      <c r="I731" s="554" t="str">
        <f t="shared" si="238"/>
        <v/>
      </c>
      <c r="J731" s="554" t="str">
        <f t="shared" si="239"/>
        <v/>
      </c>
      <c r="K731" s="554" t="str">
        <f t="shared" si="240"/>
        <v/>
      </c>
      <c r="L731" s="554" t="str">
        <f t="shared" si="241"/>
        <v/>
      </c>
      <c r="M731" s="554" t="str">
        <f t="shared" si="242"/>
        <v/>
      </c>
      <c r="N731" s="104"/>
    </row>
    <row r="732" spans="1:14" s="74" customFormat="1">
      <c r="A732" s="36"/>
      <c r="B732" s="343"/>
      <c r="C732" s="344" t="s">
        <v>542</v>
      </c>
      <c r="D732" s="346"/>
      <c r="E732" s="347" t="s">
        <v>610</v>
      </c>
      <c r="F732" s="301"/>
      <c r="G732" s="556"/>
      <c r="H732" s="557" t="str">
        <f>IFERROR(VLOOKUP(D732,'ВИС-2026'!$E$17:$K$2649,8,0),"")</f>
        <v/>
      </c>
      <c r="I732" s="557" t="str">
        <f t="shared" ref="I732:I744" si="243">IFERROR(H732*G732,"")</f>
        <v/>
      </c>
      <c r="J732" s="557" t="str">
        <f t="shared" ref="J732:J744" si="244">IFERROR((IF(H732="","",H732-H732*$D$7)),"")</f>
        <v/>
      </c>
      <c r="K732" s="557" t="str">
        <f t="shared" ref="K732:K744" si="245">IFERROR(J732*G732, "")</f>
        <v/>
      </c>
      <c r="L732" s="557" t="str">
        <f t="shared" ref="L732:L744" si="246">IFERROR(J732*$D$8, "")</f>
        <v/>
      </c>
      <c r="M732" s="557" t="str">
        <f t="shared" ref="M732:M744" si="247">IFERROR(L732*G732, "")</f>
        <v/>
      </c>
      <c r="N732" s="104"/>
    </row>
    <row r="733" spans="1:14" s="74" customFormat="1">
      <c r="A733" s="36"/>
      <c r="B733" s="343"/>
      <c r="C733" s="344" t="s">
        <v>542</v>
      </c>
      <c r="D733" s="346"/>
      <c r="E733" s="347" t="s">
        <v>611</v>
      </c>
      <c r="F733" s="301"/>
      <c r="G733" s="556"/>
      <c r="H733" s="557" t="str">
        <f>IFERROR(VLOOKUP(D733,'ВИС-2026'!$E$17:$K$2649,8,0),"")</f>
        <v/>
      </c>
      <c r="I733" s="557" t="str">
        <f t="shared" si="243"/>
        <v/>
      </c>
      <c r="J733" s="557" t="str">
        <f t="shared" si="244"/>
        <v/>
      </c>
      <c r="K733" s="557" t="str">
        <f t="shared" si="245"/>
        <v/>
      </c>
      <c r="L733" s="557" t="str">
        <f t="shared" si="246"/>
        <v/>
      </c>
      <c r="M733" s="557" t="str">
        <f t="shared" si="247"/>
        <v/>
      </c>
      <c r="N733" s="104"/>
    </row>
    <row r="734" spans="1:14" s="74" customFormat="1">
      <c r="A734" s="36"/>
      <c r="B734" s="360" t="s">
        <v>30</v>
      </c>
      <c r="C734" s="327" t="s">
        <v>542</v>
      </c>
      <c r="D734" s="311">
        <v>12180213001</v>
      </c>
      <c r="E734" s="553" t="str">
        <f>IFERROR(VLOOKUP(D734,'ВИС-2026'!$E$17:$H$2115,2,0),"")</f>
        <v>К-т коллекторов РЕХАУ HKV из нерж. стали на 2 контура с шар. кранами</v>
      </c>
      <c r="F734" s="292" t="str">
        <f>IFERROR(VLOOKUP(D734,'ВИС-2026'!$E$17:$H$2115,4,0),"")</f>
        <v>шт</v>
      </c>
      <c r="G734" s="428"/>
      <c r="H734" s="554">
        <f>IFERROR(VLOOKUP(D734,'ВИС-2026'!$E$17:$K$2649,7,0),"")</f>
        <v>184.63</v>
      </c>
      <c r="I734" s="554">
        <f t="shared" si="243"/>
        <v>0</v>
      </c>
      <c r="J734" s="554">
        <f t="shared" si="244"/>
        <v>184.63</v>
      </c>
      <c r="K734" s="554">
        <f t="shared" si="245"/>
        <v>0</v>
      </c>
      <c r="L734" s="554">
        <f t="shared" si="246"/>
        <v>0</v>
      </c>
      <c r="M734" s="554">
        <f t="shared" si="247"/>
        <v>0</v>
      </c>
      <c r="N734" s="104"/>
    </row>
    <row r="735" spans="1:14" s="74" customFormat="1">
      <c r="A735" s="36"/>
      <c r="B735" s="360" t="s">
        <v>30</v>
      </c>
      <c r="C735" s="327" t="s">
        <v>542</v>
      </c>
      <c r="D735" s="311">
        <v>12180313001</v>
      </c>
      <c r="E735" s="553" t="str">
        <f>IFERROR(VLOOKUP(D735,'ВИС-2026'!$E$17:$H$2115,2,0),"")</f>
        <v>К-т коллекторов РЕХАУ HKV из нерж. стали на 3 контура с шар. кранами</v>
      </c>
      <c r="F735" s="292" t="str">
        <f>IFERROR(VLOOKUP(D735,'ВИС-2026'!$E$17:$H$2115,4,0),"")</f>
        <v>шт</v>
      </c>
      <c r="G735" s="428"/>
      <c r="H735" s="554">
        <f>IFERROR(VLOOKUP(D735,'ВИС-2026'!$E$17:$K$2649,7,0),"")</f>
        <v>212.39</v>
      </c>
      <c r="I735" s="554">
        <f t="shared" si="243"/>
        <v>0</v>
      </c>
      <c r="J735" s="554">
        <f t="shared" si="244"/>
        <v>212.39</v>
      </c>
      <c r="K735" s="554">
        <f t="shared" si="245"/>
        <v>0</v>
      </c>
      <c r="L735" s="554">
        <f t="shared" si="246"/>
        <v>0</v>
      </c>
      <c r="M735" s="554">
        <f t="shared" si="247"/>
        <v>0</v>
      </c>
      <c r="N735" s="104"/>
    </row>
    <row r="736" spans="1:14">
      <c r="A736" s="36"/>
      <c r="B736" s="360" t="s">
        <v>30</v>
      </c>
      <c r="C736" s="327" t="s">
        <v>542</v>
      </c>
      <c r="D736" s="311">
        <v>12180413001</v>
      </c>
      <c r="E736" s="553" t="str">
        <f>IFERROR(VLOOKUP(D736,'ВИС-2026'!$E$17:$H$2115,2,0),"")</f>
        <v>К-т коллекторов РЕХАУ HKV из нерж. стали на 4 контура с шар. кранами</v>
      </c>
      <c r="F736" s="292" t="str">
        <f>IFERROR(VLOOKUP(D736,'ВИС-2026'!$E$17:$H$2115,4,0),"")</f>
        <v>шт</v>
      </c>
      <c r="G736" s="428"/>
      <c r="H736" s="554">
        <f>IFERROR(VLOOKUP(D736,'ВИС-2026'!$E$17:$K$2649,7,0),"")</f>
        <v>243.01</v>
      </c>
      <c r="I736" s="554">
        <f t="shared" si="243"/>
        <v>0</v>
      </c>
      <c r="J736" s="554">
        <f t="shared" si="244"/>
        <v>243.01</v>
      </c>
      <c r="K736" s="554">
        <f t="shared" si="245"/>
        <v>0</v>
      </c>
      <c r="L736" s="554">
        <f t="shared" si="246"/>
        <v>0</v>
      </c>
      <c r="M736" s="554">
        <f t="shared" si="247"/>
        <v>0</v>
      </c>
      <c r="N736" s="104"/>
    </row>
    <row r="737" spans="1:14" s="74" customFormat="1">
      <c r="A737" s="36"/>
      <c r="B737" s="360" t="s">
        <v>30</v>
      </c>
      <c r="C737" s="327" t="s">
        <v>542</v>
      </c>
      <c r="D737" s="311">
        <v>12180513001</v>
      </c>
      <c r="E737" s="553" t="str">
        <f>IFERROR(VLOOKUP(D737,'ВИС-2026'!$E$17:$H$2115,2,0),"")</f>
        <v>К-т коллекторов РЕХАУ HKV из нерж. стали на 5 контуров с шар. кранами</v>
      </c>
      <c r="F737" s="292" t="str">
        <f>IFERROR(VLOOKUP(D737,'ВИС-2026'!$E$17:$H$2115,4,0),"")</f>
        <v>шт</v>
      </c>
      <c r="G737" s="428"/>
      <c r="H737" s="554">
        <f>IFERROR(VLOOKUP(D737,'ВИС-2026'!$E$17:$K$2649,7,0),"")</f>
        <v>269.22000000000003</v>
      </c>
      <c r="I737" s="554">
        <f t="shared" si="243"/>
        <v>0</v>
      </c>
      <c r="J737" s="554">
        <f t="shared" si="244"/>
        <v>269.22000000000003</v>
      </c>
      <c r="K737" s="554">
        <f t="shared" si="245"/>
        <v>0</v>
      </c>
      <c r="L737" s="554">
        <f t="shared" si="246"/>
        <v>0</v>
      </c>
      <c r="M737" s="554">
        <f t="shared" si="247"/>
        <v>0</v>
      </c>
      <c r="N737" s="104"/>
    </row>
    <row r="738" spans="1:14" s="73" customFormat="1">
      <c r="A738" s="36"/>
      <c r="B738" s="360" t="s">
        <v>30</v>
      </c>
      <c r="C738" s="327" t="s">
        <v>542</v>
      </c>
      <c r="D738" s="311">
        <v>12180613001</v>
      </c>
      <c r="E738" s="553" t="str">
        <f>IFERROR(VLOOKUP(D738,'ВИС-2026'!$E$17:$H$2115,2,0),"")</f>
        <v>К-т коллекторов РЕХАУ HKV из нерж. стали на 6 контуров с шар. кранами</v>
      </c>
      <c r="F738" s="292" t="str">
        <f>IFERROR(VLOOKUP(D738,'ВИС-2026'!$E$17:$H$2115,4,0),"")</f>
        <v>шт</v>
      </c>
      <c r="G738" s="428"/>
      <c r="H738" s="554">
        <f>IFERROR(VLOOKUP(D738,'ВИС-2026'!$E$17:$K$2649,7,0),"")</f>
        <v>299.99</v>
      </c>
      <c r="I738" s="554">
        <f t="shared" si="243"/>
        <v>0</v>
      </c>
      <c r="J738" s="554">
        <f t="shared" si="244"/>
        <v>299.99</v>
      </c>
      <c r="K738" s="554">
        <f t="shared" si="245"/>
        <v>0</v>
      </c>
      <c r="L738" s="554">
        <f t="shared" si="246"/>
        <v>0</v>
      </c>
      <c r="M738" s="554">
        <f t="shared" si="247"/>
        <v>0</v>
      </c>
      <c r="N738" s="104"/>
    </row>
    <row r="739" spans="1:14" s="73" customFormat="1">
      <c r="A739" s="36"/>
      <c r="B739" s="360" t="s">
        <v>30</v>
      </c>
      <c r="C739" s="327" t="s">
        <v>542</v>
      </c>
      <c r="D739" s="311">
        <v>12180713001</v>
      </c>
      <c r="E739" s="553" t="str">
        <f>IFERROR(VLOOKUP(D739,'ВИС-2026'!$E$17:$H$2115,2,0),"")</f>
        <v>К-т коллекторов РЕХАУ HKV из нерж. стали на 7 контуров с шар. кранами</v>
      </c>
      <c r="F739" s="292" t="str">
        <f>IFERROR(VLOOKUP(D739,'ВИС-2026'!$E$17:$H$2115,4,0),"")</f>
        <v>шт</v>
      </c>
      <c r="G739" s="428"/>
      <c r="H739" s="554">
        <f>IFERROR(VLOOKUP(D739,'ВИС-2026'!$E$17:$K$2649,7,0),"")</f>
        <v>334.05</v>
      </c>
      <c r="I739" s="554">
        <f t="shared" si="243"/>
        <v>0</v>
      </c>
      <c r="J739" s="554">
        <f t="shared" si="244"/>
        <v>334.05</v>
      </c>
      <c r="K739" s="554">
        <f t="shared" si="245"/>
        <v>0</v>
      </c>
      <c r="L739" s="554">
        <f t="shared" si="246"/>
        <v>0</v>
      </c>
      <c r="M739" s="554">
        <f t="shared" si="247"/>
        <v>0</v>
      </c>
      <c r="N739" s="104"/>
    </row>
    <row r="740" spans="1:14" s="73" customFormat="1">
      <c r="A740" s="36"/>
      <c r="B740" s="360" t="s">
        <v>30</v>
      </c>
      <c r="C740" s="327" t="s">
        <v>542</v>
      </c>
      <c r="D740" s="311">
        <v>12180813001</v>
      </c>
      <c r="E740" s="553" t="str">
        <f>IFERROR(VLOOKUP(D740,'ВИС-2026'!$E$17:$H$2115,2,0),"")</f>
        <v>К-т коллекторов РЕХАУ HKV из нерж. стали на 8 контуров с шар. кранами</v>
      </c>
      <c r="F740" s="292" t="str">
        <f>IFERROR(VLOOKUP(D740,'ВИС-2026'!$E$17:$H$2115,4,0),"")</f>
        <v>шт</v>
      </c>
      <c r="G740" s="428"/>
      <c r="H740" s="554">
        <f>IFERROR(VLOOKUP(D740,'ВИС-2026'!$E$17:$K$2649,7,0),"")</f>
        <v>364.07</v>
      </c>
      <c r="I740" s="554">
        <f t="shared" si="243"/>
        <v>0</v>
      </c>
      <c r="J740" s="554">
        <f t="shared" si="244"/>
        <v>364.07</v>
      </c>
      <c r="K740" s="554">
        <f t="shared" si="245"/>
        <v>0</v>
      </c>
      <c r="L740" s="554">
        <f t="shared" si="246"/>
        <v>0</v>
      </c>
      <c r="M740" s="554">
        <f t="shared" si="247"/>
        <v>0</v>
      </c>
      <c r="N740" s="104"/>
    </row>
    <row r="741" spans="1:14" s="74" customFormat="1">
      <c r="A741" s="36"/>
      <c r="B741" s="360" t="s">
        <v>30</v>
      </c>
      <c r="C741" s="327" t="s">
        <v>542</v>
      </c>
      <c r="D741" s="311">
        <v>12180913001</v>
      </c>
      <c r="E741" s="553" t="str">
        <f>IFERROR(VLOOKUP(D741,'ВИС-2026'!$E$17:$H$2115,2,0),"")</f>
        <v>К-т коллекторов РЕХАУ HKV из нерж. стали на 9 контуров с шар. кранами</v>
      </c>
      <c r="F741" s="292" t="str">
        <f>IFERROR(VLOOKUP(D741,'ВИС-2026'!$E$17:$H$2115,4,0),"")</f>
        <v>шт</v>
      </c>
      <c r="G741" s="428"/>
      <c r="H741" s="554">
        <f>IFERROR(VLOOKUP(D741,'ВИС-2026'!$E$17:$K$2649,7,0),"")</f>
        <v>393.49</v>
      </c>
      <c r="I741" s="554">
        <f t="shared" si="243"/>
        <v>0</v>
      </c>
      <c r="J741" s="554">
        <f t="shared" si="244"/>
        <v>393.49</v>
      </c>
      <c r="K741" s="554">
        <f t="shared" si="245"/>
        <v>0</v>
      </c>
      <c r="L741" s="554">
        <f t="shared" si="246"/>
        <v>0</v>
      </c>
      <c r="M741" s="554">
        <f t="shared" si="247"/>
        <v>0</v>
      </c>
      <c r="N741" s="104"/>
    </row>
    <row r="742" spans="1:14" s="74" customFormat="1">
      <c r="A742" s="36"/>
      <c r="B742" s="360" t="s">
        <v>30</v>
      </c>
      <c r="C742" s="327" t="s">
        <v>542</v>
      </c>
      <c r="D742" s="311">
        <v>12181013001</v>
      </c>
      <c r="E742" s="553" t="str">
        <f>IFERROR(VLOOKUP(D742,'ВИС-2026'!$E$17:$H$2115,2,0),"")</f>
        <v>К-т коллекторов РЕХАУ HKV из нерж. стали на 10 контуров с шар. кранами</v>
      </c>
      <c r="F742" s="292" t="str">
        <f>IFERROR(VLOOKUP(D742,'ВИС-2026'!$E$17:$H$2115,4,0),"")</f>
        <v>шт</v>
      </c>
      <c r="G742" s="428"/>
      <c r="H742" s="554">
        <f>IFERROR(VLOOKUP(D742,'ВИС-2026'!$E$17:$K$2649,7,0),"")</f>
        <v>422.3</v>
      </c>
      <c r="I742" s="554">
        <f t="shared" si="243"/>
        <v>0</v>
      </c>
      <c r="J742" s="554">
        <f t="shared" si="244"/>
        <v>422.3</v>
      </c>
      <c r="K742" s="554">
        <f t="shared" si="245"/>
        <v>0</v>
      </c>
      <c r="L742" s="554">
        <f t="shared" si="246"/>
        <v>0</v>
      </c>
      <c r="M742" s="554">
        <f t="shared" si="247"/>
        <v>0</v>
      </c>
      <c r="N742" s="104"/>
    </row>
    <row r="743" spans="1:14" s="74" customFormat="1">
      <c r="A743" s="36"/>
      <c r="B743" s="360" t="s">
        <v>30</v>
      </c>
      <c r="C743" s="327" t="s">
        <v>542</v>
      </c>
      <c r="D743" s="311">
        <v>12181113001</v>
      </c>
      <c r="E743" s="553" t="str">
        <f>IFERROR(VLOOKUP(D743,'ВИС-2026'!$E$17:$H$2115,2,0),"")</f>
        <v>К-т коллекторов РЕХАУ HKV из нерж. стали на 11 контуров с шар. кранами</v>
      </c>
      <c r="F743" s="292" t="str">
        <f>IFERROR(VLOOKUP(D743,'ВИС-2026'!$E$17:$H$2115,4,0),"")</f>
        <v>шт</v>
      </c>
      <c r="G743" s="428"/>
      <c r="H743" s="554">
        <f>IFERROR(VLOOKUP(D743,'ВИС-2026'!$E$17:$K$2649,7,0),"")</f>
        <v>455.69</v>
      </c>
      <c r="I743" s="554">
        <f t="shared" si="243"/>
        <v>0</v>
      </c>
      <c r="J743" s="554">
        <f t="shared" si="244"/>
        <v>455.69</v>
      </c>
      <c r="K743" s="554">
        <f t="shared" si="245"/>
        <v>0</v>
      </c>
      <c r="L743" s="554">
        <f t="shared" si="246"/>
        <v>0</v>
      </c>
      <c r="M743" s="554">
        <f t="shared" si="247"/>
        <v>0</v>
      </c>
      <c r="N743" s="104"/>
    </row>
    <row r="744" spans="1:14" s="74" customFormat="1">
      <c r="A744" s="36"/>
      <c r="B744" s="360" t="s">
        <v>30</v>
      </c>
      <c r="C744" s="327" t="s">
        <v>542</v>
      </c>
      <c r="D744" s="311">
        <v>12181213001</v>
      </c>
      <c r="E744" s="553" t="str">
        <f>IFERROR(VLOOKUP(D744,'ВИС-2026'!$E$17:$H$2115,2,0),"")</f>
        <v>К-т коллекторов РЕХАУ HKV из нерж. стали на 12 контуров с шар. кранами</v>
      </c>
      <c r="F744" s="292" t="str">
        <f>IFERROR(VLOOKUP(D744,'ВИС-2026'!$E$17:$H$2115,4,0),"")</f>
        <v>шт</v>
      </c>
      <c r="G744" s="428"/>
      <c r="H744" s="554">
        <f>IFERROR(VLOOKUP(D744,'ВИС-2026'!$E$17:$K$2649,7,0),"")</f>
        <v>484.44</v>
      </c>
      <c r="I744" s="554">
        <f t="shared" si="243"/>
        <v>0</v>
      </c>
      <c r="J744" s="554">
        <f t="shared" si="244"/>
        <v>484.44</v>
      </c>
      <c r="K744" s="554">
        <f t="shared" si="245"/>
        <v>0</v>
      </c>
      <c r="L744" s="554">
        <f t="shared" si="246"/>
        <v>0</v>
      </c>
      <c r="M744" s="554">
        <f t="shared" si="247"/>
        <v>0</v>
      </c>
      <c r="N744" s="104"/>
    </row>
    <row r="745" spans="1:14">
      <c r="A745" s="36"/>
      <c r="B745" s="360"/>
      <c r="C745" s="327"/>
      <c r="D745" s="311"/>
      <c r="E745" s="386"/>
      <c r="F745" s="248"/>
      <c r="G745" s="428"/>
      <c r="H745" s="554" t="str">
        <f>IFERROR(VLOOKUP(D745,'ВИС-2026'!$E$17:$K$2649,8,0),"")</f>
        <v/>
      </c>
      <c r="I745" s="554" t="str">
        <f t="shared" si="238"/>
        <v/>
      </c>
      <c r="J745" s="554" t="str">
        <f t="shared" si="239"/>
        <v/>
      </c>
      <c r="K745" s="554" t="str">
        <f t="shared" si="240"/>
        <v/>
      </c>
      <c r="L745" s="554" t="str">
        <f t="shared" si="241"/>
        <v/>
      </c>
      <c r="M745" s="554" t="str">
        <f t="shared" si="242"/>
        <v/>
      </c>
      <c r="N745" s="104"/>
    </row>
    <row r="746" spans="1:14">
      <c r="A746" s="36"/>
      <c r="B746" s="360" t="s">
        <v>30</v>
      </c>
      <c r="C746" s="327" t="s">
        <v>542</v>
      </c>
      <c r="D746" s="311">
        <v>12080213002</v>
      </c>
      <c r="E746" s="553" t="str">
        <f>IFERROR(VLOOKUP(D746,'ВИС-2026'!$E$17:$H$2115,2,0),"")</f>
        <v>К-т коллекторов РЕХАУ HKV-D из нерж. стали на 2 контура с шар. кранами</v>
      </c>
      <c r="F746" s="292" t="str">
        <f>IFERROR(VLOOKUP(D746,'ВИС-2026'!$E$17:$H$2115,4,0),"")</f>
        <v>шт</v>
      </c>
      <c r="G746" s="428"/>
      <c r="H746" s="554">
        <f>IFERROR(VLOOKUP(D746,'ВИС-2026'!$E$17:$K$2649,7,0),"")</f>
        <v>188.34</v>
      </c>
      <c r="I746" s="554">
        <f t="shared" si="238"/>
        <v>0</v>
      </c>
      <c r="J746" s="554">
        <f t="shared" si="239"/>
        <v>188.34</v>
      </c>
      <c r="K746" s="554">
        <f t="shared" si="240"/>
        <v>0</v>
      </c>
      <c r="L746" s="554">
        <f t="shared" si="241"/>
        <v>0</v>
      </c>
      <c r="M746" s="554">
        <f t="shared" si="242"/>
        <v>0</v>
      </c>
      <c r="N746" s="104"/>
    </row>
    <row r="747" spans="1:14" s="74" customFormat="1">
      <c r="A747" s="36"/>
      <c r="B747" s="360" t="s">
        <v>30</v>
      </c>
      <c r="C747" s="327" t="s">
        <v>542</v>
      </c>
      <c r="D747" s="311">
        <v>12080313002</v>
      </c>
      <c r="E747" s="553" t="str">
        <f>IFERROR(VLOOKUP(D747,'ВИС-2026'!$E$17:$H$2115,2,0),"")</f>
        <v>К-т коллекторов РЕХАУ HKV-D из нерж. стали на 3 контура с шар. кранами</v>
      </c>
      <c r="F747" s="292" t="str">
        <f>IFERROR(VLOOKUP(D747,'ВИС-2026'!$E$17:$H$2115,4,0),"")</f>
        <v>шт</v>
      </c>
      <c r="G747" s="428"/>
      <c r="H747" s="554">
        <f>IFERROR(VLOOKUP(D747,'ВИС-2026'!$E$17:$K$2649,7,0),"")</f>
        <v>222.46</v>
      </c>
      <c r="I747" s="554">
        <f t="shared" si="238"/>
        <v>0</v>
      </c>
      <c r="J747" s="554">
        <f t="shared" si="239"/>
        <v>222.46</v>
      </c>
      <c r="K747" s="554">
        <f t="shared" si="240"/>
        <v>0</v>
      </c>
      <c r="L747" s="554">
        <f t="shared" si="241"/>
        <v>0</v>
      </c>
      <c r="M747" s="554">
        <f t="shared" si="242"/>
        <v>0</v>
      </c>
      <c r="N747" s="104"/>
    </row>
    <row r="748" spans="1:14" s="74" customFormat="1">
      <c r="A748" s="36"/>
      <c r="B748" s="360" t="s">
        <v>30</v>
      </c>
      <c r="C748" s="327" t="s">
        <v>542</v>
      </c>
      <c r="D748" s="311">
        <v>12080413002</v>
      </c>
      <c r="E748" s="553" t="str">
        <f>IFERROR(VLOOKUP(D748,'ВИС-2026'!$E$17:$H$2115,2,0),"")</f>
        <v>К-т коллекторов РЕХАУ HKV-D из нерж. стали на 4 контура с шар. кранами</v>
      </c>
      <c r="F748" s="292" t="str">
        <f>IFERROR(VLOOKUP(D748,'ВИС-2026'!$E$17:$H$2115,4,0),"")</f>
        <v>шт</v>
      </c>
      <c r="G748" s="428"/>
      <c r="H748" s="554">
        <f>IFERROR(VLOOKUP(D748,'ВИС-2026'!$E$17:$K$2649,7,0),"")</f>
        <v>259.02999999999997</v>
      </c>
      <c r="I748" s="554">
        <f t="shared" si="238"/>
        <v>0</v>
      </c>
      <c r="J748" s="554">
        <f t="shared" si="239"/>
        <v>259.02999999999997</v>
      </c>
      <c r="K748" s="554">
        <f t="shared" si="240"/>
        <v>0</v>
      </c>
      <c r="L748" s="554">
        <f t="shared" si="241"/>
        <v>0</v>
      </c>
      <c r="M748" s="554">
        <f t="shared" si="242"/>
        <v>0</v>
      </c>
      <c r="N748" s="104"/>
    </row>
    <row r="749" spans="1:14" s="74" customFormat="1">
      <c r="A749" s="36"/>
      <c r="B749" s="360" t="s">
        <v>30</v>
      </c>
      <c r="C749" s="327" t="s">
        <v>542</v>
      </c>
      <c r="D749" s="311">
        <v>12080513002</v>
      </c>
      <c r="E749" s="553" t="str">
        <f>IFERROR(VLOOKUP(D749,'ВИС-2026'!$E$17:$H$2115,2,0),"")</f>
        <v>К-т коллекторов РЕХАУ HKV-D из нерж. стали на 5 контуров с шар. кранами</v>
      </c>
      <c r="F749" s="292" t="str">
        <f>IFERROR(VLOOKUP(D749,'ВИС-2026'!$E$17:$H$2115,4,0),"")</f>
        <v>шт</v>
      </c>
      <c r="G749" s="428"/>
      <c r="H749" s="554">
        <f>IFERROR(VLOOKUP(D749,'ВИС-2026'!$E$17:$K$2649,7,0),"")</f>
        <v>294.20999999999998</v>
      </c>
      <c r="I749" s="554">
        <f t="shared" si="238"/>
        <v>0</v>
      </c>
      <c r="J749" s="554">
        <f t="shared" si="239"/>
        <v>294.20999999999998</v>
      </c>
      <c r="K749" s="554">
        <f t="shared" si="240"/>
        <v>0</v>
      </c>
      <c r="L749" s="554">
        <f t="shared" si="241"/>
        <v>0</v>
      </c>
      <c r="M749" s="554">
        <f t="shared" si="242"/>
        <v>0</v>
      </c>
      <c r="N749" s="104"/>
    </row>
    <row r="750" spans="1:14" s="74" customFormat="1">
      <c r="A750" s="36"/>
      <c r="B750" s="360" t="s">
        <v>30</v>
      </c>
      <c r="C750" s="327" t="s">
        <v>542</v>
      </c>
      <c r="D750" s="311">
        <v>12080613002</v>
      </c>
      <c r="E750" s="553" t="str">
        <f>IFERROR(VLOOKUP(D750,'ВИС-2026'!$E$17:$H$2115,2,0),"")</f>
        <v>К-т коллекторов РЕХАУ HKV-D из нерж. стали на 6 контуров с шар. кранами</v>
      </c>
      <c r="F750" s="292" t="str">
        <f>IFERROR(VLOOKUP(D750,'ВИС-2026'!$E$17:$H$2115,4,0),"")</f>
        <v>шт</v>
      </c>
      <c r="G750" s="428"/>
      <c r="H750" s="554">
        <f>IFERROR(VLOOKUP(D750,'ВИС-2026'!$E$17:$K$2649,7,0),"")</f>
        <v>328.76</v>
      </c>
      <c r="I750" s="554">
        <f t="shared" si="238"/>
        <v>0</v>
      </c>
      <c r="J750" s="554">
        <f t="shared" si="239"/>
        <v>328.76</v>
      </c>
      <c r="K750" s="554">
        <f t="shared" si="240"/>
        <v>0</v>
      </c>
      <c r="L750" s="554">
        <f t="shared" si="241"/>
        <v>0</v>
      </c>
      <c r="M750" s="554">
        <f t="shared" si="242"/>
        <v>0</v>
      </c>
      <c r="N750" s="104"/>
    </row>
    <row r="751" spans="1:14">
      <c r="A751" s="36"/>
      <c r="B751" s="360" t="s">
        <v>30</v>
      </c>
      <c r="C751" s="327" t="s">
        <v>542</v>
      </c>
      <c r="D751" s="311">
        <v>12080713002</v>
      </c>
      <c r="E751" s="553" t="str">
        <f>IFERROR(VLOOKUP(D751,'ВИС-2026'!$E$17:$H$2115,2,0),"")</f>
        <v>К-т коллекторов РЕХАУ HKV-D из нерж. стали на 7 контуров с шар. кранами</v>
      </c>
      <c r="F751" s="292" t="str">
        <f>IFERROR(VLOOKUP(D751,'ВИС-2026'!$E$17:$H$2115,4,0),"")</f>
        <v>шт</v>
      </c>
      <c r="G751" s="428"/>
      <c r="H751" s="554">
        <f>IFERROR(VLOOKUP(D751,'ВИС-2026'!$E$17:$K$2649,7,0),"")</f>
        <v>375.21</v>
      </c>
      <c r="I751" s="554">
        <f t="shared" si="238"/>
        <v>0</v>
      </c>
      <c r="J751" s="554">
        <f t="shared" si="239"/>
        <v>375.21</v>
      </c>
      <c r="K751" s="554">
        <f t="shared" si="240"/>
        <v>0</v>
      </c>
      <c r="L751" s="554">
        <f t="shared" si="241"/>
        <v>0</v>
      </c>
      <c r="M751" s="554">
        <f t="shared" si="242"/>
        <v>0</v>
      </c>
      <c r="N751" s="104"/>
    </row>
    <row r="752" spans="1:14">
      <c r="A752" s="36"/>
      <c r="B752" s="360" t="s">
        <v>30</v>
      </c>
      <c r="C752" s="327" t="s">
        <v>542</v>
      </c>
      <c r="D752" s="311">
        <v>12080813002</v>
      </c>
      <c r="E752" s="553" t="str">
        <f>IFERROR(VLOOKUP(D752,'ВИС-2026'!$E$17:$H$2115,2,0),"")</f>
        <v>К-т коллекторов РЕХАУ HKV-D из нерж. стали на 8 контуров с шар. кранами</v>
      </c>
      <c r="F752" s="292" t="str">
        <f>IFERROR(VLOOKUP(D752,'ВИС-2026'!$E$17:$H$2115,4,0),"")</f>
        <v>шт</v>
      </c>
      <c r="G752" s="428"/>
      <c r="H752" s="554">
        <f>IFERROR(VLOOKUP(D752,'ВИС-2026'!$E$17:$K$2649,7,0),"")</f>
        <v>406.71</v>
      </c>
      <c r="I752" s="554">
        <f t="shared" si="238"/>
        <v>0</v>
      </c>
      <c r="J752" s="554">
        <f t="shared" si="239"/>
        <v>406.71</v>
      </c>
      <c r="K752" s="554">
        <f t="shared" si="240"/>
        <v>0</v>
      </c>
      <c r="L752" s="554">
        <f t="shared" si="241"/>
        <v>0</v>
      </c>
      <c r="M752" s="554">
        <f t="shared" si="242"/>
        <v>0</v>
      </c>
      <c r="N752" s="104"/>
    </row>
    <row r="753" spans="1:14">
      <c r="A753" s="36"/>
      <c r="B753" s="360" t="s">
        <v>30</v>
      </c>
      <c r="C753" s="327" t="s">
        <v>542</v>
      </c>
      <c r="D753" s="311">
        <v>12080913002</v>
      </c>
      <c r="E753" s="553" t="str">
        <f>IFERROR(VLOOKUP(D753,'ВИС-2026'!$E$17:$H$2115,2,0),"")</f>
        <v>К-т коллекторов РЕХАУ HKV-D из нерж. стали на 9 контуров с шар. кранами</v>
      </c>
      <c r="F753" s="292" t="str">
        <f>IFERROR(VLOOKUP(D753,'ВИС-2026'!$E$17:$H$2115,4,0),"")</f>
        <v>шт</v>
      </c>
      <c r="G753" s="428"/>
      <c r="H753" s="554">
        <f>IFERROR(VLOOKUP(D753,'ВИС-2026'!$E$17:$K$2649,7,0),"")</f>
        <v>454.69</v>
      </c>
      <c r="I753" s="554">
        <f t="shared" si="238"/>
        <v>0</v>
      </c>
      <c r="J753" s="554">
        <f t="shared" si="239"/>
        <v>454.69</v>
      </c>
      <c r="K753" s="554">
        <f t="shared" si="240"/>
        <v>0</v>
      </c>
      <c r="L753" s="554">
        <f t="shared" si="241"/>
        <v>0</v>
      </c>
      <c r="M753" s="554">
        <f t="shared" si="242"/>
        <v>0</v>
      </c>
      <c r="N753" s="104"/>
    </row>
    <row r="754" spans="1:14" s="74" customFormat="1">
      <c r="A754" s="36"/>
      <c r="B754" s="360" t="s">
        <v>30</v>
      </c>
      <c r="C754" s="327" t="s">
        <v>542</v>
      </c>
      <c r="D754" s="311">
        <v>12081013002</v>
      </c>
      <c r="E754" s="553" t="str">
        <f>IFERROR(VLOOKUP(D754,'ВИС-2026'!$E$17:$H$2115,2,0),"")</f>
        <v>К-т коллекторов РЕХАУ HKV-D из нерж. стали на 10 контуров с шар. кранами</v>
      </c>
      <c r="F754" s="292" t="str">
        <f>IFERROR(VLOOKUP(D754,'ВИС-2026'!$E$17:$H$2115,4,0),"")</f>
        <v>шт</v>
      </c>
      <c r="G754" s="428"/>
      <c r="H754" s="554">
        <f>IFERROR(VLOOKUP(D754,'ВИС-2026'!$E$17:$K$2649,7,0),"")</f>
        <v>485.71</v>
      </c>
      <c r="I754" s="554">
        <f t="shared" si="238"/>
        <v>0</v>
      </c>
      <c r="J754" s="554">
        <f t="shared" si="239"/>
        <v>485.71</v>
      </c>
      <c r="K754" s="554">
        <f t="shared" si="240"/>
        <v>0</v>
      </c>
      <c r="L754" s="554">
        <f t="shared" si="241"/>
        <v>0</v>
      </c>
      <c r="M754" s="554">
        <f t="shared" si="242"/>
        <v>0</v>
      </c>
      <c r="N754" s="104"/>
    </row>
    <row r="755" spans="1:14" s="74" customFormat="1">
      <c r="A755" s="36"/>
      <c r="B755" s="360" t="s">
        <v>30</v>
      </c>
      <c r="C755" s="327" t="s">
        <v>542</v>
      </c>
      <c r="D755" s="311">
        <v>12081113002</v>
      </c>
      <c r="E755" s="553" t="str">
        <f>IFERROR(VLOOKUP(D755,'ВИС-2026'!$E$17:$H$2115,2,0),"")</f>
        <v>К-т коллекторов РЕХАУ HKV-D из нерж. стали на 11 контуров с шар. кранами</v>
      </c>
      <c r="F755" s="292" t="str">
        <f>IFERROR(VLOOKUP(D755,'ВИС-2026'!$E$17:$H$2115,4,0),"")</f>
        <v>шт</v>
      </c>
      <c r="G755" s="428"/>
      <c r="H755" s="554">
        <f>IFERROR(VLOOKUP(D755,'ВИС-2026'!$E$17:$K$2649,7,0),"")</f>
        <v>536.22</v>
      </c>
      <c r="I755" s="554">
        <f t="shared" si="238"/>
        <v>0</v>
      </c>
      <c r="J755" s="554">
        <f t="shared" si="239"/>
        <v>536.22</v>
      </c>
      <c r="K755" s="554">
        <f t="shared" si="240"/>
        <v>0</v>
      </c>
      <c r="L755" s="554">
        <f t="shared" si="241"/>
        <v>0</v>
      </c>
      <c r="M755" s="554">
        <f t="shared" si="242"/>
        <v>0</v>
      </c>
      <c r="N755" s="104"/>
    </row>
    <row r="756" spans="1:14" s="74" customFormat="1">
      <c r="A756" s="36"/>
      <c r="B756" s="360" t="s">
        <v>30</v>
      </c>
      <c r="C756" s="327" t="s">
        <v>542</v>
      </c>
      <c r="D756" s="311">
        <v>12081213002</v>
      </c>
      <c r="E756" s="553" t="str">
        <f>IFERROR(VLOOKUP(D756,'ВИС-2026'!$E$17:$H$2115,2,0),"")</f>
        <v>К-т коллекторов РЕХАУ HKV-D из нерж. стали на 12 контуров с шар. кранами</v>
      </c>
      <c r="F756" s="292" t="str">
        <f>IFERROR(VLOOKUP(D756,'ВИС-2026'!$E$17:$H$2115,4,0),"")</f>
        <v>шт</v>
      </c>
      <c r="G756" s="428"/>
      <c r="H756" s="554">
        <f>IFERROR(VLOOKUP(D756,'ВИС-2026'!$E$17:$K$2649,7,0),"")</f>
        <v>573.88</v>
      </c>
      <c r="I756" s="554">
        <f t="shared" si="238"/>
        <v>0</v>
      </c>
      <c r="J756" s="554">
        <f t="shared" si="239"/>
        <v>573.88</v>
      </c>
      <c r="K756" s="554">
        <f t="shared" si="240"/>
        <v>0</v>
      </c>
      <c r="L756" s="554">
        <f t="shared" si="241"/>
        <v>0</v>
      </c>
      <c r="M756" s="554">
        <f t="shared" si="242"/>
        <v>0</v>
      </c>
      <c r="N756" s="104"/>
    </row>
    <row r="757" spans="1:14" s="74" customFormat="1">
      <c r="A757" s="36"/>
      <c r="B757" s="360"/>
      <c r="C757" s="327"/>
      <c r="D757" s="311"/>
      <c r="E757" s="386"/>
      <c r="F757" s="358" t="s">
        <v>65</v>
      </c>
      <c r="G757" s="428"/>
      <c r="H757" s="559" t="str">
        <f>IFERROR(VLOOKUP(D757,'ВИС-2026'!$E$17:$K$2649,8,0),"")</f>
        <v/>
      </c>
      <c r="I757" s="559" t="str">
        <f t="shared" si="238"/>
        <v/>
      </c>
      <c r="J757" s="559" t="str">
        <f t="shared" si="239"/>
        <v/>
      </c>
      <c r="K757" s="559" t="str">
        <f t="shared" si="240"/>
        <v/>
      </c>
      <c r="L757" s="559" t="str">
        <f t="shared" si="241"/>
        <v/>
      </c>
      <c r="M757" s="559" t="str">
        <f t="shared" si="242"/>
        <v/>
      </c>
      <c r="N757" s="104"/>
    </row>
    <row r="758" spans="1:14">
      <c r="A758" s="36"/>
      <c r="B758" s="360" t="s">
        <v>397</v>
      </c>
      <c r="C758" s="327" t="s">
        <v>542</v>
      </c>
      <c r="D758" s="311">
        <v>12180811001</v>
      </c>
      <c r="E758" s="553" t="str">
        <f>IFERROR(VLOOKUP(D758,'ВИС-2026'!$E$17:$H$2115,2,0),"")</f>
        <v xml:space="preserve">Распределительный коллектор HKV на 8 контуров нерж .сталь </v>
      </c>
      <c r="F758" s="292" t="str">
        <f>IFERROR(VLOOKUP(D758,'ВИС-2026'!$E$17:$H$2115,4,0),"")</f>
        <v>шт</v>
      </c>
      <c r="G758" s="428"/>
      <c r="H758" s="554">
        <f>IFERROR(VLOOKUP(D758,'ВИС-2026'!$E$17:$K$2649,7,0),"")</f>
        <v>566.14</v>
      </c>
      <c r="I758" s="554">
        <f t="shared" si="238"/>
        <v>0</v>
      </c>
      <c r="J758" s="554">
        <f t="shared" si="239"/>
        <v>566.14</v>
      </c>
      <c r="K758" s="554">
        <f t="shared" si="240"/>
        <v>0</v>
      </c>
      <c r="L758" s="554">
        <f t="shared" si="241"/>
        <v>0</v>
      </c>
      <c r="M758" s="554">
        <f t="shared" si="242"/>
        <v>0</v>
      </c>
      <c r="N758" s="104"/>
    </row>
    <row r="759" spans="1:14">
      <c r="A759" s="36"/>
      <c r="B759" s="360" t="s">
        <v>397</v>
      </c>
      <c r="C759" s="327" t="s">
        <v>542</v>
      </c>
      <c r="D759" s="311">
        <v>12180911001</v>
      </c>
      <c r="E759" s="553" t="str">
        <f>IFERROR(VLOOKUP(D759,'ВИС-2026'!$E$17:$H$2115,2,0),"")</f>
        <v xml:space="preserve">Распределительный коллектор HKV на 9 контуров нерж .сталь </v>
      </c>
      <c r="F759" s="292" t="str">
        <f>IFERROR(VLOOKUP(D759,'ВИС-2026'!$E$17:$H$2115,4,0),"")</f>
        <v>шт</v>
      </c>
      <c r="G759" s="428"/>
      <c r="H759" s="554">
        <f>IFERROR(VLOOKUP(D759,'ВИС-2026'!$E$17:$K$2649,7,0),"")</f>
        <v>611.12</v>
      </c>
      <c r="I759" s="554">
        <f t="shared" si="238"/>
        <v>0</v>
      </c>
      <c r="J759" s="554">
        <f t="shared" si="239"/>
        <v>611.12</v>
      </c>
      <c r="K759" s="554">
        <f t="shared" si="240"/>
        <v>0</v>
      </c>
      <c r="L759" s="554">
        <f t="shared" si="241"/>
        <v>0</v>
      </c>
      <c r="M759" s="554">
        <f t="shared" si="242"/>
        <v>0</v>
      </c>
      <c r="N759" s="104"/>
    </row>
    <row r="760" spans="1:14">
      <c r="A760" s="36"/>
      <c r="B760" s="296"/>
      <c r="C760" s="355"/>
      <c r="D760" s="188"/>
      <c r="E760" s="566"/>
      <c r="F760" s="244"/>
      <c r="G760" s="428"/>
      <c r="H760" s="245" t="str">
        <f>IFERROR(VLOOKUP(D760,'ВИС-2026'!$E$17:$K$2649,8,0),"")</f>
        <v/>
      </c>
      <c r="I760" s="245" t="str">
        <f t="shared" si="238"/>
        <v/>
      </c>
      <c r="J760" s="245" t="str">
        <f t="shared" si="239"/>
        <v/>
      </c>
      <c r="K760" s="245" t="str">
        <f t="shared" si="240"/>
        <v/>
      </c>
      <c r="L760" s="245" t="str">
        <f t="shared" si="241"/>
        <v/>
      </c>
      <c r="M760" s="245" t="str">
        <f t="shared" si="242"/>
        <v/>
      </c>
      <c r="N760" s="104"/>
    </row>
    <row r="761" spans="1:14" s="73" customFormat="1" ht="30.6">
      <c r="A761" s="148" t="s">
        <v>25</v>
      </c>
      <c r="B761" s="208" t="s">
        <v>26</v>
      </c>
      <c r="C761" s="351" t="s">
        <v>542</v>
      </c>
      <c r="D761" s="188">
        <v>12460441001</v>
      </c>
      <c r="E761" s="553" t="str">
        <f>IFERROR(VLOOKUP(D761,'ВИС-2026'!$E$17:$H$2115,2,0),"")</f>
        <v>Резьбозажимное соединение для подключ. трубы 14х1,5 мм</v>
      </c>
      <c r="F761" s="292" t="str">
        <f>IFERROR(VLOOKUP(D761,'ВИС-2026'!$E$17:$H$2115,4,0),"")</f>
        <v>шт</v>
      </c>
      <c r="G761" s="428"/>
      <c r="H761" s="554">
        <f>IFERROR(VLOOKUP(D761,'ВИС-2026'!$E$17:$K$2649,7,0),"")</f>
        <v>5.58</v>
      </c>
      <c r="I761" s="554">
        <f t="shared" si="238"/>
        <v>0</v>
      </c>
      <c r="J761" s="554">
        <f t="shared" si="239"/>
        <v>5.58</v>
      </c>
      <c r="K761" s="554">
        <f t="shared" si="240"/>
        <v>0</v>
      </c>
      <c r="L761" s="554">
        <f t="shared" si="241"/>
        <v>0</v>
      </c>
      <c r="M761" s="554">
        <f t="shared" si="242"/>
        <v>0</v>
      </c>
      <c r="N761" s="104"/>
    </row>
    <row r="762" spans="1:14" s="74" customFormat="1">
      <c r="A762" s="36"/>
      <c r="B762" s="360" t="s">
        <v>30</v>
      </c>
      <c r="C762" s="327" t="s">
        <v>542</v>
      </c>
      <c r="D762" s="311">
        <v>12506073002</v>
      </c>
      <c r="E762" s="553" t="str">
        <f>IFERROR(VLOOKUP(D762,'ВИС-2026'!$E$17:$H$2115,2,0),"")</f>
        <v>Резьбозажимное соединение THERM S 17х2</v>
      </c>
      <c r="F762" s="292" t="str">
        <f>IFERROR(VLOOKUP(D762,'ВИС-2026'!$E$17:$H$2115,4,0),"")</f>
        <v>шт</v>
      </c>
      <c r="G762" s="428"/>
      <c r="H762" s="554">
        <f>IFERROR(VLOOKUP(D762,'ВИС-2026'!$E$17:$K$2649,7,0),"")</f>
        <v>8.89</v>
      </c>
      <c r="I762" s="554">
        <f t="shared" si="238"/>
        <v>0</v>
      </c>
      <c r="J762" s="554">
        <f t="shared" si="239"/>
        <v>8.89</v>
      </c>
      <c r="K762" s="554">
        <f t="shared" si="240"/>
        <v>0</v>
      </c>
      <c r="L762" s="554">
        <f t="shared" si="241"/>
        <v>0</v>
      </c>
      <c r="M762" s="554">
        <f t="shared" si="242"/>
        <v>0</v>
      </c>
      <c r="N762" s="104"/>
    </row>
    <row r="763" spans="1:14">
      <c r="A763" s="36"/>
      <c r="B763" s="360" t="s">
        <v>30</v>
      </c>
      <c r="C763" s="327" t="s">
        <v>542</v>
      </c>
      <c r="D763" s="311">
        <v>12506173002</v>
      </c>
      <c r="E763" s="553" t="str">
        <f>IFERROR(VLOOKUP(D763,'ВИС-2026'!$E$17:$H$2115,2,0),"")</f>
        <v>Резьбозажимное соединение ТНЕRМ S 20х2</v>
      </c>
      <c r="F763" s="292" t="str">
        <f>IFERROR(VLOOKUP(D763,'ВИС-2026'!$E$17:$H$2115,4,0),"")</f>
        <v>шт</v>
      </c>
      <c r="G763" s="428"/>
      <c r="H763" s="554">
        <f>IFERROR(VLOOKUP(D763,'ВИС-2026'!$E$17:$K$2649,7,0),"")</f>
        <v>8.89</v>
      </c>
      <c r="I763" s="554">
        <f t="shared" si="238"/>
        <v>0</v>
      </c>
      <c r="J763" s="554">
        <f t="shared" si="239"/>
        <v>8.89</v>
      </c>
      <c r="K763" s="554">
        <f t="shared" si="240"/>
        <v>0</v>
      </c>
      <c r="L763" s="554">
        <f t="shared" si="241"/>
        <v>0</v>
      </c>
      <c r="M763" s="554">
        <f t="shared" si="242"/>
        <v>0</v>
      </c>
      <c r="N763" s="104"/>
    </row>
    <row r="764" spans="1:14">
      <c r="A764" s="36"/>
      <c r="B764" s="296"/>
      <c r="C764" s="355"/>
      <c r="D764" s="188"/>
      <c r="E764" s="388"/>
      <c r="F764" s="331"/>
      <c r="G764" s="428"/>
      <c r="H764" s="245" t="str">
        <f>IFERROR(VLOOKUP(D764,'ВИС-2026'!$E$17:$K$2649,8,0),"")</f>
        <v/>
      </c>
      <c r="I764" s="245" t="str">
        <f t="shared" si="238"/>
        <v/>
      </c>
      <c r="J764" s="245" t="str">
        <f t="shared" si="239"/>
        <v/>
      </c>
      <c r="K764" s="245" t="str">
        <f t="shared" si="240"/>
        <v/>
      </c>
      <c r="L764" s="245" t="str">
        <f t="shared" si="241"/>
        <v/>
      </c>
      <c r="M764" s="245" t="str">
        <f t="shared" si="242"/>
        <v/>
      </c>
      <c r="N764" s="104"/>
    </row>
    <row r="765" spans="1:14">
      <c r="A765" s="36"/>
      <c r="B765" s="343"/>
      <c r="C765" s="344" t="s">
        <v>542</v>
      </c>
      <c r="D765" s="346"/>
      <c r="E765" s="347" t="s">
        <v>640</v>
      </c>
      <c r="F765" s="350"/>
      <c r="G765" s="556"/>
      <c r="H765" s="567" t="str">
        <f>IFERROR(VLOOKUP(D765,'ВИС-2026'!$E$17:$K$2649,8,0),"")</f>
        <v/>
      </c>
      <c r="I765" s="567" t="str">
        <f t="shared" ref="I765:I770" si="248">IFERROR(H765*G765,"")</f>
        <v/>
      </c>
      <c r="J765" s="567" t="str">
        <f t="shared" ref="J765:J770" si="249">IFERROR((IF(H765="","",H765-H765*$D$7)),"")</f>
        <v/>
      </c>
      <c r="K765" s="567" t="str">
        <f t="shared" ref="K765:K770" si="250">IFERROR(J765*G765, "")</f>
        <v/>
      </c>
      <c r="L765" s="567" t="str">
        <f t="shared" ref="L765:L770" si="251">IFERROR(J765*$D$8, "")</f>
        <v/>
      </c>
      <c r="M765" s="567" t="str">
        <f t="shared" ref="M765:M770" si="252">IFERROR(L765*G765, "")</f>
        <v/>
      </c>
      <c r="N765" s="104"/>
    </row>
    <row r="766" spans="1:14">
      <c r="A766" s="36"/>
      <c r="B766" s="360" t="s">
        <v>397</v>
      </c>
      <c r="C766" s="327" t="s">
        <v>542</v>
      </c>
      <c r="D766" s="311">
        <v>13454101001</v>
      </c>
      <c r="E766" s="553" t="str">
        <f>IFERROR(VLOOKUP(D766,'ВИС-2026'!$E$17:$H$2115,2,0),"")</f>
        <v>Шкаф коллекторный, встраиваемый, тип UP 110/550, белый</v>
      </c>
      <c r="F766" s="292" t="str">
        <f>IFERROR(VLOOKUP(D766,'ВИС-2026'!$E$17:$H$2115,4,0),"")</f>
        <v>шт</v>
      </c>
      <c r="G766" s="428"/>
      <c r="H766" s="554">
        <f>IFERROR(VLOOKUP(D766,'ВИС-2026'!$E$17:$K$2649,7,0),"")</f>
        <v>250.59</v>
      </c>
      <c r="I766" s="554">
        <f t="shared" si="248"/>
        <v>0</v>
      </c>
      <c r="J766" s="554">
        <f t="shared" si="249"/>
        <v>250.59</v>
      </c>
      <c r="K766" s="554">
        <f t="shared" si="250"/>
        <v>0</v>
      </c>
      <c r="L766" s="554">
        <f t="shared" si="251"/>
        <v>0</v>
      </c>
      <c r="M766" s="554">
        <f t="shared" si="252"/>
        <v>0</v>
      </c>
      <c r="N766" s="104"/>
    </row>
    <row r="767" spans="1:14">
      <c r="A767" s="36"/>
      <c r="B767" s="360" t="s">
        <v>397</v>
      </c>
      <c r="C767" s="327" t="s">
        <v>542</v>
      </c>
      <c r="D767" s="311">
        <v>13454201001</v>
      </c>
      <c r="E767" s="553" t="str">
        <f>IFERROR(VLOOKUP(D767,'ВИС-2026'!$E$17:$H$2115,2,0),"")</f>
        <v>Шкаф коллекторный, встраиваемый, тип UP 110/750, белый</v>
      </c>
      <c r="F767" s="292" t="str">
        <f>IFERROR(VLOOKUP(D767,'ВИС-2026'!$E$17:$H$2115,4,0),"")</f>
        <v>шт</v>
      </c>
      <c r="G767" s="428"/>
      <c r="H767" s="554">
        <f>IFERROR(VLOOKUP(D767,'ВИС-2026'!$E$17:$K$2649,7,0),"")</f>
        <v>297.33999999999997</v>
      </c>
      <c r="I767" s="554">
        <f t="shared" si="248"/>
        <v>0</v>
      </c>
      <c r="J767" s="554">
        <f t="shared" si="249"/>
        <v>297.33999999999997</v>
      </c>
      <c r="K767" s="554">
        <f t="shared" si="250"/>
        <v>0</v>
      </c>
      <c r="L767" s="554">
        <f t="shared" si="251"/>
        <v>0</v>
      </c>
      <c r="M767" s="554">
        <f t="shared" si="252"/>
        <v>0</v>
      </c>
      <c r="N767" s="104"/>
    </row>
    <row r="768" spans="1:14" s="74" customFormat="1">
      <c r="A768" s="36"/>
      <c r="B768" s="360" t="s">
        <v>397</v>
      </c>
      <c r="C768" s="327" t="s">
        <v>542</v>
      </c>
      <c r="D768" s="311">
        <v>13454301001</v>
      </c>
      <c r="E768" s="553" t="str">
        <f>IFERROR(VLOOKUP(D768,'ВИС-2026'!$E$17:$H$2115,2,0),"")</f>
        <v>Шкаф коллекторный, встраиваемый, тип UP 110/950, белый</v>
      </c>
      <c r="F768" s="292" t="str">
        <f>IFERROR(VLOOKUP(D768,'ВИС-2026'!$E$17:$H$2115,4,0),"")</f>
        <v>шт</v>
      </c>
      <c r="G768" s="428"/>
      <c r="H768" s="554">
        <f>IFERROR(VLOOKUP(D768,'ВИС-2026'!$E$17:$K$2649,7,0),"")</f>
        <v>339.73</v>
      </c>
      <c r="I768" s="554">
        <f t="shared" si="248"/>
        <v>0</v>
      </c>
      <c r="J768" s="554">
        <f t="shared" si="249"/>
        <v>339.73</v>
      </c>
      <c r="K768" s="554">
        <f t="shared" si="250"/>
        <v>0</v>
      </c>
      <c r="L768" s="554">
        <f t="shared" si="251"/>
        <v>0</v>
      </c>
      <c r="M768" s="554">
        <f t="shared" si="252"/>
        <v>0</v>
      </c>
      <c r="N768" s="104"/>
    </row>
    <row r="769" spans="1:14">
      <c r="A769" s="36"/>
      <c r="B769" s="360" t="s">
        <v>397</v>
      </c>
      <c r="C769" s="327" t="s">
        <v>542</v>
      </c>
      <c r="D769" s="311">
        <v>13454401001</v>
      </c>
      <c r="E769" s="553" t="str">
        <f>IFERROR(VLOOKUP(D769,'ВИС-2026'!$E$17:$H$2115,2,0),"")</f>
        <v>Шкаф коллекторный, встраиваемый, тип UP 110/1150, белый</v>
      </c>
      <c r="F769" s="292" t="str">
        <f>IFERROR(VLOOKUP(D769,'ВИС-2026'!$E$17:$H$2115,4,0),"")</f>
        <v>шт</v>
      </c>
      <c r="G769" s="428"/>
      <c r="H769" s="554">
        <f>IFERROR(VLOOKUP(D769,'ВИС-2026'!$E$17:$K$2649,7,0),"")</f>
        <v>399.04</v>
      </c>
      <c r="I769" s="554">
        <f t="shared" si="248"/>
        <v>0</v>
      </c>
      <c r="J769" s="554">
        <f t="shared" si="249"/>
        <v>399.04</v>
      </c>
      <c r="K769" s="554">
        <f t="shared" si="250"/>
        <v>0</v>
      </c>
      <c r="L769" s="554">
        <f t="shared" si="251"/>
        <v>0</v>
      </c>
      <c r="M769" s="554">
        <f t="shared" si="252"/>
        <v>0</v>
      </c>
      <c r="N769" s="104"/>
    </row>
    <row r="770" spans="1:14">
      <c r="A770" s="36"/>
      <c r="B770" s="360" t="s">
        <v>397</v>
      </c>
      <c r="C770" s="327" t="s">
        <v>542</v>
      </c>
      <c r="D770" s="311">
        <v>13454501001</v>
      </c>
      <c r="E770" s="553" t="str">
        <f>IFERROR(VLOOKUP(D770,'ВИС-2026'!$E$17:$H$2115,2,0),"")</f>
        <v>Шкаф коллекторный, встраиваемый, тип UP 110/1300, белый</v>
      </c>
      <c r="F770" s="292" t="str">
        <f>IFERROR(VLOOKUP(D770,'ВИС-2026'!$E$17:$H$2115,4,0),"")</f>
        <v>шт</v>
      </c>
      <c r="G770" s="428"/>
      <c r="H770" s="554">
        <f>IFERROR(VLOOKUP(D770,'ВИС-2026'!$E$17:$K$2649,7,0),"")</f>
        <v>439.29</v>
      </c>
      <c r="I770" s="554">
        <f t="shared" si="248"/>
        <v>0</v>
      </c>
      <c r="J770" s="554">
        <f t="shared" si="249"/>
        <v>439.29</v>
      </c>
      <c r="K770" s="554">
        <f t="shared" si="250"/>
        <v>0</v>
      </c>
      <c r="L770" s="554">
        <f t="shared" si="251"/>
        <v>0</v>
      </c>
      <c r="M770" s="554">
        <f t="shared" si="252"/>
        <v>0</v>
      </c>
      <c r="N770" s="104"/>
    </row>
    <row r="771" spans="1:14">
      <c r="A771" s="36"/>
      <c r="B771" s="296"/>
      <c r="C771" s="355"/>
      <c r="D771" s="188"/>
      <c r="E771" s="258"/>
      <c r="F771" s="294"/>
      <c r="G771" s="428"/>
      <c r="H771" s="403" t="str">
        <f>IFERROR(VLOOKUP(D771,'ВИС-2026'!$E$17:$K$2649,8,0),"")</f>
        <v/>
      </c>
      <c r="I771" s="403" t="str">
        <f t="shared" ref="I771:I804" si="253">IFERROR(H771*G771,"")</f>
        <v/>
      </c>
      <c r="J771" s="403" t="str">
        <f t="shared" ref="J771:J804" si="254">IFERROR((IF(H771="","",H771-H771*$D$7)),"")</f>
        <v/>
      </c>
      <c r="K771" s="403" t="str">
        <f t="shared" ref="K771:K804" si="255">IFERROR(J771*G771, "")</f>
        <v/>
      </c>
      <c r="L771" s="403" t="str">
        <f t="shared" ref="L771:L804" si="256">IFERROR(J771*$D$8, "")</f>
        <v/>
      </c>
      <c r="M771" s="403" t="str">
        <f t="shared" ref="M771:M804" si="257">IFERROR(L771*G771, "")</f>
        <v/>
      </c>
      <c r="N771" s="104"/>
    </row>
    <row r="772" spans="1:14">
      <c r="A772" s="36"/>
      <c r="B772" s="360" t="s">
        <v>397</v>
      </c>
      <c r="C772" s="327" t="s">
        <v>542</v>
      </c>
      <c r="D772" s="311">
        <v>13474101001</v>
      </c>
      <c r="E772" s="553" t="str">
        <f>IFERROR(VLOOKUP(D772,'ВИС-2026'!$E$17:$H$2115,2,0),"")</f>
        <v xml:space="preserve">Шкаф коллекторный, приставной, тип AP 130/605, белый </v>
      </c>
      <c r="F772" s="292" t="str">
        <f>IFERROR(VLOOKUP(D772,'ВИС-2026'!$E$17:$H$2115,4,0),"")</f>
        <v>шт</v>
      </c>
      <c r="G772" s="428"/>
      <c r="H772" s="554">
        <f>IFERROR(VLOOKUP(D772,'ВИС-2026'!$E$17:$K$2649,7,0),"")</f>
        <v>225.82</v>
      </c>
      <c r="I772" s="554">
        <f t="shared" si="253"/>
        <v>0</v>
      </c>
      <c r="J772" s="554">
        <f t="shared" si="254"/>
        <v>225.82</v>
      </c>
      <c r="K772" s="554">
        <f t="shared" si="255"/>
        <v>0</v>
      </c>
      <c r="L772" s="554">
        <f t="shared" si="256"/>
        <v>0</v>
      </c>
      <c r="M772" s="554">
        <f t="shared" si="257"/>
        <v>0</v>
      </c>
      <c r="N772" s="104"/>
    </row>
    <row r="773" spans="1:14">
      <c r="A773" s="36"/>
      <c r="B773" s="360" t="s">
        <v>397</v>
      </c>
      <c r="C773" s="327" t="s">
        <v>542</v>
      </c>
      <c r="D773" s="311">
        <v>13474501001</v>
      </c>
      <c r="E773" s="553" t="str">
        <f>IFERROR(VLOOKUP(D773,'ВИС-2026'!$E$17:$H$2115,2,0),"")</f>
        <v>Шкаф коллекторный, приставной, тип AP 130/1353, белый</v>
      </c>
      <c r="F773" s="292" t="str">
        <f>IFERROR(VLOOKUP(D773,'ВИС-2026'!$E$17:$H$2115,4,0),"")</f>
        <v>шт</v>
      </c>
      <c r="G773" s="428"/>
      <c r="H773" s="554">
        <f>IFERROR(VLOOKUP(D773,'ВИС-2026'!$E$17:$K$2649,7,0),"")</f>
        <v>377.85</v>
      </c>
      <c r="I773" s="554">
        <f t="shared" si="253"/>
        <v>0</v>
      </c>
      <c r="J773" s="554">
        <f t="shared" si="254"/>
        <v>377.85</v>
      </c>
      <c r="K773" s="554">
        <f t="shared" si="255"/>
        <v>0</v>
      </c>
      <c r="L773" s="554">
        <f t="shared" si="256"/>
        <v>0</v>
      </c>
      <c r="M773" s="554">
        <f t="shared" si="257"/>
        <v>0</v>
      </c>
      <c r="N773" s="104"/>
    </row>
    <row r="774" spans="1:14" s="74" customFormat="1">
      <c r="A774" s="36"/>
      <c r="B774" s="296"/>
      <c r="C774" s="355"/>
      <c r="D774" s="188"/>
      <c r="E774" s="258"/>
      <c r="F774" s="568" t="s">
        <v>28</v>
      </c>
      <c r="G774" s="428"/>
      <c r="H774" s="569" t="str">
        <f>IFERROR(VLOOKUP(D774,'ВИС-2026'!$E$17:$K$2649,8,0),"")</f>
        <v/>
      </c>
      <c r="I774" s="569" t="str">
        <f t="shared" si="253"/>
        <v/>
      </c>
      <c r="J774" s="569" t="str">
        <f t="shared" si="254"/>
        <v/>
      </c>
      <c r="K774" s="569" t="str">
        <f t="shared" si="255"/>
        <v/>
      </c>
      <c r="L774" s="569" t="str">
        <f t="shared" si="256"/>
        <v/>
      </c>
      <c r="M774" s="569" t="str">
        <f t="shared" si="257"/>
        <v/>
      </c>
      <c r="N774" s="104"/>
    </row>
    <row r="775" spans="1:14">
      <c r="A775" s="36"/>
      <c r="B775" s="360" t="s">
        <v>397</v>
      </c>
      <c r="C775" s="327" t="s">
        <v>542</v>
      </c>
      <c r="D775" s="311">
        <v>13464101001</v>
      </c>
      <c r="E775" s="553" t="str">
        <f>IFERROR(VLOOKUP(D775,'ВИС-2026'!$E$17:$H$2115,2,0),"")</f>
        <v>Шкаф коллекторный, встраиваемый, тип UP 75/550 , белый</v>
      </c>
      <c r="F775" s="292" t="str">
        <f>IFERROR(VLOOKUP(D775,'ВИС-2026'!$E$17:$H$2115,4,0),"")</f>
        <v>шт</v>
      </c>
      <c r="G775" s="428"/>
      <c r="H775" s="554">
        <f>IFERROR(VLOOKUP(D775,'ВИС-2026'!$E$17:$K$2649,7,0),"")</f>
        <v>254.48</v>
      </c>
      <c r="I775" s="554">
        <f t="shared" si="253"/>
        <v>0</v>
      </c>
      <c r="J775" s="554">
        <f t="shared" si="254"/>
        <v>254.48</v>
      </c>
      <c r="K775" s="554">
        <f t="shared" si="255"/>
        <v>0</v>
      </c>
      <c r="L775" s="554">
        <f t="shared" si="256"/>
        <v>0</v>
      </c>
      <c r="M775" s="554">
        <f t="shared" si="257"/>
        <v>0</v>
      </c>
      <c r="N775" s="104"/>
    </row>
    <row r="776" spans="1:14">
      <c r="A776" s="36"/>
      <c r="B776" s="360" t="s">
        <v>397</v>
      </c>
      <c r="C776" s="327" t="s">
        <v>542</v>
      </c>
      <c r="D776" s="311">
        <v>13464201001</v>
      </c>
      <c r="E776" s="553" t="str">
        <f>IFERROR(VLOOKUP(D776,'ВИС-2026'!$E$17:$H$2115,2,0),"")</f>
        <v>Шкаф коллекторный, встраиваемый, тип UP 75/750, белый</v>
      </c>
      <c r="F776" s="292" t="str">
        <f>IFERROR(VLOOKUP(D776,'ВИС-2026'!$E$17:$H$2115,4,0),"")</f>
        <v>шт</v>
      </c>
      <c r="G776" s="428"/>
      <c r="H776" s="554">
        <f>IFERROR(VLOOKUP(D776,'ВИС-2026'!$E$17:$K$2649,7,0),"")</f>
        <v>305.56</v>
      </c>
      <c r="I776" s="554">
        <f t="shared" si="253"/>
        <v>0</v>
      </c>
      <c r="J776" s="554">
        <f t="shared" si="254"/>
        <v>305.56</v>
      </c>
      <c r="K776" s="554">
        <f t="shared" si="255"/>
        <v>0</v>
      </c>
      <c r="L776" s="554">
        <f t="shared" si="256"/>
        <v>0</v>
      </c>
      <c r="M776" s="554">
        <f t="shared" si="257"/>
        <v>0</v>
      </c>
      <c r="N776" s="104"/>
    </row>
    <row r="777" spans="1:14">
      <c r="A777" s="36"/>
      <c r="B777" s="360" t="s">
        <v>397</v>
      </c>
      <c r="C777" s="327" t="s">
        <v>542</v>
      </c>
      <c r="D777" s="311">
        <v>13464301001</v>
      </c>
      <c r="E777" s="553" t="str">
        <f>IFERROR(VLOOKUP(D777,'ВИС-2026'!$E$17:$H$2115,2,0),"")</f>
        <v>Шкаф коллекторный, встраиваемый, тип UP 75/950, белый</v>
      </c>
      <c r="F777" s="292" t="str">
        <f>IFERROR(VLOOKUP(D777,'ВИС-2026'!$E$17:$H$2115,4,0),"")</f>
        <v>шт</v>
      </c>
      <c r="G777" s="428"/>
      <c r="H777" s="554">
        <f>IFERROR(VLOOKUP(D777,'ВИС-2026'!$E$17:$K$2649,7,0),"")</f>
        <v>345.38</v>
      </c>
      <c r="I777" s="554">
        <f t="shared" si="253"/>
        <v>0</v>
      </c>
      <c r="J777" s="554">
        <f t="shared" si="254"/>
        <v>345.38</v>
      </c>
      <c r="K777" s="554">
        <f t="shared" si="255"/>
        <v>0</v>
      </c>
      <c r="L777" s="554">
        <f t="shared" si="256"/>
        <v>0</v>
      </c>
      <c r="M777" s="554">
        <f t="shared" si="257"/>
        <v>0</v>
      </c>
      <c r="N777" s="104"/>
    </row>
    <row r="778" spans="1:14" s="74" customFormat="1">
      <c r="A778" s="36"/>
      <c r="B778" s="360" t="s">
        <v>397</v>
      </c>
      <c r="C778" s="327" t="s">
        <v>542</v>
      </c>
      <c r="D778" s="311">
        <v>13464401001</v>
      </c>
      <c r="E778" s="553" t="str">
        <f>IFERROR(VLOOKUP(D778,'ВИС-2026'!$E$17:$H$2115,2,0),"")</f>
        <v>Шкаф коллекторный, встраиваемый, тип UP 75/1150, белый</v>
      </c>
      <c r="F778" s="292" t="str">
        <f>IFERROR(VLOOKUP(D778,'ВИС-2026'!$E$17:$H$2115,4,0),"")</f>
        <v>шт</v>
      </c>
      <c r="G778" s="428"/>
      <c r="H778" s="554">
        <f>IFERROR(VLOOKUP(D778,'ВИС-2026'!$E$17:$K$2649,7,0),"")</f>
        <v>402.06</v>
      </c>
      <c r="I778" s="554">
        <f t="shared" si="253"/>
        <v>0</v>
      </c>
      <c r="J778" s="554">
        <f t="shared" si="254"/>
        <v>402.06</v>
      </c>
      <c r="K778" s="554">
        <f t="shared" si="255"/>
        <v>0</v>
      </c>
      <c r="L778" s="554">
        <f t="shared" si="256"/>
        <v>0</v>
      </c>
      <c r="M778" s="554">
        <f t="shared" si="257"/>
        <v>0</v>
      </c>
      <c r="N778" s="104"/>
    </row>
    <row r="779" spans="1:14">
      <c r="A779" s="36"/>
      <c r="B779" s="296"/>
      <c r="C779" s="355"/>
      <c r="D779" s="188"/>
      <c r="E779" s="258"/>
      <c r="F779" s="372"/>
      <c r="G779" s="428"/>
      <c r="H779" s="570" t="str">
        <f>IFERROR(VLOOKUP(D779,'ВИС-2026'!$E$17:$K$2649,8,0),"")</f>
        <v/>
      </c>
      <c r="I779" s="570" t="str">
        <f t="shared" si="253"/>
        <v/>
      </c>
      <c r="J779" s="570" t="str">
        <f t="shared" si="254"/>
        <v/>
      </c>
      <c r="K779" s="570" t="str">
        <f t="shared" si="255"/>
        <v/>
      </c>
      <c r="L779" s="570" t="str">
        <f t="shared" si="256"/>
        <v/>
      </c>
      <c r="M779" s="570" t="str">
        <f t="shared" si="257"/>
        <v/>
      </c>
      <c r="N779" s="104"/>
    </row>
    <row r="780" spans="1:14" s="74" customFormat="1">
      <c r="A780" s="36"/>
      <c r="B780" s="343"/>
      <c r="C780" s="344" t="s">
        <v>542</v>
      </c>
      <c r="D780" s="346"/>
      <c r="E780" s="347" t="s">
        <v>641</v>
      </c>
      <c r="F780" s="571"/>
      <c r="G780" s="556"/>
      <c r="H780" s="563" t="str">
        <f>IFERROR(VLOOKUP(D780,'ВИС-2026'!$E$17:$K$2649,8,0),"")</f>
        <v/>
      </c>
      <c r="I780" s="563" t="str">
        <f t="shared" si="253"/>
        <v/>
      </c>
      <c r="J780" s="563" t="str">
        <f t="shared" si="254"/>
        <v/>
      </c>
      <c r="K780" s="563" t="str">
        <f t="shared" si="255"/>
        <v/>
      </c>
      <c r="L780" s="563" t="str">
        <f t="shared" si="256"/>
        <v/>
      </c>
      <c r="M780" s="563" t="str">
        <f t="shared" si="257"/>
        <v/>
      </c>
      <c r="N780" s="104"/>
    </row>
    <row r="781" spans="1:14">
      <c r="A781" s="36"/>
      <c r="B781" s="343"/>
      <c r="C781" s="344" t="s">
        <v>542</v>
      </c>
      <c r="D781" s="346"/>
      <c r="E781" s="347" t="s">
        <v>642</v>
      </c>
      <c r="F781" s="301"/>
      <c r="G781" s="556"/>
      <c r="H781" s="557" t="str">
        <f>IFERROR(VLOOKUP(D781,'ВИС-2026'!$E$17:$K$2649,8,0),"")</f>
        <v/>
      </c>
      <c r="I781" s="557" t="str">
        <f t="shared" si="253"/>
        <v/>
      </c>
      <c r="J781" s="557" t="str">
        <f t="shared" si="254"/>
        <v/>
      </c>
      <c r="K781" s="557" t="str">
        <f t="shared" si="255"/>
        <v/>
      </c>
      <c r="L781" s="557" t="str">
        <f t="shared" si="256"/>
        <v/>
      </c>
      <c r="M781" s="557" t="str">
        <f t="shared" si="257"/>
        <v/>
      </c>
      <c r="N781" s="104"/>
    </row>
    <row r="782" spans="1:14">
      <c r="A782" s="157"/>
      <c r="B782" s="343" t="s">
        <v>397</v>
      </c>
      <c r="C782" s="327" t="s">
        <v>542</v>
      </c>
      <c r="D782" s="313">
        <v>13280001003</v>
      </c>
      <c r="E782" s="553" t="str">
        <f>IFERROR(VLOOKUP(D782,'ВИС-2026'!$E$17:$H$2115,2,0),"")</f>
        <v>NEA SMART 2.0 Терморегулятор TBW</v>
      </c>
      <c r="F782" s="292" t="str">
        <f>IFERROR(VLOOKUP(D782,'ВИС-2026'!$E$17:$H$2115,4,0),"")</f>
        <v>шт</v>
      </c>
      <c r="G782" s="428"/>
      <c r="H782" s="554">
        <f>IFERROR(VLOOKUP(D782,'ВИС-2026'!$E$17:$K$2649,7,0),"")</f>
        <v>135.16</v>
      </c>
      <c r="I782" s="554">
        <f t="shared" si="253"/>
        <v>0</v>
      </c>
      <c r="J782" s="554">
        <f t="shared" si="254"/>
        <v>135.16</v>
      </c>
      <c r="K782" s="554">
        <f t="shared" si="255"/>
        <v>0</v>
      </c>
      <c r="L782" s="554">
        <f t="shared" si="256"/>
        <v>0</v>
      </c>
      <c r="M782" s="554">
        <f t="shared" si="257"/>
        <v>0</v>
      </c>
      <c r="N782" s="104"/>
    </row>
    <row r="783" spans="1:14" s="74" customFormat="1">
      <c r="A783" s="157"/>
      <c r="B783" s="343" t="s">
        <v>397</v>
      </c>
      <c r="C783" s="327" t="s">
        <v>542</v>
      </c>
      <c r="D783" s="313">
        <v>13280041003</v>
      </c>
      <c r="E783" s="553" t="str">
        <f>IFERROR(VLOOKUP(D783,'ВИС-2026'!$E$17:$H$2115,2,0),"")</f>
        <v>NEA SMART 2.0 Терморегулятор HBW</v>
      </c>
      <c r="F783" s="292" t="str">
        <f>IFERROR(VLOOKUP(D783,'ВИС-2026'!$E$17:$H$2115,4,0),"")</f>
        <v>шт</v>
      </c>
      <c r="G783" s="428"/>
      <c r="H783" s="554">
        <f>IFERROR(VLOOKUP(D783,'ВИС-2026'!$E$17:$K$2649,7,0),"")</f>
        <v>148.68</v>
      </c>
      <c r="I783" s="554">
        <f t="shared" si="253"/>
        <v>0</v>
      </c>
      <c r="J783" s="554">
        <f t="shared" si="254"/>
        <v>148.68</v>
      </c>
      <c r="K783" s="554">
        <f t="shared" si="255"/>
        <v>0</v>
      </c>
      <c r="L783" s="554">
        <f t="shared" si="256"/>
        <v>0</v>
      </c>
      <c r="M783" s="554">
        <f t="shared" si="257"/>
        <v>0</v>
      </c>
      <c r="N783" s="104"/>
    </row>
    <row r="784" spans="1:14">
      <c r="A784" s="157"/>
      <c r="B784" s="343" t="s">
        <v>397</v>
      </c>
      <c r="C784" s="327" t="s">
        <v>542</v>
      </c>
      <c r="D784" s="313">
        <v>13280051003</v>
      </c>
      <c r="E784" s="553" t="str">
        <f>IFERROR(VLOOKUP(D784,'ВИС-2026'!$E$17:$H$2115,2,0),"")</f>
        <v>NEA SMART 2.0 Терморегулятор HBB</v>
      </c>
      <c r="F784" s="292" t="str">
        <f>IFERROR(VLOOKUP(D784,'ВИС-2026'!$E$17:$H$2115,4,0),"")</f>
        <v>шт</v>
      </c>
      <c r="G784" s="428"/>
      <c r="H784" s="554">
        <f>IFERROR(VLOOKUP(D784,'ВИС-2026'!$E$17:$K$2649,7,0),"")</f>
        <v>148.68</v>
      </c>
      <c r="I784" s="554">
        <f t="shared" si="253"/>
        <v>0</v>
      </c>
      <c r="J784" s="554">
        <f t="shared" si="254"/>
        <v>148.68</v>
      </c>
      <c r="K784" s="554">
        <f t="shared" si="255"/>
        <v>0</v>
      </c>
      <c r="L784" s="554">
        <f t="shared" si="256"/>
        <v>0</v>
      </c>
      <c r="M784" s="554">
        <f t="shared" si="257"/>
        <v>0</v>
      </c>
      <c r="N784" s="104"/>
    </row>
    <row r="785" spans="1:14">
      <c r="A785" s="157"/>
      <c r="B785" s="393"/>
      <c r="C785" s="394"/>
      <c r="D785" s="394"/>
      <c r="E785" s="572"/>
      <c r="F785" s="294"/>
      <c r="G785" s="428"/>
      <c r="H785" s="403" t="str">
        <f>IFERROR(VLOOKUP(D785,'ВИС-2026'!$E$17:$K$2649,8,0),"")</f>
        <v/>
      </c>
      <c r="I785" s="403" t="str">
        <f t="shared" si="253"/>
        <v/>
      </c>
      <c r="J785" s="403" t="str">
        <f t="shared" si="254"/>
        <v/>
      </c>
      <c r="K785" s="403" t="str">
        <f t="shared" si="255"/>
        <v/>
      </c>
      <c r="L785" s="403" t="str">
        <f t="shared" si="256"/>
        <v/>
      </c>
      <c r="M785" s="403" t="str">
        <f t="shared" si="257"/>
        <v/>
      </c>
      <c r="N785" s="104"/>
    </row>
    <row r="786" spans="1:14" s="74" customFormat="1">
      <c r="A786" s="157"/>
      <c r="B786" s="343" t="s">
        <v>397</v>
      </c>
      <c r="C786" s="327" t="s">
        <v>542</v>
      </c>
      <c r="D786" s="313">
        <v>13280241001</v>
      </c>
      <c r="E786" s="553" t="str">
        <f>IFERROR(VLOOKUP(D786,'ВИС-2026'!$E$17:$H$2115,2,0),"")</f>
        <v>NEA SMART 2.0 Базовая станция 24 V</v>
      </c>
      <c r="F786" s="292" t="str">
        <f>IFERROR(VLOOKUP(D786,'ВИС-2026'!$E$17:$H$2115,4,0),"")</f>
        <v>шт</v>
      </c>
      <c r="G786" s="428"/>
      <c r="H786" s="554">
        <f>IFERROR(VLOOKUP(D786,'ВИС-2026'!$E$17:$K$2649,7,0),"")</f>
        <v>622.57000000000005</v>
      </c>
      <c r="I786" s="554">
        <f t="shared" si="253"/>
        <v>0</v>
      </c>
      <c r="J786" s="554">
        <f t="shared" si="254"/>
        <v>622.57000000000005</v>
      </c>
      <c r="K786" s="554">
        <f t="shared" si="255"/>
        <v>0</v>
      </c>
      <c r="L786" s="554">
        <f t="shared" si="256"/>
        <v>0</v>
      </c>
      <c r="M786" s="554">
        <f t="shared" si="257"/>
        <v>0</v>
      </c>
      <c r="N786" s="104"/>
    </row>
    <row r="787" spans="1:14">
      <c r="A787" s="157"/>
      <c r="B787" s="343" t="s">
        <v>397</v>
      </c>
      <c r="C787" s="327" t="s">
        <v>542</v>
      </c>
      <c r="D787" s="313">
        <v>13709711001</v>
      </c>
      <c r="E787" s="553" t="str">
        <f>IFERROR(VLOOKUP(D787,'ВИС-2026'!$E$17:$H$2115,2,0),"")</f>
        <v>NEA SMART 2.0 модуль расширения R-Module 24 V</v>
      </c>
      <c r="F787" s="292" t="str">
        <f>IFERROR(VLOOKUP(D787,'ВИС-2026'!$E$17:$H$2115,4,0),"")</f>
        <v>шт</v>
      </c>
      <c r="G787" s="428"/>
      <c r="H787" s="554">
        <f>IFERROR(VLOOKUP(D787,'ВИС-2026'!$E$17:$K$2649,7,0),"")</f>
        <v>246.23</v>
      </c>
      <c r="I787" s="554">
        <f t="shared" si="253"/>
        <v>0</v>
      </c>
      <c r="J787" s="554">
        <f t="shared" si="254"/>
        <v>246.23</v>
      </c>
      <c r="K787" s="554">
        <f t="shared" si="255"/>
        <v>0</v>
      </c>
      <c r="L787" s="554">
        <f t="shared" si="256"/>
        <v>0</v>
      </c>
      <c r="M787" s="554">
        <f t="shared" si="257"/>
        <v>0</v>
      </c>
      <c r="N787" s="104"/>
    </row>
    <row r="788" spans="1:14" s="74" customFormat="1">
      <c r="A788" s="157"/>
      <c r="B788" s="343" t="s">
        <v>397</v>
      </c>
      <c r="C788" s="327" t="s">
        <v>542</v>
      </c>
      <c r="D788" s="313">
        <v>13709731001</v>
      </c>
      <c r="E788" s="553" t="str">
        <f>IFERROR(VLOOKUP(D788,'ВИС-2026'!$E$17:$H$2115,2,0),"")</f>
        <v>NEA SMART 2.0  модуль расширения U-Module 24 V</v>
      </c>
      <c r="F788" s="292" t="str">
        <f>IFERROR(VLOOKUP(D788,'ВИС-2026'!$E$17:$H$2115,4,0),"")</f>
        <v>шт</v>
      </c>
      <c r="G788" s="428"/>
      <c r="H788" s="554">
        <f>IFERROR(VLOOKUP(D788,'ВИС-2026'!$E$17:$K$2649,7,0),"")</f>
        <v>246.23</v>
      </c>
      <c r="I788" s="554">
        <f t="shared" si="253"/>
        <v>0</v>
      </c>
      <c r="J788" s="554">
        <f t="shared" si="254"/>
        <v>246.23</v>
      </c>
      <c r="K788" s="554">
        <f t="shared" si="255"/>
        <v>0</v>
      </c>
      <c r="L788" s="554">
        <f t="shared" si="256"/>
        <v>0</v>
      </c>
      <c r="M788" s="554">
        <f t="shared" si="257"/>
        <v>0</v>
      </c>
      <c r="N788" s="104"/>
    </row>
    <row r="789" spans="1:14">
      <c r="A789" s="157"/>
      <c r="B789" s="343" t="s">
        <v>397</v>
      </c>
      <c r="C789" s="327" t="s">
        <v>542</v>
      </c>
      <c r="D789" s="311">
        <v>13280341001</v>
      </c>
      <c r="E789" s="553" t="str">
        <f>IFERROR(VLOOKUP(D789,'ВИС-2026'!$E$17:$H$2115,2,0),"")</f>
        <v>NEA SMART 2.0 Наружный датчик температуры</v>
      </c>
      <c r="F789" s="292" t="str">
        <f>IFERROR(VLOOKUP(D789,'ВИС-2026'!$E$17:$H$2115,4,0),"")</f>
        <v>шт</v>
      </c>
      <c r="G789" s="428"/>
      <c r="H789" s="554">
        <f>IFERROR(VLOOKUP(D789,'ВИС-2026'!$E$17:$K$2649,7,0),"")</f>
        <v>110.29</v>
      </c>
      <c r="I789" s="554">
        <f t="shared" si="253"/>
        <v>0</v>
      </c>
      <c r="J789" s="554">
        <f t="shared" si="254"/>
        <v>110.29</v>
      </c>
      <c r="K789" s="554">
        <f t="shared" si="255"/>
        <v>0</v>
      </c>
      <c r="L789" s="554">
        <f t="shared" si="256"/>
        <v>0</v>
      </c>
      <c r="M789" s="554">
        <f t="shared" si="257"/>
        <v>0</v>
      </c>
      <c r="N789" s="104"/>
    </row>
    <row r="790" spans="1:14" s="74" customFormat="1">
      <c r="A790" s="157"/>
      <c r="B790" s="343" t="s">
        <v>397</v>
      </c>
      <c r="C790" s="327" t="s">
        <v>542</v>
      </c>
      <c r="D790" s="311">
        <v>13280391001</v>
      </c>
      <c r="E790" s="553" t="str">
        <f>IFERROR(VLOOKUP(D790,'ВИС-2026'!$E$17:$H$2115,2,0),"")</f>
        <v>NEA SMART 2.0 Датчик температуры подачи</v>
      </c>
      <c r="F790" s="292" t="str">
        <f>IFERROR(VLOOKUP(D790,'ВИС-2026'!$E$17:$H$2115,4,0),"")</f>
        <v>шт</v>
      </c>
      <c r="G790" s="428"/>
      <c r="H790" s="554">
        <f>IFERROR(VLOOKUP(D790,'ВИС-2026'!$E$17:$K$2649,7,0),"")</f>
        <v>27.54</v>
      </c>
      <c r="I790" s="554">
        <f t="shared" si="253"/>
        <v>0</v>
      </c>
      <c r="J790" s="554">
        <f t="shared" si="254"/>
        <v>27.54</v>
      </c>
      <c r="K790" s="554">
        <f t="shared" si="255"/>
        <v>0</v>
      </c>
      <c r="L790" s="554">
        <f t="shared" si="256"/>
        <v>0</v>
      </c>
      <c r="M790" s="554">
        <f t="shared" si="257"/>
        <v>0</v>
      </c>
      <c r="N790" s="104"/>
    </row>
    <row r="791" spans="1:14">
      <c r="A791" s="155"/>
      <c r="B791" s="334"/>
      <c r="C791" s="335"/>
      <c r="D791" s="337"/>
      <c r="E791" s="561"/>
      <c r="F791" s="248"/>
      <c r="G791" s="428"/>
      <c r="H791" s="554" t="str">
        <f>IFERROR(VLOOKUP(D791,'ВИС-2026'!$E$17:$K$2649,8,0),"")</f>
        <v/>
      </c>
      <c r="I791" s="554" t="str">
        <f t="shared" si="253"/>
        <v/>
      </c>
      <c r="J791" s="554" t="str">
        <f t="shared" si="254"/>
        <v/>
      </c>
      <c r="K791" s="554" t="str">
        <f t="shared" si="255"/>
        <v/>
      </c>
      <c r="L791" s="554" t="str">
        <f t="shared" si="256"/>
        <v/>
      </c>
      <c r="M791" s="554" t="str">
        <f t="shared" si="257"/>
        <v/>
      </c>
      <c r="N791" s="104"/>
    </row>
    <row r="792" spans="1:14">
      <c r="A792" s="36"/>
      <c r="B792" s="343" t="s">
        <v>397</v>
      </c>
      <c r="C792" s="327" t="s">
        <v>542</v>
      </c>
      <c r="D792" s="311">
        <v>13360241001</v>
      </c>
      <c r="E792" s="553" t="str">
        <f>IFERROR(VLOOKUP(D792,'ВИС-2026'!$E$17:$H$2115,2,0),"")</f>
        <v>Терморегулятор Nea H 24 В</v>
      </c>
      <c r="F792" s="292" t="str">
        <f>IFERROR(VLOOKUP(D792,'ВИС-2026'!$E$17:$H$2115,4,0),"")</f>
        <v>шт</v>
      </c>
      <c r="G792" s="428"/>
      <c r="H792" s="554">
        <f>IFERROR(VLOOKUP(D792,'ВИС-2026'!$E$17:$K$2649,7,0),"")</f>
        <v>80.08</v>
      </c>
      <c r="I792" s="554">
        <f t="shared" si="253"/>
        <v>0</v>
      </c>
      <c r="J792" s="554">
        <f t="shared" si="254"/>
        <v>80.08</v>
      </c>
      <c r="K792" s="554">
        <f t="shared" si="255"/>
        <v>0</v>
      </c>
      <c r="L792" s="554">
        <f t="shared" si="256"/>
        <v>0</v>
      </c>
      <c r="M792" s="554">
        <f t="shared" si="257"/>
        <v>0</v>
      </c>
      <c r="N792" s="104"/>
    </row>
    <row r="793" spans="1:14">
      <c r="A793" s="36"/>
      <c r="B793" s="343" t="s">
        <v>397</v>
      </c>
      <c r="C793" s="327" t="s">
        <v>542</v>
      </c>
      <c r="D793" s="311">
        <v>13370241001</v>
      </c>
      <c r="E793" s="553" t="str">
        <f>IFERROR(VLOOKUP(D793,'ВИС-2026'!$E$17:$H$2115,2,0),"")</f>
        <v xml:space="preserve">Терморегулятор Nea HT 24 В </v>
      </c>
      <c r="F793" s="292" t="str">
        <f>IFERROR(VLOOKUP(D793,'ВИС-2026'!$E$17:$H$2115,4,0),"")</f>
        <v>шт</v>
      </c>
      <c r="G793" s="428"/>
      <c r="H793" s="554">
        <f>IFERROR(VLOOKUP(D793,'ВИС-2026'!$E$17:$K$2649,7,0),"")</f>
        <v>89.89</v>
      </c>
      <c r="I793" s="554">
        <f t="shared" si="253"/>
        <v>0</v>
      </c>
      <c r="J793" s="554">
        <f t="shared" si="254"/>
        <v>89.89</v>
      </c>
      <c r="K793" s="554">
        <f t="shared" si="255"/>
        <v>0</v>
      </c>
      <c r="L793" s="554">
        <f t="shared" si="256"/>
        <v>0</v>
      </c>
      <c r="M793" s="554">
        <f t="shared" si="257"/>
        <v>0</v>
      </c>
      <c r="N793" s="104"/>
    </row>
    <row r="794" spans="1:14" s="92" customFormat="1">
      <c r="A794" s="36"/>
      <c r="B794" s="343" t="s">
        <v>397</v>
      </c>
      <c r="C794" s="327" t="s">
        <v>542</v>
      </c>
      <c r="D794" s="311">
        <v>13382301001</v>
      </c>
      <c r="E794" s="553" t="str">
        <f>IFERROR(VLOOKUP(D794,'ВИС-2026'!$E$17:$H$2115,2,0),"")</f>
        <v xml:space="preserve">Терморегулятор Nea HCT 230 В </v>
      </c>
      <c r="F794" s="292" t="str">
        <f>IFERROR(VLOOKUP(D794,'ВИС-2026'!$E$17:$H$2115,4,0),"")</f>
        <v>шт</v>
      </c>
      <c r="G794" s="428"/>
      <c r="H794" s="554">
        <f>IFERROR(VLOOKUP(D794,'ВИС-2026'!$E$17:$K$2649,7,0),"")</f>
        <v>124.5</v>
      </c>
      <c r="I794" s="554">
        <f t="shared" si="253"/>
        <v>0</v>
      </c>
      <c r="J794" s="554">
        <f t="shared" si="254"/>
        <v>124.5</v>
      </c>
      <c r="K794" s="554">
        <f t="shared" si="255"/>
        <v>0</v>
      </c>
      <c r="L794" s="554">
        <f t="shared" si="256"/>
        <v>0</v>
      </c>
      <c r="M794" s="554">
        <f t="shared" si="257"/>
        <v>0</v>
      </c>
      <c r="N794" s="104"/>
    </row>
    <row r="795" spans="1:14">
      <c r="A795" s="156"/>
      <c r="B795" s="398"/>
      <c r="C795" s="357"/>
      <c r="D795" s="225"/>
      <c r="E795" s="378"/>
      <c r="F795" s="294"/>
      <c r="G795" s="428"/>
      <c r="H795" s="403" t="str">
        <f>IFERROR(VLOOKUP(D795,'ВИС-2026'!$E$17:$K$2649,8,0),"")</f>
        <v/>
      </c>
      <c r="I795" s="403" t="str">
        <f t="shared" si="253"/>
        <v/>
      </c>
      <c r="J795" s="403" t="str">
        <f t="shared" si="254"/>
        <v/>
      </c>
      <c r="K795" s="403" t="str">
        <f t="shared" si="255"/>
        <v/>
      </c>
      <c r="L795" s="403" t="str">
        <f t="shared" si="256"/>
        <v/>
      </c>
      <c r="M795" s="403" t="str">
        <f t="shared" si="257"/>
        <v/>
      </c>
      <c r="N795" s="104"/>
    </row>
    <row r="796" spans="1:14">
      <c r="A796" s="156"/>
      <c r="B796" s="360" t="s">
        <v>30</v>
      </c>
      <c r="C796" s="327" t="s">
        <v>542</v>
      </c>
      <c r="D796" s="311">
        <v>13370243001</v>
      </c>
      <c r="E796" s="553" t="str">
        <f>IFERROR(VLOOKUP(D796,'ВИС-2026'!$E$17:$H$2115,2,0),"")</f>
        <v>Терморегулятор РЕХАУ NEA 24 В Черный</v>
      </c>
      <c r="F796" s="292" t="str">
        <f>IFERROR(VLOOKUP(D796,'ВИС-2026'!$E$17:$H$2115,4,0),"")</f>
        <v>шт</v>
      </c>
      <c r="G796" s="428"/>
      <c r="H796" s="554">
        <f>IFERROR(VLOOKUP(D796,'ВИС-2026'!$E$17:$K$2649,7,0),"")</f>
        <v>64.06</v>
      </c>
      <c r="I796" s="554">
        <f t="shared" si="253"/>
        <v>0</v>
      </c>
      <c r="J796" s="554">
        <f t="shared" si="254"/>
        <v>64.06</v>
      </c>
      <c r="K796" s="554">
        <f t="shared" si="255"/>
        <v>0</v>
      </c>
      <c r="L796" s="554">
        <f t="shared" si="256"/>
        <v>0</v>
      </c>
      <c r="M796" s="554">
        <f t="shared" si="257"/>
        <v>0</v>
      </c>
      <c r="N796" s="104"/>
    </row>
    <row r="797" spans="1:14">
      <c r="A797" s="156"/>
      <c r="B797" s="360" t="s">
        <v>30</v>
      </c>
      <c r="C797" s="327" t="s">
        <v>542</v>
      </c>
      <c r="D797" s="311">
        <v>13360243001</v>
      </c>
      <c r="E797" s="553" t="str">
        <f>IFERROR(VLOOKUP(D797,'ВИС-2026'!$E$17:$H$2115,2,0),"")</f>
        <v>Терморегулятор РЕХАУ NEA 24 В Белый</v>
      </c>
      <c r="F797" s="292" t="str">
        <f>IFERROR(VLOOKUP(D797,'ВИС-2026'!$E$17:$H$2115,4,0),"")</f>
        <v>шт</v>
      </c>
      <c r="G797" s="428"/>
      <c r="H797" s="554">
        <f>IFERROR(VLOOKUP(D797,'ВИС-2026'!$E$17:$K$2649,7,0),"")</f>
        <v>64.06</v>
      </c>
      <c r="I797" s="554">
        <f t="shared" si="253"/>
        <v>0</v>
      </c>
      <c r="J797" s="554">
        <f t="shared" si="254"/>
        <v>64.06</v>
      </c>
      <c r="K797" s="554">
        <f t="shared" si="255"/>
        <v>0</v>
      </c>
      <c r="L797" s="554">
        <f t="shared" si="256"/>
        <v>0</v>
      </c>
      <c r="M797" s="554">
        <f t="shared" si="257"/>
        <v>0</v>
      </c>
      <c r="N797" s="104"/>
    </row>
    <row r="798" spans="1:14">
      <c r="A798" s="156"/>
      <c r="B798" s="360" t="s">
        <v>30</v>
      </c>
      <c r="C798" s="327" t="s">
        <v>542</v>
      </c>
      <c r="D798" s="311">
        <v>13372303001</v>
      </c>
      <c r="E798" s="553" t="str">
        <f>IFERROR(VLOOKUP(D798,'ВИС-2026'!$E$17:$H$2115,2,0),"")</f>
        <v>Терморегулятор РЕХАУ NEA 230 В Черный</v>
      </c>
      <c r="F798" s="292" t="str">
        <f>IFERROR(VLOOKUP(D798,'ВИС-2026'!$E$17:$H$2115,4,0),"")</f>
        <v>шт</v>
      </c>
      <c r="G798" s="428"/>
      <c r="H798" s="554">
        <f>IFERROR(VLOOKUP(D798,'ВИС-2026'!$E$17:$K$2649,7,0),"")</f>
        <v>63.23</v>
      </c>
      <c r="I798" s="554">
        <f t="shared" si="253"/>
        <v>0</v>
      </c>
      <c r="J798" s="554">
        <f t="shared" si="254"/>
        <v>63.23</v>
      </c>
      <c r="K798" s="554">
        <f t="shared" si="255"/>
        <v>0</v>
      </c>
      <c r="L798" s="554">
        <f t="shared" si="256"/>
        <v>0</v>
      </c>
      <c r="M798" s="554">
        <f t="shared" si="257"/>
        <v>0</v>
      </c>
      <c r="N798" s="104"/>
    </row>
    <row r="799" spans="1:14">
      <c r="A799" s="156"/>
      <c r="B799" s="360" t="s">
        <v>30</v>
      </c>
      <c r="C799" s="327" t="s">
        <v>542</v>
      </c>
      <c r="D799" s="311">
        <v>13362303001</v>
      </c>
      <c r="E799" s="553" t="str">
        <f>IFERROR(VLOOKUP(D799,'ВИС-2026'!$E$17:$H$2115,2,0),"")</f>
        <v>Терморегулятор РЕХАУ NEA 230 В Белый</v>
      </c>
      <c r="F799" s="292" t="str">
        <f>IFERROR(VLOOKUP(D799,'ВИС-2026'!$E$17:$H$2115,4,0),"")</f>
        <v>шт</v>
      </c>
      <c r="G799" s="428"/>
      <c r="H799" s="554">
        <f>IFERROR(VLOOKUP(D799,'ВИС-2026'!$E$17:$K$2649,7,0),"")</f>
        <v>63.23</v>
      </c>
      <c r="I799" s="554">
        <f t="shared" si="253"/>
        <v>0</v>
      </c>
      <c r="J799" s="554">
        <f t="shared" si="254"/>
        <v>63.23</v>
      </c>
      <c r="K799" s="554">
        <f t="shared" si="255"/>
        <v>0</v>
      </c>
      <c r="L799" s="554">
        <f t="shared" si="256"/>
        <v>0</v>
      </c>
      <c r="M799" s="554">
        <f t="shared" si="257"/>
        <v>0</v>
      </c>
      <c r="N799" s="104"/>
    </row>
    <row r="800" spans="1:14" s="74" customFormat="1">
      <c r="A800" s="36"/>
      <c r="B800" s="402"/>
      <c r="C800" s="367"/>
      <c r="D800" s="217"/>
      <c r="E800" s="295"/>
      <c r="F800" s="358" t="s">
        <v>65</v>
      </c>
      <c r="G800" s="428"/>
      <c r="H800" s="559" t="str">
        <f>IFERROR(VLOOKUP(D800,'ВИС-2026'!$E$17:$K$2649,8,0),"")</f>
        <v/>
      </c>
      <c r="I800" s="559" t="str">
        <f t="shared" si="253"/>
        <v/>
      </c>
      <c r="J800" s="559" t="str">
        <f t="shared" si="254"/>
        <v/>
      </c>
      <c r="K800" s="559" t="str">
        <f t="shared" si="255"/>
        <v/>
      </c>
      <c r="L800" s="559" t="str">
        <f t="shared" si="256"/>
        <v/>
      </c>
      <c r="M800" s="559" t="str">
        <f t="shared" si="257"/>
        <v/>
      </c>
      <c r="N800" s="104"/>
    </row>
    <row r="801" spans="1:14" s="74" customFormat="1">
      <c r="A801" s="156"/>
      <c r="B801" s="360" t="s">
        <v>30</v>
      </c>
      <c r="C801" s="327" t="s">
        <v>542</v>
      </c>
      <c r="D801" s="311">
        <v>12179053001</v>
      </c>
      <c r="E801" s="553" t="str">
        <f>IFERROR(VLOOKUP(D801,'ВИС-2026'!$E$17:$H$2115,2,0),"")</f>
        <v>Выносной датчик РЕХАУ NEA</v>
      </c>
      <c r="F801" s="292" t="str">
        <f>IFERROR(VLOOKUP(D801,'ВИС-2026'!$E$17:$H$2115,4,0),"")</f>
        <v>шт</v>
      </c>
      <c r="G801" s="428"/>
      <c r="H801" s="554">
        <f>IFERROR(VLOOKUP(D801,'ВИС-2026'!$E$17:$K$2649,7,0),"")</f>
        <v>7.11</v>
      </c>
      <c r="I801" s="554">
        <f t="shared" si="253"/>
        <v>0</v>
      </c>
      <c r="J801" s="554">
        <f t="shared" si="254"/>
        <v>7.11</v>
      </c>
      <c r="K801" s="554">
        <f t="shared" si="255"/>
        <v>0</v>
      </c>
      <c r="L801" s="554">
        <f t="shared" si="256"/>
        <v>0</v>
      </c>
      <c r="M801" s="554">
        <f t="shared" si="257"/>
        <v>0</v>
      </c>
      <c r="N801" s="104"/>
    </row>
    <row r="802" spans="1:14" ht="30.6">
      <c r="A802" s="148" t="s">
        <v>25</v>
      </c>
      <c r="B802" s="208" t="s">
        <v>26</v>
      </c>
      <c r="C802" s="351" t="s">
        <v>542</v>
      </c>
      <c r="D802" s="188">
        <v>13168311100</v>
      </c>
      <c r="E802" s="553" t="str">
        <f>IFERROR(VLOOKUP(D802,'ВИС-2026'!$E$17:$H$2115,2,0),"")</f>
        <v>Комплект для установки (не подходит для систем NEA smart R)</v>
      </c>
      <c r="F802" s="292" t="str">
        <f>IFERROR(VLOOKUP(D802,'ВИС-2026'!$E$17:$H$2115,4,0),"")</f>
        <v>шт</v>
      </c>
      <c r="G802" s="428"/>
      <c r="H802" s="554">
        <f>IFERROR(VLOOKUP(D802,'ВИС-2026'!$E$17:$K$2649,7,0),"")</f>
        <v>22.44</v>
      </c>
      <c r="I802" s="554">
        <f t="shared" si="253"/>
        <v>0</v>
      </c>
      <c r="J802" s="554">
        <f t="shared" si="254"/>
        <v>22.44</v>
      </c>
      <c r="K802" s="554">
        <f t="shared" si="255"/>
        <v>0</v>
      </c>
      <c r="L802" s="554">
        <f t="shared" si="256"/>
        <v>0</v>
      </c>
      <c r="M802" s="554">
        <f t="shared" si="257"/>
        <v>0</v>
      </c>
      <c r="N802" s="104"/>
    </row>
    <row r="803" spans="1:14">
      <c r="A803" s="36"/>
      <c r="B803" s="398"/>
      <c r="C803" s="357"/>
      <c r="D803" s="225"/>
      <c r="E803" s="378"/>
      <c r="F803" s="294"/>
      <c r="G803" s="428"/>
      <c r="H803" s="403" t="str">
        <f>IFERROR(VLOOKUP(D803,'ВИС-2026'!$E$17:$K$2649,8,0),"")</f>
        <v/>
      </c>
      <c r="I803" s="403" t="str">
        <f t="shared" si="253"/>
        <v/>
      </c>
      <c r="J803" s="403" t="str">
        <f t="shared" si="254"/>
        <v/>
      </c>
      <c r="K803" s="403" t="str">
        <f t="shared" si="255"/>
        <v/>
      </c>
      <c r="L803" s="403" t="str">
        <f t="shared" si="256"/>
        <v/>
      </c>
      <c r="M803" s="403" t="str">
        <f t="shared" si="257"/>
        <v/>
      </c>
      <c r="N803" s="104"/>
    </row>
    <row r="804" spans="1:14" s="74" customFormat="1">
      <c r="A804" s="156"/>
      <c r="B804" s="343" t="s">
        <v>397</v>
      </c>
      <c r="C804" s="327" t="s">
        <v>542</v>
      </c>
      <c r="D804" s="311">
        <v>13490241001</v>
      </c>
      <c r="E804" s="553" t="str">
        <f>IFERROR(VLOOKUP(D804,'ВИС-2026'!$E$17:$H$2115,2,0),"")</f>
        <v>Клеммная колодка Nea H, 24 В, 6 каналов</v>
      </c>
      <c r="F804" s="292" t="str">
        <f>IFERROR(VLOOKUP(D804,'ВИС-2026'!$E$17:$H$2115,4,0),"")</f>
        <v>шт</v>
      </c>
      <c r="G804" s="428"/>
      <c r="H804" s="554">
        <f>IFERROR(VLOOKUP(D804,'ВИС-2026'!$E$17:$K$2649,7,0),"")</f>
        <v>136.72999999999999</v>
      </c>
      <c r="I804" s="554">
        <f t="shared" si="253"/>
        <v>0</v>
      </c>
      <c r="J804" s="554">
        <f t="shared" si="254"/>
        <v>136.72999999999999</v>
      </c>
      <c r="K804" s="554">
        <f t="shared" si="255"/>
        <v>0</v>
      </c>
      <c r="L804" s="554">
        <f t="shared" si="256"/>
        <v>0</v>
      </c>
      <c r="M804" s="554">
        <f t="shared" si="257"/>
        <v>0</v>
      </c>
      <c r="N804" s="104"/>
    </row>
    <row r="805" spans="1:14">
      <c r="A805" s="36"/>
      <c r="B805" s="360" t="s">
        <v>30</v>
      </c>
      <c r="C805" s="327" t="s">
        <v>542</v>
      </c>
      <c r="D805" s="311">
        <v>13736143002</v>
      </c>
      <c r="E805" s="553" t="str">
        <f>IFERROR(VLOOKUP(D805,'ВИС-2026'!$E$17:$H$2115,2,0),"")</f>
        <v>Клеммная панель РЕХАУ  230, 8 каналов</v>
      </c>
      <c r="F805" s="292" t="str">
        <f>IFERROR(VLOOKUP(D805,'ВИС-2026'!$E$17:$H$2115,4,0),"")</f>
        <v>шт</v>
      </c>
      <c r="G805" s="428"/>
      <c r="H805" s="554">
        <f>IFERROR(VLOOKUP(D805,'ВИС-2026'!$E$17:$K$2649,7,0),"")</f>
        <v>100.35</v>
      </c>
      <c r="I805" s="554">
        <f t="shared" ref="I805:I806" si="258">IFERROR(H805*G805,"")</f>
        <v>0</v>
      </c>
      <c r="J805" s="554">
        <f t="shared" ref="J805:J806" si="259">IFERROR((IF(H805="","",H805-H805*$D$7)),"")</f>
        <v>100.35</v>
      </c>
      <c r="K805" s="554">
        <f t="shared" ref="K805:K806" si="260">IFERROR(J805*G805, "")</f>
        <v>0</v>
      </c>
      <c r="L805" s="554">
        <f t="shared" ref="L805:L806" si="261">IFERROR(J805*$D$8, "")</f>
        <v>0</v>
      </c>
      <c r="M805" s="554">
        <f t="shared" ref="M805:M806" si="262">IFERROR(L805*G805, "")</f>
        <v>0</v>
      </c>
      <c r="N805" s="104"/>
    </row>
    <row r="806" spans="1:14">
      <c r="A806" s="156"/>
      <c r="B806" s="360" t="s">
        <v>30</v>
      </c>
      <c r="C806" s="327" t="s">
        <v>542</v>
      </c>
      <c r="D806" s="311">
        <v>13736113002</v>
      </c>
      <c r="E806" s="553" t="str">
        <f>IFERROR(VLOOKUP(D806,'ВИС-2026'!$E$17:$H$2115,2,0),"")</f>
        <v>Клеммная панель РЕХАУ с трансформатором 24 В, 8 каналов</v>
      </c>
      <c r="F806" s="292" t="str">
        <f>IFERROR(VLOOKUP(D806,'ВИС-2026'!$E$17:$H$2115,4,0),"")</f>
        <v>шт</v>
      </c>
      <c r="G806" s="428"/>
      <c r="H806" s="554">
        <f>IFERROR(VLOOKUP(D806,'ВИС-2026'!$E$17:$K$2649,7,0),"")</f>
        <v>124.55</v>
      </c>
      <c r="I806" s="554">
        <f t="shared" si="258"/>
        <v>0</v>
      </c>
      <c r="J806" s="554">
        <f t="shared" si="259"/>
        <v>124.55</v>
      </c>
      <c r="K806" s="554">
        <f t="shared" si="260"/>
        <v>0</v>
      </c>
      <c r="L806" s="554">
        <f t="shared" si="261"/>
        <v>0</v>
      </c>
      <c r="M806" s="554">
        <f t="shared" si="262"/>
        <v>0</v>
      </c>
      <c r="N806" s="104"/>
    </row>
    <row r="807" spans="1:14" s="74" customFormat="1">
      <c r="A807" s="36"/>
      <c r="B807" s="402"/>
      <c r="C807" s="367"/>
      <c r="D807" s="217"/>
      <c r="E807" s="295"/>
      <c r="F807" s="568" t="s">
        <v>65</v>
      </c>
      <c r="G807" s="428"/>
      <c r="H807" s="569" t="str">
        <f>IFERROR(VLOOKUP(D807,'ВИС-2026'!$E$17:$K$2649,8,0),"")</f>
        <v/>
      </c>
      <c r="I807" s="569" t="str">
        <f t="shared" ref="I807:I818" si="263">IFERROR(H807*G807,"")</f>
        <v/>
      </c>
      <c r="J807" s="569" t="str">
        <f t="shared" ref="J807:J818" si="264">IFERROR((IF(H807="","",H807-H807*$D$7)),"")</f>
        <v/>
      </c>
      <c r="K807" s="569" t="str">
        <f t="shared" ref="K807:K818" si="265">IFERROR(J807*G807, "")</f>
        <v/>
      </c>
      <c r="L807" s="569" t="str">
        <f t="shared" ref="L807:L818" si="266">IFERROR(J807*$D$8, "")</f>
        <v/>
      </c>
      <c r="M807" s="569" t="str">
        <f t="shared" ref="M807:M818" si="267">IFERROR(L807*G807, "")</f>
        <v/>
      </c>
      <c r="N807" s="104"/>
    </row>
    <row r="808" spans="1:14" s="74" customFormat="1">
      <c r="A808" s="36"/>
      <c r="B808" s="402"/>
      <c r="C808" s="367"/>
      <c r="D808" s="217"/>
      <c r="E808" s="295"/>
      <c r="F808" s="568" t="s">
        <v>65</v>
      </c>
      <c r="G808" s="428"/>
      <c r="H808" s="569" t="str">
        <f>IFERROR(VLOOKUP(D808,'ВИС-2026'!$E$17:$K$2649,8,0),"")</f>
        <v/>
      </c>
      <c r="I808" s="569" t="str">
        <f t="shared" si="263"/>
        <v/>
      </c>
      <c r="J808" s="569" t="str">
        <f t="shared" si="264"/>
        <v/>
      </c>
      <c r="K808" s="569" t="str">
        <f t="shared" si="265"/>
        <v/>
      </c>
      <c r="L808" s="569" t="str">
        <f t="shared" si="266"/>
        <v/>
      </c>
      <c r="M808" s="569" t="str">
        <f t="shared" si="267"/>
        <v/>
      </c>
      <c r="N808" s="104"/>
    </row>
    <row r="809" spans="1:14">
      <c r="A809" s="36"/>
      <c r="B809" s="311" t="s">
        <v>30</v>
      </c>
      <c r="C809" s="327" t="s">
        <v>542</v>
      </c>
      <c r="D809" s="311">
        <v>13683651001</v>
      </c>
      <c r="E809" s="553" t="str">
        <f>IFERROR(VLOOKUP(D809,'ВИС-2026'!$E$17:$H$2115,2,0),"")</f>
        <v>Сервопривод РЕХАУ UNI на 230 В NC</v>
      </c>
      <c r="F809" s="292" t="str">
        <f>IFERROR(VLOOKUP(D809,'ВИС-2026'!$E$17:$H$2115,4,0),"")</f>
        <v>шт</v>
      </c>
      <c r="G809" s="428"/>
      <c r="H809" s="554">
        <f>IFERROR(VLOOKUP(D809,'ВИС-2026'!$E$17:$K$2649,7,0),"")</f>
        <v>56.18</v>
      </c>
      <c r="I809" s="554">
        <f t="shared" si="263"/>
        <v>0</v>
      </c>
      <c r="J809" s="554">
        <f t="shared" si="264"/>
        <v>56.18</v>
      </c>
      <c r="K809" s="554">
        <f t="shared" si="265"/>
        <v>0</v>
      </c>
      <c r="L809" s="554">
        <f t="shared" si="266"/>
        <v>0</v>
      </c>
      <c r="M809" s="554">
        <f t="shared" si="267"/>
        <v>0</v>
      </c>
      <c r="N809" s="104"/>
    </row>
    <row r="810" spans="1:14" s="74" customFormat="1">
      <c r="A810" s="36"/>
      <c r="B810" s="311" t="s">
        <v>30</v>
      </c>
      <c r="C810" s="327" t="s">
        <v>542</v>
      </c>
      <c r="D810" s="311">
        <v>13683661001</v>
      </c>
      <c r="E810" s="553" t="str">
        <f>IFERROR(VLOOKUP(D810,'ВИС-2026'!$E$17:$H$2115,2,0),"")</f>
        <v>Сервопривод РЕХАУ UNI на 24 В NC</v>
      </c>
      <c r="F810" s="292" t="str">
        <f>IFERROR(VLOOKUP(D810,'ВИС-2026'!$E$17:$H$2115,4,0),"")</f>
        <v>шт</v>
      </c>
      <c r="G810" s="428"/>
      <c r="H810" s="554">
        <f>IFERROR(VLOOKUP(D810,'ВИС-2026'!$E$17:$K$2649,7,0),"")</f>
        <v>56.18</v>
      </c>
      <c r="I810" s="554">
        <f t="shared" si="263"/>
        <v>0</v>
      </c>
      <c r="J810" s="554">
        <f t="shared" si="264"/>
        <v>56.18</v>
      </c>
      <c r="K810" s="554">
        <f t="shared" si="265"/>
        <v>0</v>
      </c>
      <c r="L810" s="554">
        <f t="shared" si="266"/>
        <v>0</v>
      </c>
      <c r="M810" s="554">
        <f t="shared" si="267"/>
        <v>0</v>
      </c>
      <c r="N810" s="104"/>
    </row>
    <row r="811" spans="1:14">
      <c r="A811" s="36"/>
      <c r="B811" s="311" t="s">
        <v>30</v>
      </c>
      <c r="C811" s="327" t="s">
        <v>542</v>
      </c>
      <c r="D811" s="311">
        <v>13683671001</v>
      </c>
      <c r="E811" s="553" t="str">
        <f>IFERROR(VLOOKUP(D811,'ВИС-2026'!$E$17:$H$2115,2,0),"")</f>
        <v>Сервопривод РЕХАУ UNI на 230 В NO</v>
      </c>
      <c r="F811" s="292" t="str">
        <f>IFERROR(VLOOKUP(D811,'ВИС-2026'!$E$17:$H$2115,4,0),"")</f>
        <v>шт</v>
      </c>
      <c r="G811" s="428"/>
      <c r="H811" s="554">
        <f>IFERROR(VLOOKUP(D811,'ВИС-2026'!$E$17:$K$2649,7,0),"")</f>
        <v>56.18</v>
      </c>
      <c r="I811" s="554">
        <f t="shared" si="263"/>
        <v>0</v>
      </c>
      <c r="J811" s="554">
        <f t="shared" si="264"/>
        <v>56.18</v>
      </c>
      <c r="K811" s="554">
        <f t="shared" si="265"/>
        <v>0</v>
      </c>
      <c r="L811" s="554">
        <f t="shared" si="266"/>
        <v>0</v>
      </c>
      <c r="M811" s="554">
        <f t="shared" si="267"/>
        <v>0</v>
      </c>
      <c r="N811" s="104"/>
    </row>
    <row r="812" spans="1:14">
      <c r="A812" s="36"/>
      <c r="B812" s="311" t="s">
        <v>30</v>
      </c>
      <c r="C812" s="327" t="s">
        <v>542</v>
      </c>
      <c r="D812" s="311">
        <v>13683681001</v>
      </c>
      <c r="E812" s="553" t="str">
        <f>IFERROR(VLOOKUP(D812,'ВИС-2026'!$E$17:$H$2115,2,0),"")</f>
        <v>Сервопривод РЕХАУ UNI на 24 В NO</v>
      </c>
      <c r="F812" s="292" t="str">
        <f>IFERROR(VLOOKUP(D812,'ВИС-2026'!$E$17:$H$2115,4,0),"")</f>
        <v>шт</v>
      </c>
      <c r="G812" s="428"/>
      <c r="H812" s="554">
        <f>IFERROR(VLOOKUP(D812,'ВИС-2026'!$E$17:$K$2649,7,0),"")</f>
        <v>56.18</v>
      </c>
      <c r="I812" s="554">
        <f t="shared" si="263"/>
        <v>0</v>
      </c>
      <c r="J812" s="554">
        <f t="shared" si="264"/>
        <v>56.18</v>
      </c>
      <c r="K812" s="554">
        <f t="shared" si="265"/>
        <v>0</v>
      </c>
      <c r="L812" s="554">
        <f t="shared" si="266"/>
        <v>0</v>
      </c>
      <c r="M812" s="554">
        <f t="shared" si="267"/>
        <v>0</v>
      </c>
      <c r="N812" s="104"/>
    </row>
    <row r="813" spans="1:14">
      <c r="A813" s="36"/>
      <c r="B813" s="402"/>
      <c r="C813" s="367"/>
      <c r="D813" s="217"/>
      <c r="E813" s="295"/>
      <c r="F813" s="331"/>
      <c r="G813" s="428"/>
      <c r="H813" s="245" t="str">
        <f>IFERROR(VLOOKUP(D813,'ВИС-2026'!$E$17:$K$2649,8,0),"")</f>
        <v/>
      </c>
      <c r="I813" s="245" t="str">
        <f t="shared" si="263"/>
        <v/>
      </c>
      <c r="J813" s="245" t="str">
        <f t="shared" si="264"/>
        <v/>
      </c>
      <c r="K813" s="245" t="str">
        <f t="shared" si="265"/>
        <v/>
      </c>
      <c r="L813" s="245" t="str">
        <f t="shared" si="266"/>
        <v/>
      </c>
      <c r="M813" s="245" t="str">
        <f t="shared" si="267"/>
        <v/>
      </c>
      <c r="N813" s="104"/>
    </row>
    <row r="814" spans="1:14" ht="30.6">
      <c r="A814" s="148" t="s">
        <v>25</v>
      </c>
      <c r="B814" s="208" t="s">
        <v>26</v>
      </c>
      <c r="C814" s="351" t="s">
        <v>542</v>
      </c>
      <c r="D814" s="188">
        <v>12492871001</v>
      </c>
      <c r="E814" s="553" t="str">
        <f>IFERROR(VLOOKUP(D814,'ВИС-2026'!$E$17:$H$2115,2,0),"")</f>
        <v>Датчик точки росы TPW</v>
      </c>
      <c r="F814" s="292" t="str">
        <f>IFERROR(VLOOKUP(D814,'ВИС-2026'!$E$17:$H$2115,4,0),"")</f>
        <v>шт</v>
      </c>
      <c r="G814" s="428"/>
      <c r="H814" s="554">
        <f>IFERROR(VLOOKUP(D814,'ВИС-2026'!$E$17:$K$2649,7,0),"")</f>
        <v>229.34</v>
      </c>
      <c r="I814" s="554">
        <f t="shared" ref="I814:I817" si="268">IFERROR(H814*G814,"")</f>
        <v>0</v>
      </c>
      <c r="J814" s="554">
        <f t="shared" ref="J814:J817" si="269">IFERROR((IF(H814="","",H814-H814*$D$7)),"")</f>
        <v>229.34</v>
      </c>
      <c r="K814" s="554">
        <f t="shared" ref="K814:K817" si="270">IFERROR(J814*G814, "")</f>
        <v>0</v>
      </c>
      <c r="L814" s="554">
        <f t="shared" ref="L814:L817" si="271">IFERROR(J814*$D$8, "")</f>
        <v>0</v>
      </c>
      <c r="M814" s="554">
        <f t="shared" ref="M814:M817" si="272">IFERROR(L814*G814, "")</f>
        <v>0</v>
      </c>
      <c r="N814" s="104"/>
    </row>
    <row r="815" spans="1:14">
      <c r="A815" s="36"/>
      <c r="B815" s="296"/>
      <c r="C815" s="355"/>
      <c r="D815" s="188"/>
      <c r="E815" s="258"/>
      <c r="F815" s="248" t="s">
        <v>65</v>
      </c>
      <c r="G815" s="428"/>
      <c r="H815" s="554" t="str">
        <f>IFERROR(VLOOKUP(D815,'ВИС-2026'!$E$17:$K$2649,8,0),"")</f>
        <v/>
      </c>
      <c r="I815" s="554" t="str">
        <f t="shared" si="268"/>
        <v/>
      </c>
      <c r="J815" s="554" t="str">
        <f t="shared" si="269"/>
        <v/>
      </c>
      <c r="K815" s="554" t="str">
        <f t="shared" si="270"/>
        <v/>
      </c>
      <c r="L815" s="554" t="str">
        <f t="shared" si="271"/>
        <v/>
      </c>
      <c r="M815" s="554" t="str">
        <f t="shared" si="272"/>
        <v/>
      </c>
      <c r="N815" s="104"/>
    </row>
    <row r="816" spans="1:14">
      <c r="A816" s="36"/>
      <c r="B816" s="343"/>
      <c r="C816" s="344" t="s">
        <v>542</v>
      </c>
      <c r="D816" s="346"/>
      <c r="E816" s="347" t="s">
        <v>670</v>
      </c>
      <c r="F816" s="301"/>
      <c r="G816" s="556"/>
      <c r="H816" s="557" t="str">
        <f>IFERROR(VLOOKUP(D816,'ВИС-2026'!$E$17:$K$2649,8,0),"")</f>
        <v/>
      </c>
      <c r="I816" s="557" t="str">
        <f t="shared" si="268"/>
        <v/>
      </c>
      <c r="J816" s="557" t="str">
        <f t="shared" si="269"/>
        <v/>
      </c>
      <c r="K816" s="557" t="str">
        <f t="shared" si="270"/>
        <v/>
      </c>
      <c r="L816" s="557" t="str">
        <f t="shared" si="271"/>
        <v/>
      </c>
      <c r="M816" s="557" t="str">
        <f t="shared" si="272"/>
        <v/>
      </c>
      <c r="N816" s="104"/>
    </row>
    <row r="817" spans="1:14">
      <c r="A817" s="36"/>
      <c r="B817" s="360" t="s">
        <v>30</v>
      </c>
      <c r="C817" s="327" t="s">
        <v>542</v>
      </c>
      <c r="D817" s="328">
        <v>13185453001</v>
      </c>
      <c r="E817" s="553" t="str">
        <f>IFERROR(VLOOKUP(D817,'ВИС-2026'!$E$17:$H$2115,2,0),"")</f>
        <v>Узел смешения РЕХАУ</v>
      </c>
      <c r="F817" s="292" t="str">
        <f>IFERROR(VLOOKUP(D817,'ВИС-2026'!$E$17:$H$2115,4,0),"")</f>
        <v>шт</v>
      </c>
      <c r="G817" s="428"/>
      <c r="H817" s="554">
        <f>IFERROR(VLOOKUP(D817,'ВИС-2026'!$E$17:$K$2649,7,0),"")</f>
        <v>609.33000000000004</v>
      </c>
      <c r="I817" s="554">
        <f t="shared" si="268"/>
        <v>0</v>
      </c>
      <c r="J817" s="554">
        <f t="shared" si="269"/>
        <v>609.33000000000004</v>
      </c>
      <c r="K817" s="554">
        <f t="shared" si="270"/>
        <v>0</v>
      </c>
      <c r="L817" s="554">
        <f t="shared" si="271"/>
        <v>0</v>
      </c>
      <c r="M817" s="554">
        <f t="shared" si="272"/>
        <v>0</v>
      </c>
      <c r="N817" s="104"/>
    </row>
    <row r="818" spans="1:14" s="73" customFormat="1">
      <c r="A818" s="36"/>
      <c r="B818" s="293"/>
      <c r="C818" s="367"/>
      <c r="D818" s="406"/>
      <c r="E818" s="407"/>
      <c r="F818" s="248" t="s">
        <v>65</v>
      </c>
      <c r="G818" s="428"/>
      <c r="H818" s="554" t="str">
        <f>IFERROR(VLOOKUP(D818,'ВИС-2026'!$E$17:$K$2649,8,0),"")</f>
        <v/>
      </c>
      <c r="I818" s="554" t="str">
        <f t="shared" si="263"/>
        <v/>
      </c>
      <c r="J818" s="554" t="str">
        <f t="shared" si="264"/>
        <v/>
      </c>
      <c r="K818" s="554" t="str">
        <f t="shared" si="265"/>
        <v/>
      </c>
      <c r="L818" s="554" t="str">
        <f t="shared" si="266"/>
        <v/>
      </c>
      <c r="M818" s="554" t="str">
        <f t="shared" si="267"/>
        <v/>
      </c>
      <c r="N818" s="104"/>
    </row>
    <row r="819" spans="1:14" s="73" customFormat="1" ht="26.45">
      <c r="A819" s="36"/>
      <c r="B819" s="343"/>
      <c r="C819" s="344" t="s">
        <v>542</v>
      </c>
      <c r="D819" s="346"/>
      <c r="E819" s="347" t="s">
        <v>1725</v>
      </c>
      <c r="F819" s="557"/>
      <c r="G819" s="556"/>
      <c r="H819" s="557" t="str">
        <f>IFERROR(VLOOKUP(D819,'ВИС-2026'!$E$17:$K$2649,8,0),"")</f>
        <v/>
      </c>
      <c r="I819" s="557" t="str">
        <f t="shared" ref="I819:I821" si="273">IFERROR(H819*G819,"")</f>
        <v/>
      </c>
      <c r="J819" s="557" t="str">
        <f t="shared" ref="J819:J821" si="274">IFERROR((IF(H819="","",H819-H819*$D$7)),"")</f>
        <v/>
      </c>
      <c r="K819" s="557" t="str">
        <f t="shared" ref="K819:K821" si="275">IFERROR(J819*G819, "")</f>
        <v/>
      </c>
      <c r="L819" s="557" t="str">
        <f t="shared" ref="L819:L821" si="276">IFERROR(J819*$D$8, "")</f>
        <v/>
      </c>
      <c r="M819" s="557" t="str">
        <f t="shared" ref="M819:M821" si="277">IFERROR(L819*G819, "")</f>
        <v/>
      </c>
      <c r="N819" s="104"/>
    </row>
    <row r="820" spans="1:14" s="73" customFormat="1">
      <c r="A820" s="36"/>
      <c r="B820" s="343"/>
      <c r="C820" s="344" t="s">
        <v>542</v>
      </c>
      <c r="D820" s="346"/>
      <c r="E820" s="347" t="s">
        <v>676</v>
      </c>
      <c r="F820" s="557"/>
      <c r="G820" s="556"/>
      <c r="H820" s="557" t="str">
        <f>IFERROR(VLOOKUP(D820,'ВИС-2026'!$E$17:$K$2649,8,0),"")</f>
        <v/>
      </c>
      <c r="I820" s="557" t="str">
        <f t="shared" si="273"/>
        <v/>
      </c>
      <c r="J820" s="557" t="str">
        <f t="shared" si="274"/>
        <v/>
      </c>
      <c r="K820" s="557" t="str">
        <f t="shared" si="275"/>
        <v/>
      </c>
      <c r="L820" s="557" t="str">
        <f t="shared" si="276"/>
        <v/>
      </c>
      <c r="M820" s="557" t="str">
        <f t="shared" si="277"/>
        <v/>
      </c>
      <c r="N820" s="104"/>
    </row>
    <row r="821" spans="1:14" s="73" customFormat="1">
      <c r="A821" s="36"/>
      <c r="B821" s="343"/>
      <c r="C821" s="344" t="s">
        <v>542</v>
      </c>
      <c r="D821" s="346"/>
      <c r="E821" s="347" t="s">
        <v>677</v>
      </c>
      <c r="F821" s="557"/>
      <c r="G821" s="556"/>
      <c r="H821" s="557" t="str">
        <f>IFERROR(VLOOKUP(D821,'ВИС-2026'!$E$17:$K$2649,8,0),"")</f>
        <v/>
      </c>
      <c r="I821" s="557" t="str">
        <f t="shared" si="273"/>
        <v/>
      </c>
      <c r="J821" s="557" t="str">
        <f t="shared" si="274"/>
        <v/>
      </c>
      <c r="K821" s="557" t="str">
        <f t="shared" si="275"/>
        <v/>
      </c>
      <c r="L821" s="557" t="str">
        <f t="shared" si="276"/>
        <v/>
      </c>
      <c r="M821" s="557" t="str">
        <f t="shared" si="277"/>
        <v/>
      </c>
      <c r="N821" s="104"/>
    </row>
    <row r="822" spans="1:14" s="73" customFormat="1">
      <c r="A822" s="152"/>
      <c r="B822" s="296" t="s">
        <v>397</v>
      </c>
      <c r="C822" s="351" t="s">
        <v>542</v>
      </c>
      <c r="D822" s="188">
        <v>12468991001</v>
      </c>
      <c r="E822" s="553" t="str">
        <f>IFERROR(VLOOKUP(D822,'ВИС-2026'!$E$17:$H$2115,2,0),"")</f>
        <v>Проволочн. обвязка для соед. сетки (цена за 1 упаковку- за 100 шт.)</v>
      </c>
      <c r="F822" s="292" t="str">
        <f>IFERROR(VLOOKUP(D822,'ВИС-2026'!$E$17:$H$2115,4,0),"")</f>
        <v>шт</v>
      </c>
      <c r="G822" s="428"/>
      <c r="H822" s="554">
        <f>IFERROR(VLOOKUP(D822,'ВИС-2026'!$E$17:$K$2649,7,0),"")</f>
        <v>4.88</v>
      </c>
      <c r="I822" s="554">
        <f t="shared" ref="I822:I829" si="278">IFERROR(H822*G822,"")</f>
        <v>0</v>
      </c>
      <c r="J822" s="554">
        <f t="shared" ref="J822:J829" si="279">IFERROR((IF(H822="","",H822-H822*$D$7)),"")</f>
        <v>4.88</v>
      </c>
      <c r="K822" s="554">
        <f t="shared" ref="K822:K829" si="280">IFERROR(J822*G822, "")</f>
        <v>0</v>
      </c>
      <c r="L822" s="554">
        <f t="shared" ref="L822:L829" si="281">IFERROR(J822*$D$8, "")</f>
        <v>0</v>
      </c>
      <c r="M822" s="554">
        <f t="shared" ref="M822:M829" si="282">IFERROR(L822*G822, "")</f>
        <v>0</v>
      </c>
      <c r="N822" s="104"/>
    </row>
    <row r="823" spans="1:14">
      <c r="A823" s="36"/>
      <c r="B823" s="385"/>
      <c r="C823" s="351"/>
      <c r="D823" s="188"/>
      <c r="E823" s="376"/>
      <c r="F823" s="294"/>
      <c r="G823" s="428"/>
      <c r="H823" s="403" t="str">
        <f>IFERROR(VLOOKUP(D823,'ВИС-2026'!$E$17:$K$2649,8,0),"")</f>
        <v/>
      </c>
      <c r="I823" s="403" t="str">
        <f t="shared" si="278"/>
        <v/>
      </c>
      <c r="J823" s="403" t="str">
        <f t="shared" si="279"/>
        <v/>
      </c>
      <c r="K823" s="403" t="str">
        <f t="shared" si="280"/>
        <v/>
      </c>
      <c r="L823" s="403" t="str">
        <f t="shared" si="281"/>
        <v/>
      </c>
      <c r="M823" s="403" t="str">
        <f t="shared" si="282"/>
        <v/>
      </c>
      <c r="N823" s="104"/>
    </row>
    <row r="824" spans="1:14" s="73" customFormat="1">
      <c r="A824" s="36"/>
      <c r="B824" s="343"/>
      <c r="C824" s="344" t="s">
        <v>542</v>
      </c>
      <c r="D824" s="346"/>
      <c r="E824" s="347" t="s">
        <v>679</v>
      </c>
      <c r="F824" s="301"/>
      <c r="G824" s="556"/>
      <c r="H824" s="557" t="str">
        <f>IFERROR(VLOOKUP(D824,'ВИС-2026'!$E$17:$K$2649,8,0),"")</f>
        <v/>
      </c>
      <c r="I824" s="557" t="str">
        <f t="shared" ref="I824:I825" si="283">IFERROR(H824*G824,"")</f>
        <v/>
      </c>
      <c r="J824" s="557" t="str">
        <f t="shared" ref="J824:J825" si="284">IFERROR((IF(H824="","",H824-H824*$D$7)),"")</f>
        <v/>
      </c>
      <c r="K824" s="557" t="str">
        <f t="shared" ref="K824:K825" si="285">IFERROR(J824*G824, "")</f>
        <v/>
      </c>
      <c r="L824" s="557" t="str">
        <f t="shared" ref="L824:L825" si="286">IFERROR(J824*$D$8, "")</f>
        <v/>
      </c>
      <c r="M824" s="557" t="str">
        <f t="shared" ref="M824:M825" si="287">IFERROR(L824*G824, "")</f>
        <v/>
      </c>
      <c r="N824" s="104"/>
    </row>
    <row r="825" spans="1:14" s="73" customFormat="1">
      <c r="A825" s="36"/>
      <c r="B825" s="343"/>
      <c r="C825" s="344" t="s">
        <v>542</v>
      </c>
      <c r="D825" s="346"/>
      <c r="E825" s="347" t="s">
        <v>1726</v>
      </c>
      <c r="F825" s="301"/>
      <c r="G825" s="556"/>
      <c r="H825" s="557" t="str">
        <f>IFERROR(VLOOKUP(D825,'ВИС-2026'!$E$17:$K$2649,8,0),"")</f>
        <v/>
      </c>
      <c r="I825" s="557" t="str">
        <f t="shared" si="283"/>
        <v/>
      </c>
      <c r="J825" s="557" t="str">
        <f t="shared" si="284"/>
        <v/>
      </c>
      <c r="K825" s="557" t="str">
        <f t="shared" si="285"/>
        <v/>
      </c>
      <c r="L825" s="557" t="str">
        <f t="shared" si="286"/>
        <v/>
      </c>
      <c r="M825" s="557" t="str">
        <f t="shared" si="287"/>
        <v/>
      </c>
      <c r="N825" s="104"/>
    </row>
    <row r="826" spans="1:14">
      <c r="A826" s="36"/>
      <c r="B826" s="343"/>
      <c r="C826" s="344" t="s">
        <v>542</v>
      </c>
      <c r="D826" s="346"/>
      <c r="E826" s="347" t="s">
        <v>1727</v>
      </c>
      <c r="F826" s="573"/>
      <c r="G826" s="556"/>
      <c r="H826" s="574" t="str">
        <f>IFERROR(VLOOKUP(D826,'ВИС-2026'!$E$17:$K$2649,8,0),"")</f>
        <v/>
      </c>
      <c r="I826" s="574"/>
      <c r="J826" s="574"/>
      <c r="K826" s="574"/>
      <c r="L826" s="574"/>
      <c r="M826" s="574"/>
      <c r="N826" s="104"/>
    </row>
    <row r="827" spans="1:14" s="74" customFormat="1">
      <c r="A827" s="36"/>
      <c r="B827" s="343"/>
      <c r="C827" s="344" t="s">
        <v>542</v>
      </c>
      <c r="D827" s="346"/>
      <c r="E827" s="347" t="s">
        <v>680</v>
      </c>
      <c r="F827" s="571"/>
      <c r="G827" s="556"/>
      <c r="H827" s="563" t="str">
        <f>IFERROR(VLOOKUP(D827,'ВИС-2026'!$E$17:$K$2649,8,0),"")</f>
        <v/>
      </c>
      <c r="I827" s="563" t="str">
        <f t="shared" si="278"/>
        <v/>
      </c>
      <c r="J827" s="563" t="str">
        <f t="shared" si="279"/>
        <v/>
      </c>
      <c r="K827" s="563" t="str">
        <f t="shared" si="280"/>
        <v/>
      </c>
      <c r="L827" s="563" t="str">
        <f t="shared" si="281"/>
        <v/>
      </c>
      <c r="M827" s="563" t="str">
        <f t="shared" si="282"/>
        <v/>
      </c>
      <c r="N827" s="104"/>
    </row>
    <row r="828" spans="1:14">
      <c r="A828" s="36"/>
      <c r="B828" s="296" t="s">
        <v>30</v>
      </c>
      <c r="C828" s="327" t="s">
        <v>542</v>
      </c>
      <c r="D828" s="311">
        <v>12393433001</v>
      </c>
      <c r="E828" s="553" t="str">
        <f>IFERROR(VLOOKUP(D828,'ВИС-2026'!$E$17:$H$2115,2,0),"")</f>
        <v>Фиксатор поворота РЕХАУ пластмас. на 90° для трубы 20</v>
      </c>
      <c r="F828" s="292" t="str">
        <f>IFERROR(VLOOKUP(D828,'ВИС-2026'!$E$17:$H$2115,4,0),"")</f>
        <v>шт</v>
      </c>
      <c r="G828" s="428"/>
      <c r="H828" s="554">
        <f>IFERROR(VLOOKUP(D828,'ВИС-2026'!$E$17:$K$2649,7,0),"")</f>
        <v>2.72</v>
      </c>
      <c r="I828" s="554">
        <f t="shared" si="278"/>
        <v>0</v>
      </c>
      <c r="J828" s="554">
        <f t="shared" si="279"/>
        <v>2.72</v>
      </c>
      <c r="K828" s="554">
        <f t="shared" si="280"/>
        <v>0</v>
      </c>
      <c r="L828" s="554">
        <f t="shared" si="281"/>
        <v>0</v>
      </c>
      <c r="M828" s="554">
        <f t="shared" si="282"/>
        <v>0</v>
      </c>
      <c r="N828" s="104"/>
    </row>
    <row r="829" spans="1:14">
      <c r="A829" s="36"/>
      <c r="B829" s="296" t="s">
        <v>30</v>
      </c>
      <c r="C829" s="327" t="s">
        <v>542</v>
      </c>
      <c r="D829" s="311">
        <v>12391933001</v>
      </c>
      <c r="E829" s="553" t="str">
        <f>IFERROR(VLOOKUP(D829,'ВИС-2026'!$E$17:$H$2115,2,0),"")</f>
        <v>Фиксатор поворота РЕХАУ пластмас. на 90° для трубы 25</v>
      </c>
      <c r="F829" s="292" t="str">
        <f>IFERROR(VLOOKUP(D829,'ВИС-2026'!$E$17:$H$2115,4,0),"")</f>
        <v>шт</v>
      </c>
      <c r="G829" s="428"/>
      <c r="H829" s="554">
        <f>IFERROR(VLOOKUP(D829,'ВИС-2026'!$E$17:$K$2649,7,0),"")</f>
        <v>4.5999999999999996</v>
      </c>
      <c r="I829" s="554">
        <f t="shared" si="278"/>
        <v>0</v>
      </c>
      <c r="J829" s="554">
        <f t="shared" si="279"/>
        <v>4.5999999999999996</v>
      </c>
      <c r="K829" s="554">
        <f t="shared" si="280"/>
        <v>0</v>
      </c>
      <c r="L829" s="554">
        <f t="shared" si="281"/>
        <v>0</v>
      </c>
      <c r="M829" s="554">
        <f t="shared" si="282"/>
        <v>0</v>
      </c>
      <c r="N829" s="104"/>
    </row>
    <row r="830" spans="1:14">
      <c r="A830" s="36"/>
      <c r="B830" s="296"/>
      <c r="C830" s="355"/>
      <c r="D830" s="188"/>
      <c r="E830" s="129"/>
      <c r="F830" s="212" t="s">
        <v>65</v>
      </c>
      <c r="G830" s="428"/>
      <c r="H830" s="212" t="str">
        <f>IFERROR(VLOOKUP(D830,'ВИС-2026'!$E$17:$K$2649,8,0),"")</f>
        <v/>
      </c>
      <c r="I830" s="212" t="str">
        <f>IFERROR(H830*G830,"")</f>
        <v/>
      </c>
      <c r="J830" s="212" t="str">
        <f>IFERROR((IF(H830="","",H830-H830*$D$7)),"")</f>
        <v/>
      </c>
      <c r="K830" s="212" t="str">
        <f>IFERROR(J830*G830, "")</f>
        <v/>
      </c>
      <c r="L830" s="212" t="str">
        <f>IFERROR(J830*$D$8, "")</f>
        <v/>
      </c>
      <c r="M830" s="212" t="str">
        <f>IFERROR(L830*G830, "")</f>
        <v/>
      </c>
      <c r="N830" s="104"/>
    </row>
    <row r="831" spans="1:14">
      <c r="A831" s="36"/>
      <c r="B831" s="352" t="s">
        <v>30</v>
      </c>
      <c r="C831" s="327" t="s">
        <v>542</v>
      </c>
      <c r="D831" s="311">
        <v>12442483002</v>
      </c>
      <c r="E831" s="553" t="str">
        <f>IFERROR(VLOOKUP(D831,'ВИС-2026'!$E$17:$H$2115,2,0),"")</f>
        <v>Фиксирующая шина РЕХАУ 16/17/20 мм</v>
      </c>
      <c r="F831" s="292" t="str">
        <f>IFERROR(VLOOKUP(D831,'ВИС-2026'!$E$17:$H$2115,4,0),"")</f>
        <v>м</v>
      </c>
      <c r="G831" s="428"/>
      <c r="H831" s="554">
        <f>IFERROR(VLOOKUP(D831,'ВИС-2026'!$E$17:$K$2649,7,0),"")</f>
        <v>2.09</v>
      </c>
      <c r="I831" s="554">
        <f t="shared" ref="I831" si="288">IFERROR(H831*G831,"")</f>
        <v>0</v>
      </c>
      <c r="J831" s="554">
        <f t="shared" ref="J831" si="289">IFERROR((IF(H831="","",H831-H831*$D$7)),"")</f>
        <v>2.09</v>
      </c>
      <c r="K831" s="554">
        <f t="shared" ref="K831" si="290">IFERROR(J831*G831, "")</f>
        <v>0</v>
      </c>
      <c r="L831" s="554">
        <f t="shared" ref="L831" si="291">IFERROR(J831*$D$8, "")</f>
        <v>0</v>
      </c>
      <c r="M831" s="554">
        <f t="shared" ref="M831" si="292">IFERROR(L831*G831, "")</f>
        <v>0</v>
      </c>
      <c r="N831" s="104"/>
    </row>
    <row r="832" spans="1:14" s="74" customFormat="1">
      <c r="A832" s="36"/>
      <c r="B832" s="352"/>
      <c r="C832" s="327"/>
      <c r="D832" s="311"/>
      <c r="E832" s="354"/>
      <c r="F832" s="358" t="s">
        <v>65</v>
      </c>
      <c r="G832" s="428"/>
      <c r="H832" s="559" t="str">
        <f>IFERROR(VLOOKUP(D832,'ВИС-2026'!$E$17:$K$2649,8,0),"")</f>
        <v/>
      </c>
      <c r="I832" s="559" t="str">
        <f t="shared" ref="I832:I848" si="293">IFERROR(H832*G832,"")</f>
        <v/>
      </c>
      <c r="J832" s="559" t="str">
        <f t="shared" ref="J832:J848" si="294">IFERROR((IF(H832="","",H832-H832*$D$7)),"")</f>
        <v/>
      </c>
      <c r="K832" s="559" t="str">
        <f t="shared" ref="K832:K848" si="295">IFERROR(J832*G832, "")</f>
        <v/>
      </c>
      <c r="L832" s="559" t="str">
        <f t="shared" ref="L832:L848" si="296">IFERROR(J832*$D$8, "")</f>
        <v/>
      </c>
      <c r="M832" s="559" t="str">
        <f t="shared" ref="M832:M848" si="297">IFERROR(L832*G832, "")</f>
        <v/>
      </c>
      <c r="N832" s="104"/>
    </row>
    <row r="833" spans="1:14" s="74" customFormat="1">
      <c r="A833" s="36"/>
      <c r="B833" s="352" t="s">
        <v>30</v>
      </c>
      <c r="C833" s="327" t="s">
        <v>542</v>
      </c>
      <c r="D833" s="311">
        <v>11098211001</v>
      </c>
      <c r="E833" s="553" t="str">
        <f>IFERROR(VLOOKUP(D833,'ВИС-2026'!$E$17:$H$2115,2,0),"")</f>
        <v>Фиксирующая шина Railfix РЕХАУ для трубы 25 х 2,3</v>
      </c>
      <c r="F833" s="292" t="str">
        <f>IFERROR(VLOOKUP(D833,'ВИС-2026'!$E$17:$H$2115,4,0),"")</f>
        <v>м</v>
      </c>
      <c r="G833" s="428"/>
      <c r="H833" s="554">
        <f>IFERROR(VLOOKUP(D833,'ВИС-2026'!$E$17:$K$2649,7,0),"")</f>
        <v>4.88</v>
      </c>
      <c r="I833" s="554">
        <f t="shared" si="293"/>
        <v>0</v>
      </c>
      <c r="J833" s="554">
        <f t="shared" si="294"/>
        <v>4.88</v>
      </c>
      <c r="K833" s="554">
        <f t="shared" si="295"/>
        <v>0</v>
      </c>
      <c r="L833" s="554">
        <f t="shared" si="296"/>
        <v>0</v>
      </c>
      <c r="M833" s="554">
        <f t="shared" si="297"/>
        <v>0</v>
      </c>
      <c r="N833" s="104"/>
    </row>
    <row r="834" spans="1:14" ht="30.6">
      <c r="A834" s="148" t="s">
        <v>25</v>
      </c>
      <c r="B834" s="208" t="s">
        <v>26</v>
      </c>
      <c r="C834" s="351" t="s">
        <v>542</v>
      </c>
      <c r="D834" s="188">
        <v>12591971002</v>
      </c>
      <c r="E834" s="553" t="str">
        <f>IFERROR(VLOOKUP(D834,'ВИС-2026'!$E$17:$H$2115,2,0),"")</f>
        <v xml:space="preserve">Надвижная гильза 25x2,3 </v>
      </c>
      <c r="F834" s="292" t="str">
        <f>IFERROR(VLOOKUP(D834,'ВИС-2026'!$E$17:$H$2115,4,0),"")</f>
        <v>шт</v>
      </c>
      <c r="G834" s="428"/>
      <c r="H834" s="554">
        <f>IFERROR(VLOOKUP(D834,'ВИС-2026'!$E$17:$K$2649,7,0),"")</f>
        <v>1.39</v>
      </c>
      <c r="I834" s="554">
        <f t="shared" si="293"/>
        <v>0</v>
      </c>
      <c r="J834" s="554">
        <f t="shared" si="294"/>
        <v>1.39</v>
      </c>
      <c r="K834" s="554">
        <f t="shared" si="295"/>
        <v>0</v>
      </c>
      <c r="L834" s="554">
        <f t="shared" si="296"/>
        <v>0</v>
      </c>
      <c r="M834" s="554">
        <f t="shared" si="297"/>
        <v>0</v>
      </c>
      <c r="N834" s="104"/>
    </row>
    <row r="835" spans="1:14" s="73" customFormat="1">
      <c r="A835" s="36"/>
      <c r="B835" s="296"/>
      <c r="C835" s="351"/>
      <c r="D835" s="188"/>
      <c r="E835" s="376"/>
      <c r="F835" s="248" t="s">
        <v>65</v>
      </c>
      <c r="G835" s="428"/>
      <c r="H835" s="554" t="str">
        <f>IFERROR(VLOOKUP(D835,'ВИС-2026'!$E$17:$K$2649,8,0),"")</f>
        <v/>
      </c>
      <c r="I835" s="554" t="str">
        <f t="shared" si="293"/>
        <v/>
      </c>
      <c r="J835" s="554" t="str">
        <f t="shared" si="294"/>
        <v/>
      </c>
      <c r="K835" s="554" t="str">
        <f t="shared" si="295"/>
        <v/>
      </c>
      <c r="L835" s="554" t="str">
        <f t="shared" si="296"/>
        <v/>
      </c>
      <c r="M835" s="554" t="str">
        <f t="shared" si="297"/>
        <v/>
      </c>
      <c r="N835" s="104"/>
    </row>
    <row r="836" spans="1:14" s="73" customFormat="1">
      <c r="A836" s="36"/>
      <c r="B836" s="343"/>
      <c r="C836" s="344" t="s">
        <v>542</v>
      </c>
      <c r="D836" s="346"/>
      <c r="E836" s="347" t="s">
        <v>682</v>
      </c>
      <c r="F836" s="575"/>
      <c r="G836" s="556"/>
      <c r="H836" s="576" t="str">
        <f>IFERROR(VLOOKUP(D836,'ВИС-2026'!$E$17:$K$2649,8,0),"")</f>
        <v/>
      </c>
      <c r="I836" s="576" t="str">
        <f t="shared" si="293"/>
        <v/>
      </c>
      <c r="J836" s="576" t="str">
        <f t="shared" si="294"/>
        <v/>
      </c>
      <c r="K836" s="576" t="str">
        <f t="shared" si="295"/>
        <v/>
      </c>
      <c r="L836" s="576" t="str">
        <f t="shared" si="296"/>
        <v/>
      </c>
      <c r="M836" s="576" t="str">
        <f t="shared" si="297"/>
        <v/>
      </c>
      <c r="N836" s="104"/>
    </row>
    <row r="837" spans="1:14" s="73" customFormat="1" ht="26.45">
      <c r="A837" s="36"/>
      <c r="B837" s="343"/>
      <c r="C837" s="344" t="s">
        <v>542</v>
      </c>
      <c r="D837" s="346"/>
      <c r="E837" s="347" t="s">
        <v>683</v>
      </c>
      <c r="F837" s="301"/>
      <c r="G837" s="556"/>
      <c r="H837" s="557" t="str">
        <f>IFERROR(VLOOKUP(D837,'ВИС-2026'!$E$17:$K$2649,8,0),"")</f>
        <v/>
      </c>
      <c r="I837" s="557" t="str">
        <f t="shared" si="293"/>
        <v/>
      </c>
      <c r="J837" s="557" t="str">
        <f t="shared" si="294"/>
        <v/>
      </c>
      <c r="K837" s="557" t="str">
        <f t="shared" si="295"/>
        <v/>
      </c>
      <c r="L837" s="557" t="str">
        <f t="shared" si="296"/>
        <v/>
      </c>
      <c r="M837" s="557" t="str">
        <f t="shared" si="297"/>
        <v/>
      </c>
      <c r="N837" s="104"/>
    </row>
    <row r="838" spans="1:14" s="74" customFormat="1" ht="26.45">
      <c r="A838" s="36"/>
      <c r="B838" s="343"/>
      <c r="C838" s="344" t="s">
        <v>542</v>
      </c>
      <c r="D838" s="346"/>
      <c r="E838" s="347" t="s">
        <v>684</v>
      </c>
      <c r="F838" s="577"/>
      <c r="G838" s="556"/>
      <c r="H838" s="578" t="str">
        <f>IFERROR(VLOOKUP(D838,'ВИС-2026'!$E$17:$K$2649,8,0),"")</f>
        <v/>
      </c>
      <c r="I838" s="578" t="str">
        <f t="shared" si="293"/>
        <v/>
      </c>
      <c r="J838" s="578" t="str">
        <f t="shared" si="294"/>
        <v/>
      </c>
      <c r="K838" s="578" t="str">
        <f t="shared" si="295"/>
        <v/>
      </c>
      <c r="L838" s="578" t="str">
        <f t="shared" si="296"/>
        <v/>
      </c>
      <c r="M838" s="578" t="str">
        <f t="shared" si="297"/>
        <v/>
      </c>
      <c r="N838" s="104"/>
    </row>
    <row r="839" spans="1:14" s="74" customFormat="1">
      <c r="A839" s="36"/>
      <c r="B839" s="343"/>
      <c r="C839" s="344" t="s">
        <v>542</v>
      </c>
      <c r="D839" s="346"/>
      <c r="E839" s="347" t="s">
        <v>680</v>
      </c>
      <c r="F839" s="577"/>
      <c r="G839" s="556"/>
      <c r="H839" s="578" t="str">
        <f>IFERROR(VLOOKUP(D839,'ВИС-2026'!$E$17:$K$2649,8,0),"")</f>
        <v/>
      </c>
      <c r="I839" s="578" t="str">
        <f t="shared" si="293"/>
        <v/>
      </c>
      <c r="J839" s="578" t="str">
        <f t="shared" si="294"/>
        <v/>
      </c>
      <c r="K839" s="578" t="str">
        <f t="shared" si="295"/>
        <v/>
      </c>
      <c r="L839" s="578" t="str">
        <f t="shared" si="296"/>
        <v/>
      </c>
      <c r="M839" s="578" t="str">
        <f t="shared" si="297"/>
        <v/>
      </c>
      <c r="N839" s="104"/>
    </row>
    <row r="840" spans="1:14" s="74" customFormat="1">
      <c r="A840" s="36"/>
      <c r="B840" s="352" t="s">
        <v>30</v>
      </c>
      <c r="C840" s="327" t="s">
        <v>542</v>
      </c>
      <c r="D840" s="311">
        <v>12442483002</v>
      </c>
      <c r="E840" s="553" t="str">
        <f>IFERROR(VLOOKUP(D840,'ВИС-2026'!$E$17:$H$2115,2,0),"")</f>
        <v>Фиксирующая шина РЕХАУ 16/17/20 мм</v>
      </c>
      <c r="F840" s="292" t="str">
        <f>IFERROR(VLOOKUP(D840,'ВИС-2026'!$E$17:$H$2115,4,0),"")</f>
        <v>м</v>
      </c>
      <c r="G840" s="428"/>
      <c r="H840" s="554">
        <f>IFERROR(VLOOKUP(D840,'ВИС-2026'!$E$17:$K$2649,7,0),"")</f>
        <v>2.09</v>
      </c>
      <c r="I840" s="554">
        <f t="shared" si="293"/>
        <v>0</v>
      </c>
      <c r="J840" s="554">
        <f t="shared" si="294"/>
        <v>2.09</v>
      </c>
      <c r="K840" s="554">
        <f t="shared" si="295"/>
        <v>0</v>
      </c>
      <c r="L840" s="554">
        <f t="shared" si="296"/>
        <v>0</v>
      </c>
      <c r="M840" s="554">
        <f t="shared" si="297"/>
        <v>0</v>
      </c>
      <c r="N840" s="104"/>
    </row>
    <row r="841" spans="1:14" s="74" customFormat="1">
      <c r="A841" s="36"/>
      <c r="B841" s="352"/>
      <c r="C841" s="327"/>
      <c r="D841" s="311"/>
      <c r="E841" s="354"/>
      <c r="F841" s="358" t="s">
        <v>65</v>
      </c>
      <c r="G841" s="428"/>
      <c r="H841" s="559" t="str">
        <f>IFERROR(VLOOKUP(D841,'ВИС-2026'!$E$17:$K$2649,8,0),"")</f>
        <v/>
      </c>
      <c r="I841" s="559" t="str">
        <f t="shared" si="293"/>
        <v/>
      </c>
      <c r="J841" s="559" t="str">
        <f t="shared" si="294"/>
        <v/>
      </c>
      <c r="K841" s="559" t="str">
        <f t="shared" si="295"/>
        <v/>
      </c>
      <c r="L841" s="559" t="str">
        <f t="shared" si="296"/>
        <v/>
      </c>
      <c r="M841" s="559" t="str">
        <f t="shared" si="297"/>
        <v/>
      </c>
      <c r="N841" s="104"/>
    </row>
    <row r="842" spans="1:14">
      <c r="A842" s="36"/>
      <c r="B842" s="352" t="s">
        <v>30</v>
      </c>
      <c r="C842" s="327" t="s">
        <v>542</v>
      </c>
      <c r="D842" s="311">
        <v>11098211001</v>
      </c>
      <c r="E842" s="553" t="str">
        <f>IFERROR(VLOOKUP(D842,'ВИС-2026'!$E$17:$H$2115,2,0),"")</f>
        <v>Фиксирующая шина Railfix РЕХАУ для трубы 25 х 2,3</v>
      </c>
      <c r="F842" s="292" t="str">
        <f>IFERROR(VLOOKUP(D842,'ВИС-2026'!$E$17:$H$2115,4,0),"")</f>
        <v>м</v>
      </c>
      <c r="G842" s="428"/>
      <c r="H842" s="554">
        <f>IFERROR(VLOOKUP(D842,'ВИС-2026'!$E$17:$K$2649,7,0),"")</f>
        <v>4.88</v>
      </c>
      <c r="I842" s="554">
        <f t="shared" si="293"/>
        <v>0</v>
      </c>
      <c r="J842" s="554">
        <f t="shared" si="294"/>
        <v>4.88</v>
      </c>
      <c r="K842" s="554">
        <f t="shared" si="295"/>
        <v>0</v>
      </c>
      <c r="L842" s="554">
        <f t="shared" si="296"/>
        <v>0</v>
      </c>
      <c r="M842" s="554">
        <f t="shared" si="297"/>
        <v>0</v>
      </c>
      <c r="N842" s="104"/>
    </row>
    <row r="843" spans="1:14" ht="30.6">
      <c r="A843" s="148" t="s">
        <v>25</v>
      </c>
      <c r="B843" s="208" t="s">
        <v>26</v>
      </c>
      <c r="C843" s="351" t="s">
        <v>542</v>
      </c>
      <c r="D843" s="188">
        <v>12591971002</v>
      </c>
      <c r="E843" s="553" t="str">
        <f>IFERROR(VLOOKUP(D843,'ВИС-2026'!$E$17:$H$2115,2,0),"")</f>
        <v xml:space="preserve">Надвижная гильза 25x2,3 </v>
      </c>
      <c r="F843" s="292" t="str">
        <f>IFERROR(VLOOKUP(D843,'ВИС-2026'!$E$17:$H$2115,4,0),"")</f>
        <v>шт</v>
      </c>
      <c r="G843" s="428"/>
      <c r="H843" s="554">
        <f>IFERROR(VLOOKUP(D843,'ВИС-2026'!$E$17:$K$2649,7,0),"")</f>
        <v>1.39</v>
      </c>
      <c r="I843" s="554">
        <f t="shared" si="293"/>
        <v>0</v>
      </c>
      <c r="J843" s="554">
        <f t="shared" si="294"/>
        <v>1.39</v>
      </c>
      <c r="K843" s="554">
        <f t="shared" si="295"/>
        <v>0</v>
      </c>
      <c r="L843" s="554">
        <f t="shared" si="296"/>
        <v>0</v>
      </c>
      <c r="M843" s="554">
        <f t="shared" si="297"/>
        <v>0</v>
      </c>
      <c r="N843" s="104"/>
    </row>
    <row r="844" spans="1:14" s="74" customFormat="1">
      <c r="A844" s="36"/>
      <c r="B844" s="296"/>
      <c r="C844" s="351"/>
      <c r="D844" s="188"/>
      <c r="E844" s="258"/>
      <c r="F844" s="358" t="s">
        <v>65</v>
      </c>
      <c r="G844" s="428"/>
      <c r="H844" s="559" t="str">
        <f>IFERROR(VLOOKUP(D844,'ВИС-2026'!$E$17:$K$2649,8,0),"")</f>
        <v/>
      </c>
      <c r="I844" s="559" t="str">
        <f t="shared" si="293"/>
        <v/>
      </c>
      <c r="J844" s="559" t="str">
        <f t="shared" si="294"/>
        <v/>
      </c>
      <c r="K844" s="559" t="str">
        <f t="shared" si="295"/>
        <v/>
      </c>
      <c r="L844" s="559" t="str">
        <f t="shared" si="296"/>
        <v/>
      </c>
      <c r="M844" s="559" t="str">
        <f t="shared" si="297"/>
        <v/>
      </c>
      <c r="N844" s="104"/>
    </row>
    <row r="845" spans="1:14" ht="30.6">
      <c r="A845" s="148" t="s">
        <v>25</v>
      </c>
      <c r="B845" s="208" t="s">
        <v>26</v>
      </c>
      <c r="C845" s="351" t="s">
        <v>542</v>
      </c>
      <c r="D845" s="188">
        <v>12592681001</v>
      </c>
      <c r="E845" s="553" t="str">
        <f>IFERROR(VLOOKUP(D845,'ВИС-2026'!$E$17:$H$2115,2,0),"")</f>
        <v>Гарпун-скоба для фиксирующих шин</v>
      </c>
      <c r="F845" s="292" t="str">
        <f>IFERROR(VLOOKUP(D845,'ВИС-2026'!$E$17:$H$2115,4,0),"")</f>
        <v>шт</v>
      </c>
      <c r="G845" s="428"/>
      <c r="H845" s="554">
        <f>IFERROR(VLOOKUP(D845,'ВИС-2026'!$E$17:$K$2649,7,0),"")</f>
        <v>0.1</v>
      </c>
      <c r="I845" s="554">
        <f t="shared" si="293"/>
        <v>0</v>
      </c>
      <c r="J845" s="554">
        <f t="shared" si="294"/>
        <v>0.1</v>
      </c>
      <c r="K845" s="554">
        <f t="shared" si="295"/>
        <v>0</v>
      </c>
      <c r="L845" s="554">
        <f t="shared" si="296"/>
        <v>0</v>
      </c>
      <c r="M845" s="554">
        <f t="shared" si="297"/>
        <v>0</v>
      </c>
      <c r="N845" s="104"/>
    </row>
    <row r="846" spans="1:14">
      <c r="A846" s="36"/>
      <c r="B846" s="371"/>
      <c r="C846" s="367"/>
      <c r="D846" s="217"/>
      <c r="E846" s="373"/>
      <c r="F846" s="331"/>
      <c r="G846" s="428"/>
      <c r="H846" s="245" t="str">
        <f>IFERROR(VLOOKUP(D846,'ВИС-2026'!$E$17:$K$2649,8,0),"")</f>
        <v/>
      </c>
      <c r="I846" s="245" t="str">
        <f t="shared" si="293"/>
        <v/>
      </c>
      <c r="J846" s="245" t="str">
        <f t="shared" si="294"/>
        <v/>
      </c>
      <c r="K846" s="245" t="str">
        <f t="shared" si="295"/>
        <v/>
      </c>
      <c r="L846" s="245" t="str">
        <f t="shared" si="296"/>
        <v/>
      </c>
      <c r="M846" s="245" t="str">
        <f t="shared" si="297"/>
        <v/>
      </c>
      <c r="N846" s="104"/>
    </row>
    <row r="847" spans="1:14">
      <c r="A847" s="36"/>
      <c r="B847" s="343"/>
      <c r="C847" s="344" t="s">
        <v>542</v>
      </c>
      <c r="D847" s="346"/>
      <c r="E847" s="347" t="s">
        <v>685</v>
      </c>
      <c r="F847" s="366"/>
      <c r="G847" s="556"/>
      <c r="H847" s="567" t="str">
        <f>IFERROR(VLOOKUP(D847,'ВИС-2026'!$E$17:$K$2649,8,0),"")</f>
        <v/>
      </c>
      <c r="I847" s="567" t="str">
        <f t="shared" si="293"/>
        <v/>
      </c>
      <c r="J847" s="567" t="str">
        <f t="shared" si="294"/>
        <v/>
      </c>
      <c r="K847" s="567" t="str">
        <f t="shared" si="295"/>
        <v/>
      </c>
      <c r="L847" s="567" t="str">
        <f t="shared" si="296"/>
        <v/>
      </c>
      <c r="M847" s="567" t="str">
        <f t="shared" si="297"/>
        <v/>
      </c>
      <c r="N847" s="104"/>
    </row>
    <row r="848" spans="1:14" s="74" customFormat="1">
      <c r="A848" s="36"/>
      <c r="B848" s="343"/>
      <c r="C848" s="344" t="s">
        <v>542</v>
      </c>
      <c r="D848" s="346"/>
      <c r="E848" s="347" t="s">
        <v>686</v>
      </c>
      <c r="F848" s="579"/>
      <c r="G848" s="556"/>
      <c r="H848" s="580" t="str">
        <f>IFERROR(VLOOKUP(D848,'ВИС-2026'!$E$17:$K$2649,8,0),"")</f>
        <v/>
      </c>
      <c r="I848" s="580" t="str">
        <f t="shared" si="293"/>
        <v/>
      </c>
      <c r="J848" s="580" t="str">
        <f t="shared" si="294"/>
        <v/>
      </c>
      <c r="K848" s="580" t="str">
        <f t="shared" si="295"/>
        <v/>
      </c>
      <c r="L848" s="580" t="str">
        <f t="shared" si="296"/>
        <v/>
      </c>
      <c r="M848" s="580" t="str">
        <f t="shared" si="297"/>
        <v/>
      </c>
      <c r="N848" s="104"/>
    </row>
    <row r="849" spans="1:14">
      <c r="A849" s="36"/>
      <c r="B849" s="343"/>
      <c r="C849" s="344" t="s">
        <v>542</v>
      </c>
      <c r="D849" s="346"/>
      <c r="E849" s="347" t="s">
        <v>687</v>
      </c>
      <c r="F849" s="575"/>
      <c r="G849" s="556"/>
      <c r="H849" s="576" t="str">
        <f>IFERROR(VLOOKUP(D849,'ВИС-2026'!$E$17:$K$2649,8,0),"")</f>
        <v/>
      </c>
      <c r="I849" s="576" t="str">
        <f t="shared" ref="I849:I863" si="298">IFERROR(H849*G849,"")</f>
        <v/>
      </c>
      <c r="J849" s="576" t="str">
        <f t="shared" ref="J849:J863" si="299">IFERROR((IF(H849="","",H849-H849*$D$7)),"")</f>
        <v/>
      </c>
      <c r="K849" s="576" t="str">
        <f t="shared" ref="K849:K863" si="300">IFERROR(J849*G849, "")</f>
        <v/>
      </c>
      <c r="L849" s="576" t="str">
        <f t="shared" ref="L849:L863" si="301">IFERROR(J849*$D$8, "")</f>
        <v/>
      </c>
      <c r="M849" s="576" t="str">
        <f t="shared" ref="M849:M863" si="302">IFERROR(L849*G849, "")</f>
        <v/>
      </c>
      <c r="N849" s="104"/>
    </row>
    <row r="850" spans="1:14" s="74" customFormat="1">
      <c r="A850" s="36"/>
      <c r="B850" s="343"/>
      <c r="C850" s="344" t="s">
        <v>542</v>
      </c>
      <c r="D850" s="346"/>
      <c r="E850" s="347" t="s">
        <v>688</v>
      </c>
      <c r="F850" s="571"/>
      <c r="G850" s="556"/>
      <c r="H850" s="563" t="str">
        <f>IFERROR(VLOOKUP(D850,'ВИС-2026'!$E$17:$K$2649,8,0),"")</f>
        <v/>
      </c>
      <c r="I850" s="563" t="str">
        <f t="shared" si="298"/>
        <v/>
      </c>
      <c r="J850" s="563" t="str">
        <f t="shared" si="299"/>
        <v/>
      </c>
      <c r="K850" s="563" t="str">
        <f t="shared" si="300"/>
        <v/>
      </c>
      <c r="L850" s="563" t="str">
        <f t="shared" si="301"/>
        <v/>
      </c>
      <c r="M850" s="563" t="str">
        <f t="shared" si="302"/>
        <v/>
      </c>
      <c r="N850" s="104"/>
    </row>
    <row r="851" spans="1:14">
      <c r="A851" s="36"/>
      <c r="B851" s="343"/>
      <c r="C851" s="344" t="s">
        <v>542</v>
      </c>
      <c r="D851" s="346"/>
      <c r="E851" s="347" t="s">
        <v>680</v>
      </c>
      <c r="F851" s="301"/>
      <c r="G851" s="556"/>
      <c r="H851" s="557" t="str">
        <f>IFERROR(VLOOKUP(D851,'ВИС-2026'!$E$17:$K$2649,8,0),"")</f>
        <v/>
      </c>
      <c r="I851" s="557" t="str">
        <f t="shared" si="298"/>
        <v/>
      </c>
      <c r="J851" s="557" t="str">
        <f t="shared" si="299"/>
        <v/>
      </c>
      <c r="K851" s="557" t="str">
        <f t="shared" si="300"/>
        <v/>
      </c>
      <c r="L851" s="557" t="str">
        <f t="shared" si="301"/>
        <v/>
      </c>
      <c r="M851" s="557" t="str">
        <f t="shared" si="302"/>
        <v/>
      </c>
      <c r="N851" s="104"/>
    </row>
    <row r="852" spans="1:14">
      <c r="A852" s="36"/>
      <c r="B852" s="296"/>
      <c r="C852" s="351"/>
      <c r="D852" s="188"/>
      <c r="E852" s="258"/>
      <c r="F852" s="248"/>
      <c r="G852" s="428"/>
      <c r="H852" s="554" t="str">
        <f>IFERROR(VLOOKUP(D852,'ВИС-2026'!$E$17:$K$2649,8,0),"")</f>
        <v/>
      </c>
      <c r="I852" s="554" t="str">
        <f t="shared" si="298"/>
        <v/>
      </c>
      <c r="J852" s="554" t="str">
        <f t="shared" si="299"/>
        <v/>
      </c>
      <c r="K852" s="554" t="str">
        <f t="shared" si="300"/>
        <v/>
      </c>
      <c r="L852" s="554" t="str">
        <f t="shared" si="301"/>
        <v/>
      </c>
      <c r="M852" s="554" t="str">
        <f t="shared" si="302"/>
        <v/>
      </c>
      <c r="N852" s="104"/>
    </row>
    <row r="853" spans="1:14" s="74" customFormat="1">
      <c r="A853" s="36"/>
      <c r="B853" s="296" t="s">
        <v>30</v>
      </c>
      <c r="C853" s="327" t="s">
        <v>542</v>
      </c>
      <c r="D853" s="311">
        <v>12393433001</v>
      </c>
      <c r="E853" s="553" t="str">
        <f>IFERROR(VLOOKUP(D853,'ВИС-2026'!$E$17:$H$2115,2,0),"")</f>
        <v>Фиксатор поворота РЕХАУ пластмас. на 90° для трубы 20</v>
      </c>
      <c r="F853" s="292" t="str">
        <f>IFERROR(VLOOKUP(D853,'ВИС-2026'!$E$17:$H$2115,4,0),"")</f>
        <v>шт</v>
      </c>
      <c r="G853" s="428"/>
      <c r="H853" s="554">
        <f>IFERROR(VLOOKUP(D853,'ВИС-2026'!$E$17:$K$2649,7,0),"")</f>
        <v>2.72</v>
      </c>
      <c r="I853" s="554">
        <f t="shared" si="298"/>
        <v>0</v>
      </c>
      <c r="J853" s="554">
        <f t="shared" si="299"/>
        <v>2.72</v>
      </c>
      <c r="K853" s="554">
        <f t="shared" si="300"/>
        <v>0</v>
      </c>
      <c r="L853" s="554">
        <f t="shared" si="301"/>
        <v>0</v>
      </c>
      <c r="M853" s="554">
        <f t="shared" si="302"/>
        <v>0</v>
      </c>
      <c r="N853" s="104"/>
    </row>
    <row r="854" spans="1:14" s="74" customFormat="1">
      <c r="A854" s="36"/>
      <c r="B854" s="296" t="s">
        <v>30</v>
      </c>
      <c r="C854" s="327" t="s">
        <v>542</v>
      </c>
      <c r="D854" s="311">
        <v>12391933001</v>
      </c>
      <c r="E854" s="553" t="str">
        <f>IFERROR(VLOOKUP(D854,'ВИС-2026'!$E$17:$H$2115,2,0),"")</f>
        <v>Фиксатор поворота РЕХАУ пластмас. на 90° для трубы 25</v>
      </c>
      <c r="F854" s="292" t="str">
        <f>IFERROR(VLOOKUP(D854,'ВИС-2026'!$E$17:$H$2115,4,0),"")</f>
        <v>шт</v>
      </c>
      <c r="G854" s="428"/>
      <c r="H854" s="554">
        <f>IFERROR(VLOOKUP(D854,'ВИС-2026'!$E$17:$K$2649,7,0),"")</f>
        <v>4.5999999999999996</v>
      </c>
      <c r="I854" s="554">
        <f t="shared" si="298"/>
        <v>0</v>
      </c>
      <c r="J854" s="554">
        <f t="shared" si="299"/>
        <v>4.5999999999999996</v>
      </c>
      <c r="K854" s="554">
        <f t="shared" si="300"/>
        <v>0</v>
      </c>
      <c r="L854" s="554">
        <f t="shared" si="301"/>
        <v>0</v>
      </c>
      <c r="M854" s="554">
        <f t="shared" si="302"/>
        <v>0</v>
      </c>
      <c r="N854" s="104"/>
    </row>
    <row r="855" spans="1:14">
      <c r="A855" s="36"/>
      <c r="B855" s="296"/>
      <c r="C855" s="351"/>
      <c r="D855" s="188"/>
      <c r="E855" s="258"/>
      <c r="F855" s="375"/>
      <c r="G855" s="428"/>
      <c r="H855" s="581" t="str">
        <f>IFERROR(VLOOKUP(D855,'ВИС-2026'!$E$17:$K$2649,8,0),"")</f>
        <v/>
      </c>
      <c r="I855" s="581" t="str">
        <f t="shared" si="298"/>
        <v/>
      </c>
      <c r="J855" s="581" t="str">
        <f t="shared" si="299"/>
        <v/>
      </c>
      <c r="K855" s="581" t="str">
        <f t="shared" si="300"/>
        <v/>
      </c>
      <c r="L855" s="581" t="str">
        <f t="shared" si="301"/>
        <v/>
      </c>
      <c r="M855" s="581" t="str">
        <f t="shared" si="302"/>
        <v/>
      </c>
      <c r="N855" s="104"/>
    </row>
    <row r="856" spans="1:14">
      <c r="A856" s="156"/>
      <c r="B856" s="225"/>
      <c r="C856" s="357"/>
      <c r="D856" s="225"/>
      <c r="E856" s="378"/>
      <c r="F856" s="375"/>
      <c r="G856" s="428"/>
      <c r="H856" s="581" t="str">
        <f>IFERROR(VLOOKUP(D856,'ВИС-2026'!$E$17:$K$2649,8,0),"")</f>
        <v/>
      </c>
      <c r="I856" s="581" t="str">
        <f t="shared" si="298"/>
        <v/>
      </c>
      <c r="J856" s="581" t="str">
        <f t="shared" si="299"/>
        <v/>
      </c>
      <c r="K856" s="581" t="str">
        <f t="shared" si="300"/>
        <v/>
      </c>
      <c r="L856" s="581" t="str">
        <f t="shared" si="301"/>
        <v/>
      </c>
      <c r="M856" s="581" t="str">
        <f t="shared" si="302"/>
        <v/>
      </c>
      <c r="N856" s="104"/>
    </row>
    <row r="857" spans="1:14" s="73" customFormat="1">
      <c r="A857" s="36"/>
      <c r="B857" s="352" t="s">
        <v>30</v>
      </c>
      <c r="C857" s="327" t="s">
        <v>542</v>
      </c>
      <c r="D857" s="311">
        <v>12442483002</v>
      </c>
      <c r="E857" s="553" t="str">
        <f>IFERROR(VLOOKUP(D857,'ВИС-2026'!$E$17:$H$2115,2,0),"")</f>
        <v>Фиксирующая шина РЕХАУ 16/17/20 мм</v>
      </c>
      <c r="F857" s="292" t="str">
        <f>IFERROR(VLOOKUP(D857,'ВИС-2026'!$E$17:$H$2115,4,0),"")</f>
        <v>м</v>
      </c>
      <c r="G857" s="428"/>
      <c r="H857" s="554">
        <f>IFERROR(VLOOKUP(D857,'ВИС-2026'!$E$17:$K$2649,7,0),"")</f>
        <v>2.09</v>
      </c>
      <c r="I857" s="554">
        <f t="shared" si="298"/>
        <v>0</v>
      </c>
      <c r="J857" s="554">
        <f t="shared" si="299"/>
        <v>2.09</v>
      </c>
      <c r="K857" s="554">
        <f t="shared" si="300"/>
        <v>0</v>
      </c>
      <c r="L857" s="554">
        <f t="shared" si="301"/>
        <v>0</v>
      </c>
      <c r="M857" s="554">
        <f t="shared" si="302"/>
        <v>0</v>
      </c>
      <c r="N857" s="104"/>
    </row>
    <row r="858" spans="1:14" s="73" customFormat="1">
      <c r="A858" s="36"/>
      <c r="B858" s="352" t="s">
        <v>30</v>
      </c>
      <c r="C858" s="327" t="s">
        <v>542</v>
      </c>
      <c r="D858" s="311">
        <v>11098211001</v>
      </c>
      <c r="E858" s="553" t="str">
        <f>IFERROR(VLOOKUP(D858,'ВИС-2026'!$E$17:$H$2115,2,0),"")</f>
        <v>Фиксирующая шина Railfix РЕХАУ для трубы 25 х 2,3</v>
      </c>
      <c r="F858" s="292" t="str">
        <f>IFERROR(VLOOKUP(D858,'ВИС-2026'!$E$17:$H$2115,4,0),"")</f>
        <v>м</v>
      </c>
      <c r="G858" s="428"/>
      <c r="H858" s="554">
        <f>IFERROR(VLOOKUP(D858,'ВИС-2026'!$E$17:$K$2649,7,0),"")</f>
        <v>4.88</v>
      </c>
      <c r="I858" s="554">
        <f t="shared" si="298"/>
        <v>0</v>
      </c>
      <c r="J858" s="554">
        <f t="shared" si="299"/>
        <v>4.88</v>
      </c>
      <c r="K858" s="554">
        <f t="shared" si="300"/>
        <v>0</v>
      </c>
      <c r="L858" s="554">
        <f t="shared" si="301"/>
        <v>0</v>
      </c>
      <c r="M858" s="554">
        <f t="shared" si="302"/>
        <v>0</v>
      </c>
      <c r="N858" s="104"/>
    </row>
    <row r="859" spans="1:14" ht="30.6">
      <c r="A859" s="148" t="s">
        <v>25</v>
      </c>
      <c r="B859" s="208" t="s">
        <v>26</v>
      </c>
      <c r="C859" s="351" t="s">
        <v>542</v>
      </c>
      <c r="D859" s="188">
        <v>12591971002</v>
      </c>
      <c r="E859" s="553" t="str">
        <f>IFERROR(VLOOKUP(D859,'ВИС-2026'!$E$17:$H$2115,2,0),"")</f>
        <v xml:space="preserve">Надвижная гильза 25x2,3 </v>
      </c>
      <c r="F859" s="292" t="str">
        <f>IFERROR(VLOOKUP(D859,'ВИС-2026'!$E$17:$H$2115,4,0),"")</f>
        <v>шт</v>
      </c>
      <c r="G859" s="428"/>
      <c r="H859" s="554">
        <f>IFERROR(VLOOKUP(D859,'ВИС-2026'!$E$17:$K$2649,7,0),"")</f>
        <v>1.39</v>
      </c>
      <c r="I859" s="554">
        <f t="shared" si="298"/>
        <v>0</v>
      </c>
      <c r="J859" s="554">
        <f t="shared" si="299"/>
        <v>1.39</v>
      </c>
      <c r="K859" s="554">
        <f t="shared" si="300"/>
        <v>0</v>
      </c>
      <c r="L859" s="554">
        <f t="shared" si="301"/>
        <v>0</v>
      </c>
      <c r="M859" s="554">
        <f t="shared" si="302"/>
        <v>0</v>
      </c>
      <c r="N859" s="104"/>
    </row>
    <row r="860" spans="1:14">
      <c r="A860" s="36"/>
      <c r="B860" s="296"/>
      <c r="C860" s="351"/>
      <c r="D860" s="188"/>
      <c r="E860" s="258"/>
      <c r="F860" s="331"/>
      <c r="G860" s="428"/>
      <c r="H860" s="245" t="str">
        <f>IFERROR(VLOOKUP(D860,'ВИС-2026'!$E$17:$K$2649,8,0),"")</f>
        <v/>
      </c>
      <c r="I860" s="245" t="str">
        <f t="shared" si="298"/>
        <v/>
      </c>
      <c r="J860" s="245" t="str">
        <f t="shared" si="299"/>
        <v/>
      </c>
      <c r="K860" s="245" t="str">
        <f t="shared" si="300"/>
        <v/>
      </c>
      <c r="L860" s="245" t="str">
        <f t="shared" si="301"/>
        <v/>
      </c>
      <c r="M860" s="245" t="str">
        <f t="shared" si="302"/>
        <v/>
      </c>
      <c r="N860" s="104"/>
    </row>
    <row r="861" spans="1:14" s="74" customFormat="1" ht="30.6">
      <c r="A861" s="148" t="s">
        <v>25</v>
      </c>
      <c r="B861" s="208" t="s">
        <v>26</v>
      </c>
      <c r="C861" s="351" t="s">
        <v>542</v>
      </c>
      <c r="D861" s="188">
        <v>12535691002</v>
      </c>
      <c r="E861" s="553" t="str">
        <f>IFERROR(VLOOKUP(D861,'ВИС-2026'!$E$17:$H$2115,2,0),"")</f>
        <v>Тройник 25-17-25</v>
      </c>
      <c r="F861" s="292" t="str">
        <f>IFERROR(VLOOKUP(D861,'ВИС-2026'!$E$17:$H$2115,4,0),"")</f>
        <v>шт</v>
      </c>
      <c r="G861" s="428"/>
      <c r="H861" s="554">
        <f>IFERROR(VLOOKUP(D861,'ВИС-2026'!$E$17:$K$2649,7,0),"")</f>
        <v>24.2</v>
      </c>
      <c r="I861" s="554">
        <f t="shared" si="298"/>
        <v>0</v>
      </c>
      <c r="J861" s="554">
        <f t="shared" si="299"/>
        <v>24.2</v>
      </c>
      <c r="K861" s="554">
        <f t="shared" si="300"/>
        <v>0</v>
      </c>
      <c r="L861" s="554">
        <f t="shared" si="301"/>
        <v>0</v>
      </c>
      <c r="M861" s="554">
        <f t="shared" si="302"/>
        <v>0</v>
      </c>
      <c r="N861" s="104"/>
    </row>
    <row r="862" spans="1:14" ht="30.6">
      <c r="A862" s="148" t="s">
        <v>25</v>
      </c>
      <c r="B862" s="208" t="s">
        <v>26</v>
      </c>
      <c r="C862" s="351" t="s">
        <v>542</v>
      </c>
      <c r="D862" s="188">
        <v>12685801001</v>
      </c>
      <c r="E862" s="553" t="str">
        <f>IFERROR(VLOOKUP(D862,'ВИС-2026'!$E$17:$H$2115,2,0),"")</f>
        <v>Переходник с наруж. резьбой 25-R3/4</v>
      </c>
      <c r="F862" s="292" t="str">
        <f>IFERROR(VLOOKUP(D862,'ВИС-2026'!$E$17:$H$2115,4,0),"")</f>
        <v>шт</v>
      </c>
      <c r="G862" s="428"/>
      <c r="H862" s="554">
        <f>IFERROR(VLOOKUP(D862,'ВИС-2026'!$E$17:$K$2649,7,0),"")</f>
        <v>4.25</v>
      </c>
      <c r="I862" s="554">
        <f t="shared" si="298"/>
        <v>0</v>
      </c>
      <c r="J862" s="554">
        <f t="shared" si="299"/>
        <v>4.25</v>
      </c>
      <c r="K862" s="554">
        <f t="shared" si="300"/>
        <v>0</v>
      </c>
      <c r="L862" s="554">
        <f t="shared" si="301"/>
        <v>0</v>
      </c>
      <c r="M862" s="554">
        <f t="shared" si="302"/>
        <v>0</v>
      </c>
      <c r="N862" s="104"/>
    </row>
    <row r="863" spans="1:14" s="73" customFormat="1" ht="30.6">
      <c r="A863" s="148" t="s">
        <v>25</v>
      </c>
      <c r="B863" s="208" t="s">
        <v>26</v>
      </c>
      <c r="C863" s="351" t="s">
        <v>542</v>
      </c>
      <c r="D863" s="188">
        <v>12594491002</v>
      </c>
      <c r="E863" s="553" t="str">
        <f>IFERROR(VLOOKUP(D863,'ВИС-2026'!$E$17:$H$2115,2,0),"")</f>
        <v>Угольник 90° - 25</v>
      </c>
      <c r="F863" s="292" t="str">
        <f>IFERROR(VLOOKUP(D863,'ВИС-2026'!$E$17:$H$2115,4,0),"")</f>
        <v>шт</v>
      </c>
      <c r="G863" s="428"/>
      <c r="H863" s="554">
        <f>IFERROR(VLOOKUP(D863,'ВИС-2026'!$E$17:$K$2649,7,0),"")</f>
        <v>11.43</v>
      </c>
      <c r="I863" s="554">
        <f t="shared" si="298"/>
        <v>0</v>
      </c>
      <c r="J863" s="554">
        <f t="shared" si="299"/>
        <v>11.43</v>
      </c>
      <c r="K863" s="554">
        <f t="shared" si="300"/>
        <v>0</v>
      </c>
      <c r="L863" s="554">
        <f t="shared" si="301"/>
        <v>0</v>
      </c>
      <c r="M863" s="554">
        <f t="shared" si="302"/>
        <v>0</v>
      </c>
      <c r="N863" s="104"/>
    </row>
    <row r="864" spans="1:14">
      <c r="A864" s="36"/>
      <c r="B864" s="261"/>
      <c r="C864" s="248"/>
      <c r="D864" s="188"/>
      <c r="E864" s="258"/>
      <c r="F864" s="582"/>
      <c r="G864" s="428"/>
      <c r="H864" s="583" t="str">
        <f>IFERROR(VLOOKUP(D864,'ВИС-2026'!$E$17:$K$2649,8,0),"")</f>
        <v/>
      </c>
      <c r="I864" s="583" t="str">
        <f t="shared" ref="I864:I885" si="303">IFERROR(H864*G864,"")</f>
        <v/>
      </c>
      <c r="J864" s="583" t="str">
        <f t="shared" ref="J864:J885" si="304">IFERROR((IF(H864="","",H864-H864*$D$7)),"")</f>
        <v/>
      </c>
      <c r="K864" s="583" t="str">
        <f t="shared" ref="K864:K885" si="305">IFERROR(J864*G864, "")</f>
        <v/>
      </c>
      <c r="L864" s="583" t="str">
        <f t="shared" ref="L864:L885" si="306">IFERROR(J864*$D$8, "")</f>
        <v/>
      </c>
      <c r="M864" s="583" t="str">
        <f t="shared" ref="M864:M885" si="307">IFERROR(L864*G864, "")</f>
        <v/>
      </c>
      <c r="N864" s="104"/>
    </row>
    <row r="865" spans="1:14">
      <c r="A865" s="36"/>
      <c r="B865" s="412"/>
      <c r="C865" s="322" t="s">
        <v>691</v>
      </c>
      <c r="D865" s="414"/>
      <c r="E865" s="415" t="s">
        <v>692</v>
      </c>
      <c r="F865" s="584"/>
      <c r="G865" s="556"/>
      <c r="H865" s="585" t="str">
        <f>IFERROR(VLOOKUP(D865,'ВИС-2026'!$E$17:$K$2649,8,0),"")</f>
        <v/>
      </c>
      <c r="I865" s="585" t="str">
        <f t="shared" si="303"/>
        <v/>
      </c>
      <c r="J865" s="585" t="str">
        <f t="shared" si="304"/>
        <v/>
      </c>
      <c r="K865" s="585" t="str">
        <f t="shared" si="305"/>
        <v/>
      </c>
      <c r="L865" s="585" t="str">
        <f t="shared" si="306"/>
        <v/>
      </c>
      <c r="M865" s="585" t="str">
        <f t="shared" si="307"/>
        <v/>
      </c>
      <c r="N865" s="104"/>
    </row>
    <row r="866" spans="1:14" s="74" customFormat="1">
      <c r="A866" s="36"/>
      <c r="B866" s="343" t="s">
        <v>397</v>
      </c>
      <c r="C866" s="327" t="s">
        <v>691</v>
      </c>
      <c r="D866" s="311">
        <v>13218991555</v>
      </c>
      <c r="E866" s="553" t="str">
        <f>IFERROR(VLOOKUP(D866,'ВИС-2026'!$E$17:$H$2115,2,0),"")</f>
        <v>Мат греющий для напольного отопления, 0,5 м2</v>
      </c>
      <c r="F866" s="292" t="str">
        <f>IFERROR(VLOOKUP(D866,'ВИС-2026'!$E$17:$H$2115,4,0),"")</f>
        <v>шт</v>
      </c>
      <c r="G866" s="428"/>
      <c r="H866" s="554">
        <f>IFERROR(VLOOKUP(D866,'ВИС-2026'!$E$17:$K$2649,7,0),"")</f>
        <v>155.94999999999999</v>
      </c>
      <c r="I866" s="554">
        <f t="shared" si="303"/>
        <v>0</v>
      </c>
      <c r="J866" s="554">
        <f t="shared" si="304"/>
        <v>155.94999999999999</v>
      </c>
      <c r="K866" s="554">
        <f t="shared" si="305"/>
        <v>0</v>
      </c>
      <c r="L866" s="554">
        <f t="shared" si="306"/>
        <v>0</v>
      </c>
      <c r="M866" s="554">
        <f t="shared" si="307"/>
        <v>0</v>
      </c>
      <c r="N866" s="104"/>
    </row>
    <row r="867" spans="1:14" s="74" customFormat="1">
      <c r="A867" s="36"/>
      <c r="B867" s="343" t="s">
        <v>397</v>
      </c>
      <c r="C867" s="327" t="s">
        <v>691</v>
      </c>
      <c r="D867" s="311">
        <v>13168111555</v>
      </c>
      <c r="E867" s="553" t="str">
        <f>IFERROR(VLOOKUP(D867,'ВИС-2026'!$E$17:$H$2115,2,0),"")</f>
        <v>Мат греющий для напольного отопления, 1 м2</v>
      </c>
      <c r="F867" s="292" t="str">
        <f>IFERROR(VLOOKUP(D867,'ВИС-2026'!$E$17:$H$2115,4,0),"")</f>
        <v>шт</v>
      </c>
      <c r="G867" s="428"/>
      <c r="H867" s="554">
        <f>IFERROR(VLOOKUP(D867,'ВИС-2026'!$E$17:$K$2649,7,0),"")</f>
        <v>194.21</v>
      </c>
      <c r="I867" s="554">
        <f t="shared" si="303"/>
        <v>0</v>
      </c>
      <c r="J867" s="554">
        <f t="shared" si="304"/>
        <v>194.21</v>
      </c>
      <c r="K867" s="554">
        <f t="shared" si="305"/>
        <v>0</v>
      </c>
      <c r="L867" s="554">
        <f t="shared" si="306"/>
        <v>0</v>
      </c>
      <c r="M867" s="554">
        <f t="shared" si="307"/>
        <v>0</v>
      </c>
      <c r="N867" s="104"/>
    </row>
    <row r="868" spans="1:14" s="74" customFormat="1">
      <c r="A868" s="36"/>
      <c r="B868" s="343" t="s">
        <v>397</v>
      </c>
      <c r="C868" s="327" t="s">
        <v>691</v>
      </c>
      <c r="D868" s="311">
        <v>13219001555</v>
      </c>
      <c r="E868" s="553" t="str">
        <f>IFERROR(VLOOKUP(D868,'ВИС-2026'!$E$17:$H$2115,2,0),"")</f>
        <v>Мат греющий для напольного отопления, 1,5 м2</v>
      </c>
      <c r="F868" s="292" t="str">
        <f>IFERROR(VLOOKUP(D868,'ВИС-2026'!$E$17:$H$2115,4,0),"")</f>
        <v>шт</v>
      </c>
      <c r="G868" s="428"/>
      <c r="H868" s="554">
        <f>IFERROR(VLOOKUP(D868,'ВИС-2026'!$E$17:$K$2649,7,0),"")</f>
        <v>226.75</v>
      </c>
      <c r="I868" s="554">
        <f t="shared" si="303"/>
        <v>0</v>
      </c>
      <c r="J868" s="554">
        <f t="shared" si="304"/>
        <v>226.75</v>
      </c>
      <c r="K868" s="554">
        <f t="shared" si="305"/>
        <v>0</v>
      </c>
      <c r="L868" s="554">
        <f t="shared" si="306"/>
        <v>0</v>
      </c>
      <c r="M868" s="554">
        <f t="shared" si="307"/>
        <v>0</v>
      </c>
      <c r="N868" s="104"/>
    </row>
    <row r="869" spans="1:14" s="74" customFormat="1">
      <c r="A869" s="36"/>
      <c r="B869" s="343" t="s">
        <v>397</v>
      </c>
      <c r="C869" s="327" t="s">
        <v>691</v>
      </c>
      <c r="D869" s="311">
        <v>13168121555</v>
      </c>
      <c r="E869" s="553" t="str">
        <f>IFERROR(VLOOKUP(D869,'ВИС-2026'!$E$17:$H$2115,2,0),"")</f>
        <v>Мат греющий для напольного отопления, 2 м2</v>
      </c>
      <c r="F869" s="292" t="str">
        <f>IFERROR(VLOOKUP(D869,'ВИС-2026'!$E$17:$H$2115,4,0),"")</f>
        <v>шт</v>
      </c>
      <c r="G869" s="428"/>
      <c r="H869" s="554">
        <f>IFERROR(VLOOKUP(D869,'ВИС-2026'!$E$17:$K$2649,7,0),"")</f>
        <v>258.44</v>
      </c>
      <c r="I869" s="554">
        <f t="shared" si="303"/>
        <v>0</v>
      </c>
      <c r="J869" s="554">
        <f t="shared" si="304"/>
        <v>258.44</v>
      </c>
      <c r="K869" s="554">
        <f t="shared" si="305"/>
        <v>0</v>
      </c>
      <c r="L869" s="554">
        <f t="shared" si="306"/>
        <v>0</v>
      </c>
      <c r="M869" s="554">
        <f t="shared" si="307"/>
        <v>0</v>
      </c>
      <c r="N869" s="104"/>
    </row>
    <row r="870" spans="1:14" s="74" customFormat="1">
      <c r="A870" s="36"/>
      <c r="B870" s="343" t="s">
        <v>397</v>
      </c>
      <c r="C870" s="327" t="s">
        <v>691</v>
      </c>
      <c r="D870" s="311">
        <v>13219011555</v>
      </c>
      <c r="E870" s="553" t="str">
        <f>IFERROR(VLOOKUP(D870,'ВИС-2026'!$E$17:$H$2115,2,0),"")</f>
        <v>Мат греющий для напольного отопления, 2,5 м2</v>
      </c>
      <c r="F870" s="292" t="str">
        <f>IFERROR(VLOOKUP(D870,'ВИС-2026'!$E$17:$H$2115,4,0),"")</f>
        <v>шт</v>
      </c>
      <c r="G870" s="428"/>
      <c r="H870" s="554">
        <f>IFERROR(VLOOKUP(D870,'ВИС-2026'!$E$17:$K$2649,7,0),"")</f>
        <v>290.89999999999998</v>
      </c>
      <c r="I870" s="554">
        <f t="shared" si="303"/>
        <v>0</v>
      </c>
      <c r="J870" s="554">
        <f t="shared" si="304"/>
        <v>290.89999999999998</v>
      </c>
      <c r="K870" s="554">
        <f t="shared" si="305"/>
        <v>0</v>
      </c>
      <c r="L870" s="554">
        <f t="shared" si="306"/>
        <v>0</v>
      </c>
      <c r="M870" s="554">
        <f t="shared" si="307"/>
        <v>0</v>
      </c>
      <c r="N870" s="104"/>
    </row>
    <row r="871" spans="1:14" s="74" customFormat="1">
      <c r="A871" s="36"/>
      <c r="B871" s="343" t="s">
        <v>397</v>
      </c>
      <c r="C871" s="327" t="s">
        <v>691</v>
      </c>
      <c r="D871" s="311">
        <v>13168131555</v>
      </c>
      <c r="E871" s="553" t="str">
        <f>IFERROR(VLOOKUP(D871,'ВИС-2026'!$E$17:$H$2115,2,0),"")</f>
        <v>Мат греющий для напольного отопления, 3 м2</v>
      </c>
      <c r="F871" s="292" t="str">
        <f>IFERROR(VLOOKUP(D871,'ВИС-2026'!$E$17:$H$2115,4,0),"")</f>
        <v>шт</v>
      </c>
      <c r="G871" s="428"/>
      <c r="H871" s="554">
        <f>IFERROR(VLOOKUP(D871,'ВИС-2026'!$E$17:$K$2649,7,0),"")</f>
        <v>324.2</v>
      </c>
      <c r="I871" s="554">
        <f t="shared" si="303"/>
        <v>0</v>
      </c>
      <c r="J871" s="554">
        <f t="shared" si="304"/>
        <v>324.2</v>
      </c>
      <c r="K871" s="554">
        <f t="shared" si="305"/>
        <v>0</v>
      </c>
      <c r="L871" s="554">
        <f t="shared" si="306"/>
        <v>0</v>
      </c>
      <c r="M871" s="554">
        <f t="shared" si="307"/>
        <v>0</v>
      </c>
      <c r="N871" s="104"/>
    </row>
    <row r="872" spans="1:14" s="74" customFormat="1">
      <c r="A872" s="36"/>
      <c r="B872" s="343" t="s">
        <v>397</v>
      </c>
      <c r="C872" s="327" t="s">
        <v>691</v>
      </c>
      <c r="D872" s="311">
        <v>13219021555</v>
      </c>
      <c r="E872" s="553" t="str">
        <f>IFERROR(VLOOKUP(D872,'ВИС-2026'!$E$17:$H$2115,2,0),"")</f>
        <v>Мат греющий для напольного отопления, 3,5 м2</v>
      </c>
      <c r="F872" s="292" t="str">
        <f>IFERROR(VLOOKUP(D872,'ВИС-2026'!$E$17:$H$2115,4,0),"")</f>
        <v>шт</v>
      </c>
      <c r="G872" s="428"/>
      <c r="H872" s="554">
        <f>IFERROR(VLOOKUP(D872,'ВИС-2026'!$E$17:$K$2649,7,0),"")</f>
        <v>361.79</v>
      </c>
      <c r="I872" s="554">
        <f t="shared" si="303"/>
        <v>0</v>
      </c>
      <c r="J872" s="554">
        <f t="shared" si="304"/>
        <v>361.79</v>
      </c>
      <c r="K872" s="554">
        <f t="shared" si="305"/>
        <v>0</v>
      </c>
      <c r="L872" s="554">
        <f t="shared" si="306"/>
        <v>0</v>
      </c>
      <c r="M872" s="554">
        <f t="shared" si="307"/>
        <v>0</v>
      </c>
      <c r="N872" s="104"/>
    </row>
    <row r="873" spans="1:14" s="74" customFormat="1">
      <c r="A873" s="36"/>
      <c r="B873" s="343" t="s">
        <v>397</v>
      </c>
      <c r="C873" s="327" t="s">
        <v>691</v>
      </c>
      <c r="D873" s="311">
        <v>13168141555</v>
      </c>
      <c r="E873" s="553" t="str">
        <f>IFERROR(VLOOKUP(D873,'ВИС-2026'!$E$17:$H$2115,2,0),"")</f>
        <v>Мат греющий для напольного отопления, 4 м2</v>
      </c>
      <c r="F873" s="292" t="str">
        <f>IFERROR(VLOOKUP(D873,'ВИС-2026'!$E$17:$H$2115,4,0),"")</f>
        <v>шт</v>
      </c>
      <c r="G873" s="428"/>
      <c r="H873" s="554">
        <f>IFERROR(VLOOKUP(D873,'ВИС-2026'!$E$17:$K$2649,7,0),"")</f>
        <v>397.62</v>
      </c>
      <c r="I873" s="554">
        <f t="shared" si="303"/>
        <v>0</v>
      </c>
      <c r="J873" s="554">
        <f t="shared" si="304"/>
        <v>397.62</v>
      </c>
      <c r="K873" s="554">
        <f t="shared" si="305"/>
        <v>0</v>
      </c>
      <c r="L873" s="554">
        <f t="shared" si="306"/>
        <v>0</v>
      </c>
      <c r="M873" s="554">
        <f t="shared" si="307"/>
        <v>0</v>
      </c>
      <c r="N873" s="104"/>
    </row>
    <row r="874" spans="1:14" s="74" customFormat="1">
      <c r="A874" s="36"/>
      <c r="B874" s="343" t="s">
        <v>397</v>
      </c>
      <c r="C874" s="327" t="s">
        <v>691</v>
      </c>
      <c r="D874" s="311">
        <v>13168151555</v>
      </c>
      <c r="E874" s="553" t="str">
        <f>IFERROR(VLOOKUP(D874,'ВИС-2026'!$E$17:$H$2115,2,0),"")</f>
        <v>Мат греющий для напольного отопления, 5 м2</v>
      </c>
      <c r="F874" s="292" t="str">
        <f>IFERROR(VLOOKUP(D874,'ВИС-2026'!$E$17:$H$2115,4,0),"")</f>
        <v>шт</v>
      </c>
      <c r="G874" s="428"/>
      <c r="H874" s="554">
        <f>IFERROR(VLOOKUP(D874,'ВИС-2026'!$E$17:$K$2649,7,0),"")</f>
        <v>451.13</v>
      </c>
      <c r="I874" s="554">
        <f t="shared" si="303"/>
        <v>0</v>
      </c>
      <c r="J874" s="554">
        <f t="shared" si="304"/>
        <v>451.13</v>
      </c>
      <c r="K874" s="554">
        <f t="shared" si="305"/>
        <v>0</v>
      </c>
      <c r="L874" s="554">
        <f t="shared" si="306"/>
        <v>0</v>
      </c>
      <c r="M874" s="554">
        <f t="shared" si="307"/>
        <v>0</v>
      </c>
      <c r="N874" s="104"/>
    </row>
    <row r="875" spans="1:14" s="74" customFormat="1">
      <c r="A875" s="36"/>
      <c r="B875" s="343" t="s">
        <v>397</v>
      </c>
      <c r="C875" s="327" t="s">
        <v>691</v>
      </c>
      <c r="D875" s="311">
        <v>13168161555</v>
      </c>
      <c r="E875" s="553" t="str">
        <f>IFERROR(VLOOKUP(D875,'ВИС-2026'!$E$17:$H$2115,2,0),"")</f>
        <v>Мат греющий для напольного отопления, 6 м2</v>
      </c>
      <c r="F875" s="292" t="str">
        <f>IFERROR(VLOOKUP(D875,'ВИС-2026'!$E$17:$H$2115,4,0),"")</f>
        <v>шт</v>
      </c>
      <c r="G875" s="428"/>
      <c r="H875" s="554">
        <f>IFERROR(VLOOKUP(D875,'ВИС-2026'!$E$17:$K$2649,7,0),"")</f>
        <v>507.73</v>
      </c>
      <c r="I875" s="554">
        <f t="shared" si="303"/>
        <v>0</v>
      </c>
      <c r="J875" s="554">
        <f t="shared" si="304"/>
        <v>507.73</v>
      </c>
      <c r="K875" s="554">
        <f t="shared" si="305"/>
        <v>0</v>
      </c>
      <c r="L875" s="554">
        <f t="shared" si="306"/>
        <v>0</v>
      </c>
      <c r="M875" s="554">
        <f t="shared" si="307"/>
        <v>0</v>
      </c>
      <c r="N875" s="104"/>
    </row>
    <row r="876" spans="1:14" s="74" customFormat="1">
      <c r="A876" s="36"/>
      <c r="B876" s="343" t="s">
        <v>397</v>
      </c>
      <c r="C876" s="327" t="s">
        <v>691</v>
      </c>
      <c r="D876" s="311">
        <v>13168171555</v>
      </c>
      <c r="E876" s="553" t="str">
        <f>IFERROR(VLOOKUP(D876,'ВИС-2026'!$E$17:$H$2115,2,0),"")</f>
        <v>Мат греющий для напольного отопления, 7 м2</v>
      </c>
      <c r="F876" s="292" t="str">
        <f>IFERROR(VLOOKUP(D876,'ВИС-2026'!$E$17:$H$2115,4,0),"")</f>
        <v>шт</v>
      </c>
      <c r="G876" s="428"/>
      <c r="H876" s="554">
        <f>IFERROR(VLOOKUP(D876,'ВИС-2026'!$E$17:$K$2649,7,0),"")</f>
        <v>564.30999999999995</v>
      </c>
      <c r="I876" s="554">
        <f t="shared" si="303"/>
        <v>0</v>
      </c>
      <c r="J876" s="554">
        <f t="shared" si="304"/>
        <v>564.30999999999995</v>
      </c>
      <c r="K876" s="554">
        <f t="shared" si="305"/>
        <v>0</v>
      </c>
      <c r="L876" s="554">
        <f t="shared" si="306"/>
        <v>0</v>
      </c>
      <c r="M876" s="554">
        <f t="shared" si="307"/>
        <v>0</v>
      </c>
      <c r="N876" s="104"/>
    </row>
    <row r="877" spans="1:14">
      <c r="A877" s="36"/>
      <c r="B877" s="343" t="s">
        <v>397</v>
      </c>
      <c r="C877" s="327" t="s">
        <v>691</v>
      </c>
      <c r="D877" s="311">
        <v>13168191555</v>
      </c>
      <c r="E877" s="553" t="str">
        <f>IFERROR(VLOOKUP(D877,'ВИС-2026'!$E$17:$H$2115,2,0),"")</f>
        <v>Мат греющий для напольного отопления, 8 м2</v>
      </c>
      <c r="F877" s="292" t="str">
        <f>IFERROR(VLOOKUP(D877,'ВИС-2026'!$E$17:$H$2115,4,0),"")</f>
        <v>шт</v>
      </c>
      <c r="G877" s="428"/>
      <c r="H877" s="554">
        <f>IFERROR(VLOOKUP(D877,'ВИС-2026'!$E$17:$K$2649,7,0),"")</f>
        <v>620.88</v>
      </c>
      <c r="I877" s="554">
        <f t="shared" si="303"/>
        <v>0</v>
      </c>
      <c r="J877" s="554">
        <f t="shared" si="304"/>
        <v>620.88</v>
      </c>
      <c r="K877" s="554">
        <f t="shared" si="305"/>
        <v>0</v>
      </c>
      <c r="L877" s="554">
        <f t="shared" si="306"/>
        <v>0</v>
      </c>
      <c r="M877" s="554">
        <f t="shared" si="307"/>
        <v>0</v>
      </c>
      <c r="N877" s="104"/>
    </row>
    <row r="878" spans="1:14">
      <c r="A878" s="36"/>
      <c r="B878" s="398"/>
      <c r="C878" s="357"/>
      <c r="D878" s="225"/>
      <c r="E878" s="378"/>
      <c r="F878" s="369"/>
      <c r="G878" s="428"/>
      <c r="H878" s="586" t="str">
        <f>IFERROR(VLOOKUP(D878,'ВИС-2026'!$E$17:$K$2649,8,0),"")</f>
        <v/>
      </c>
      <c r="I878" s="586" t="str">
        <f t="shared" si="303"/>
        <v/>
      </c>
      <c r="J878" s="586" t="str">
        <f t="shared" si="304"/>
        <v/>
      </c>
      <c r="K878" s="586" t="str">
        <f t="shared" si="305"/>
        <v/>
      </c>
      <c r="L878" s="586" t="str">
        <f t="shared" si="306"/>
        <v/>
      </c>
      <c r="M878" s="586" t="str">
        <f t="shared" si="307"/>
        <v/>
      </c>
      <c r="N878" s="104"/>
    </row>
    <row r="879" spans="1:14">
      <c r="A879" s="36"/>
      <c r="B879" s="422"/>
      <c r="C879" s="344" t="s">
        <v>691</v>
      </c>
      <c r="D879" s="424"/>
      <c r="E879" s="425" t="s">
        <v>705</v>
      </c>
      <c r="F879" s="587"/>
      <c r="G879" s="556"/>
      <c r="H879" s="588" t="str">
        <f>IFERROR(VLOOKUP(D879,'ВИС-2026'!$E$17:$K$2649,8,0),"")</f>
        <v/>
      </c>
      <c r="I879" s="588" t="str">
        <f t="shared" si="303"/>
        <v/>
      </c>
      <c r="J879" s="588" t="str">
        <f t="shared" si="304"/>
        <v/>
      </c>
      <c r="K879" s="588" t="str">
        <f t="shared" si="305"/>
        <v/>
      </c>
      <c r="L879" s="588" t="str">
        <f t="shared" si="306"/>
        <v/>
      </c>
      <c r="M879" s="588" t="str">
        <f t="shared" si="307"/>
        <v/>
      </c>
      <c r="N879" s="104"/>
    </row>
    <row r="880" spans="1:14">
      <c r="A880" s="36"/>
      <c r="B880" s="343" t="s">
        <v>397</v>
      </c>
      <c r="C880" s="327" t="s">
        <v>691</v>
      </c>
      <c r="D880" s="311">
        <v>13168221555</v>
      </c>
      <c r="E880" s="553" t="str">
        <f>IFERROR(VLOOKUP(D880,'ВИС-2026'!$E$17:$H$2115,2,0),"")</f>
        <v>Кабель греющий для напольного отопления, 18,5 м</v>
      </c>
      <c r="F880" s="292" t="str">
        <f>IFERROR(VLOOKUP(D880,'ВИС-2026'!$E$17:$H$2115,4,0),"")</f>
        <v>шт</v>
      </c>
      <c r="G880" s="428"/>
      <c r="H880" s="554">
        <f>IFERROR(VLOOKUP(D880,'ВИС-2026'!$E$17:$K$2649,7,0),"")</f>
        <v>130.69</v>
      </c>
      <c r="I880" s="554">
        <f t="shared" si="303"/>
        <v>0</v>
      </c>
      <c r="J880" s="554">
        <f t="shared" si="304"/>
        <v>130.69</v>
      </c>
      <c r="K880" s="554">
        <f t="shared" si="305"/>
        <v>0</v>
      </c>
      <c r="L880" s="554">
        <f t="shared" si="306"/>
        <v>0</v>
      </c>
      <c r="M880" s="554">
        <f t="shared" si="307"/>
        <v>0</v>
      </c>
      <c r="N880" s="104"/>
    </row>
    <row r="881" spans="1:14" s="74" customFormat="1">
      <c r="A881" s="36"/>
      <c r="B881" s="343" t="s">
        <v>397</v>
      </c>
      <c r="C881" s="327" t="s">
        <v>691</v>
      </c>
      <c r="D881" s="311">
        <v>13168231555</v>
      </c>
      <c r="E881" s="553" t="str">
        <f>IFERROR(VLOOKUP(D881,'ВИС-2026'!$E$17:$H$2115,2,0),"")</f>
        <v>Кабель греющий для напольного отопления, 31,04 м</v>
      </c>
      <c r="F881" s="292" t="str">
        <f>IFERROR(VLOOKUP(D881,'ВИС-2026'!$E$17:$H$2115,4,0),"")</f>
        <v>шт</v>
      </c>
      <c r="G881" s="428"/>
      <c r="H881" s="554">
        <f>IFERROR(VLOOKUP(D881,'ВИС-2026'!$E$17:$K$2649,7,0),"")</f>
        <v>177.17</v>
      </c>
      <c r="I881" s="554">
        <f t="shared" si="303"/>
        <v>0</v>
      </c>
      <c r="J881" s="554">
        <f t="shared" si="304"/>
        <v>177.17</v>
      </c>
      <c r="K881" s="554">
        <f t="shared" si="305"/>
        <v>0</v>
      </c>
      <c r="L881" s="554">
        <f t="shared" si="306"/>
        <v>0</v>
      </c>
      <c r="M881" s="554">
        <f t="shared" si="307"/>
        <v>0</v>
      </c>
      <c r="N881" s="104"/>
    </row>
    <row r="882" spans="1:14" s="74" customFormat="1">
      <c r="A882" s="36"/>
      <c r="B882" s="343" t="s">
        <v>397</v>
      </c>
      <c r="C882" s="327" t="s">
        <v>691</v>
      </c>
      <c r="D882" s="311">
        <v>13168241555</v>
      </c>
      <c r="E882" s="553" t="str">
        <f>IFERROR(VLOOKUP(D882,'ВИС-2026'!$E$17:$H$2115,2,0),"")</f>
        <v>Кабель греющий для напольного отопления, 40,59 м</v>
      </c>
      <c r="F882" s="292" t="str">
        <f>IFERROR(VLOOKUP(D882,'ВИС-2026'!$E$17:$H$2115,4,0),"")</f>
        <v>шт</v>
      </c>
      <c r="G882" s="428"/>
      <c r="H882" s="554">
        <f>IFERROR(VLOOKUP(D882,'ВИС-2026'!$E$17:$K$2649,7,0),"")</f>
        <v>218.25</v>
      </c>
      <c r="I882" s="554">
        <f t="shared" si="303"/>
        <v>0</v>
      </c>
      <c r="J882" s="554">
        <f t="shared" si="304"/>
        <v>218.25</v>
      </c>
      <c r="K882" s="554">
        <f t="shared" si="305"/>
        <v>0</v>
      </c>
      <c r="L882" s="554">
        <f t="shared" si="306"/>
        <v>0</v>
      </c>
      <c r="M882" s="554">
        <f t="shared" si="307"/>
        <v>0</v>
      </c>
      <c r="N882" s="104"/>
    </row>
    <row r="883" spans="1:14" s="74" customFormat="1">
      <c r="A883" s="36"/>
      <c r="B883" s="343" t="s">
        <v>397</v>
      </c>
      <c r="C883" s="327" t="s">
        <v>691</v>
      </c>
      <c r="D883" s="311">
        <v>13168251555</v>
      </c>
      <c r="E883" s="553" t="str">
        <f>IFERROR(VLOOKUP(D883,'ВИС-2026'!$E$17:$H$2115,2,0),"")</f>
        <v>Кабель греющий для напольного отопления, 49,35 м</v>
      </c>
      <c r="F883" s="292" t="str">
        <f>IFERROR(VLOOKUP(D883,'ВИС-2026'!$E$17:$H$2115,4,0),"")</f>
        <v>шт</v>
      </c>
      <c r="G883" s="428"/>
      <c r="H883" s="554">
        <f>IFERROR(VLOOKUP(D883,'ВИС-2026'!$E$17:$K$2649,7,0),"")</f>
        <v>248.5</v>
      </c>
      <c r="I883" s="554">
        <f t="shared" si="303"/>
        <v>0</v>
      </c>
      <c r="J883" s="554">
        <f t="shared" si="304"/>
        <v>248.5</v>
      </c>
      <c r="K883" s="554">
        <f t="shared" si="305"/>
        <v>0</v>
      </c>
      <c r="L883" s="554">
        <f t="shared" si="306"/>
        <v>0</v>
      </c>
      <c r="M883" s="554">
        <f t="shared" si="307"/>
        <v>0</v>
      </c>
      <c r="N883" s="104"/>
    </row>
    <row r="884" spans="1:14" s="74" customFormat="1">
      <c r="A884" s="36"/>
      <c r="B884" s="343" t="s">
        <v>397</v>
      </c>
      <c r="C884" s="327" t="s">
        <v>691</v>
      </c>
      <c r="D884" s="311">
        <v>13168261555</v>
      </c>
      <c r="E884" s="553" t="str">
        <f>IFERROR(VLOOKUP(D884,'ВИС-2026'!$E$17:$H$2115,2,0),"")</f>
        <v>Кабель греющий для напольного отопления, 58,11 м</v>
      </c>
      <c r="F884" s="292" t="str">
        <f>IFERROR(VLOOKUP(D884,'ВИС-2026'!$E$17:$H$2115,4,0),"")</f>
        <v>шт</v>
      </c>
      <c r="G884" s="428"/>
      <c r="H884" s="554">
        <f>IFERROR(VLOOKUP(D884,'ВИС-2026'!$E$17:$K$2649,7,0),"")</f>
        <v>289.27</v>
      </c>
      <c r="I884" s="554">
        <f t="shared" si="303"/>
        <v>0</v>
      </c>
      <c r="J884" s="554">
        <f t="shared" si="304"/>
        <v>289.27</v>
      </c>
      <c r="K884" s="554">
        <f t="shared" si="305"/>
        <v>0</v>
      </c>
      <c r="L884" s="554">
        <f t="shared" si="306"/>
        <v>0</v>
      </c>
      <c r="M884" s="554">
        <f t="shared" si="307"/>
        <v>0</v>
      </c>
      <c r="N884" s="104"/>
    </row>
    <row r="885" spans="1:14" s="74" customFormat="1">
      <c r="A885" s="36"/>
      <c r="B885" s="343" t="s">
        <v>397</v>
      </c>
      <c r="C885" s="327" t="s">
        <v>691</v>
      </c>
      <c r="D885" s="311">
        <v>13168281555</v>
      </c>
      <c r="E885" s="553" t="str">
        <f>IFERROR(VLOOKUP(D885,'ВИС-2026'!$E$17:$H$2115,2,0),"")</f>
        <v>Кабель греющий для напольного отопления, 99 м</v>
      </c>
      <c r="F885" s="292" t="str">
        <f>IFERROR(VLOOKUP(D885,'ВИС-2026'!$E$17:$H$2115,4,0),"")</f>
        <v>шт</v>
      </c>
      <c r="G885" s="428"/>
      <c r="H885" s="554">
        <f>IFERROR(VLOOKUP(D885,'ВИС-2026'!$E$17:$K$2649,7,0),"")</f>
        <v>438.39</v>
      </c>
      <c r="I885" s="554">
        <f t="shared" si="303"/>
        <v>0</v>
      </c>
      <c r="J885" s="554">
        <f t="shared" si="304"/>
        <v>438.39</v>
      </c>
      <c r="K885" s="554">
        <f t="shared" si="305"/>
        <v>0</v>
      </c>
      <c r="L885" s="554">
        <f t="shared" si="306"/>
        <v>0</v>
      </c>
      <c r="M885" s="554">
        <f t="shared" si="307"/>
        <v>0</v>
      </c>
      <c r="N885" s="104"/>
    </row>
    <row r="886" spans="1:14" s="74" customFormat="1">
      <c r="A886" s="36"/>
      <c r="B886" s="398"/>
      <c r="C886" s="357"/>
      <c r="D886" s="225"/>
      <c r="E886" s="378"/>
      <c r="F886" s="568" t="s">
        <v>65</v>
      </c>
      <c r="G886" s="428"/>
      <c r="H886" s="569" t="str">
        <f>IFERROR(VLOOKUP(D886,'ВИС-2026'!$E$17:$K$2649,8,0),"")</f>
        <v/>
      </c>
      <c r="I886" s="569" t="str">
        <f t="shared" ref="I886:I1009" si="308">IFERROR(H886*G886,"")</f>
        <v/>
      </c>
      <c r="J886" s="569" t="str">
        <f t="shared" ref="J886:J1009" si="309">IFERROR((IF(H886="","",H886-H886*$D$7)),"")</f>
        <v/>
      </c>
      <c r="K886" s="569" t="str">
        <f t="shared" ref="K886:K1009" si="310">IFERROR(J886*G886, "")</f>
        <v/>
      </c>
      <c r="L886" s="569" t="str">
        <f t="shared" ref="L886:L1009" si="311">IFERROR(J886*$D$8, "")</f>
        <v/>
      </c>
      <c r="M886" s="569" t="str">
        <f t="shared" ref="M886:M1009" si="312">IFERROR(L886*G886, "")</f>
        <v/>
      </c>
      <c r="N886" s="104"/>
    </row>
    <row r="887" spans="1:14" s="74" customFormat="1">
      <c r="A887" s="36"/>
      <c r="B887" s="422"/>
      <c r="C887" s="344" t="s">
        <v>691</v>
      </c>
      <c r="D887" s="424"/>
      <c r="E887" s="425" t="s">
        <v>712</v>
      </c>
      <c r="F887" s="579"/>
      <c r="G887" s="556"/>
      <c r="H887" s="580" t="str">
        <f>IFERROR(VLOOKUP(D887,'ВИС-2026'!$E$17:$K$2649,8,0),"")</f>
        <v/>
      </c>
      <c r="I887" s="580" t="str">
        <f t="shared" si="308"/>
        <v/>
      </c>
      <c r="J887" s="580" t="str">
        <f t="shared" si="309"/>
        <v/>
      </c>
      <c r="K887" s="580" t="str">
        <f t="shared" si="310"/>
        <v/>
      </c>
      <c r="L887" s="580" t="str">
        <f t="shared" si="311"/>
        <v/>
      </c>
      <c r="M887" s="580" t="str">
        <f t="shared" si="312"/>
        <v/>
      </c>
      <c r="N887" s="104"/>
    </row>
    <row r="888" spans="1:14">
      <c r="A888" s="36"/>
      <c r="B888" s="343" t="s">
        <v>397</v>
      </c>
      <c r="C888" s="327" t="s">
        <v>691</v>
      </c>
      <c r="D888" s="311">
        <v>12029231100</v>
      </c>
      <c r="E888" s="553" t="str">
        <f>IFERROR(VLOOKUP(D888,'ВИС-2026'!$E$17:$H$2115,2,0),"")</f>
        <v>Терморегулятор OPTIMA</v>
      </c>
      <c r="F888" s="292" t="str">
        <f>IFERROR(VLOOKUP(D888,'ВИС-2026'!$E$17:$H$2115,4,0),"")</f>
        <v>шт</v>
      </c>
      <c r="G888" s="428"/>
      <c r="H888" s="554">
        <f>IFERROR(VLOOKUP(D888,'ВИС-2026'!$E$17:$K$2649,7,0),"")</f>
        <v>275.44</v>
      </c>
      <c r="I888" s="554">
        <f t="shared" si="308"/>
        <v>0</v>
      </c>
      <c r="J888" s="554">
        <f t="shared" si="309"/>
        <v>275.44</v>
      </c>
      <c r="K888" s="554">
        <f t="shared" si="310"/>
        <v>0</v>
      </c>
      <c r="L888" s="554">
        <f t="shared" si="311"/>
        <v>0</v>
      </c>
      <c r="M888" s="554">
        <f t="shared" si="312"/>
        <v>0</v>
      </c>
      <c r="N888" s="104"/>
    </row>
    <row r="889" spans="1:14">
      <c r="A889" s="36"/>
      <c r="B889" s="402"/>
      <c r="C889" s="367"/>
      <c r="D889" s="217"/>
      <c r="E889" s="295"/>
      <c r="F889" s="369"/>
      <c r="G889" s="428"/>
      <c r="H889" s="586" t="str">
        <f>IFERROR(VLOOKUP(D889,'ВИС-2026'!$E$17:$K$2649,8,0),"")</f>
        <v/>
      </c>
      <c r="I889" s="586" t="str">
        <f t="shared" si="308"/>
        <v/>
      </c>
      <c r="J889" s="586" t="str">
        <f t="shared" si="309"/>
        <v/>
      </c>
      <c r="K889" s="586" t="str">
        <f t="shared" si="310"/>
        <v/>
      </c>
      <c r="L889" s="586" t="str">
        <f t="shared" si="311"/>
        <v/>
      </c>
      <c r="M889" s="586" t="str">
        <f t="shared" si="312"/>
        <v/>
      </c>
      <c r="N889" s="104"/>
    </row>
    <row r="890" spans="1:14" s="74" customFormat="1" ht="30.6">
      <c r="A890" s="148" t="s">
        <v>25</v>
      </c>
      <c r="B890" s="208" t="s">
        <v>26</v>
      </c>
      <c r="C890" s="351" t="s">
        <v>691</v>
      </c>
      <c r="D890" s="188">
        <v>13168311100</v>
      </c>
      <c r="E890" s="553" t="str">
        <f>IFERROR(VLOOKUP(D890,'ВИС-2026'!$E$17:$H$2115,2,0),"")</f>
        <v>Комплект для установки (не подходит для систем NEA smart R)</v>
      </c>
      <c r="F890" s="292" t="str">
        <f>IFERROR(VLOOKUP(D890,'ВИС-2026'!$E$17:$H$2115,4,0),"")</f>
        <v>шт</v>
      </c>
      <c r="G890" s="428"/>
      <c r="H890" s="554">
        <f>IFERROR(VLOOKUP(D890,'ВИС-2026'!$E$17:$K$2649,7,0),"")</f>
        <v>22.44</v>
      </c>
      <c r="I890" s="554">
        <f t="shared" si="308"/>
        <v>0</v>
      </c>
      <c r="J890" s="554">
        <f t="shared" si="309"/>
        <v>22.44</v>
      </c>
      <c r="K890" s="554">
        <f t="shared" si="310"/>
        <v>0</v>
      </c>
      <c r="L890" s="554">
        <f t="shared" si="311"/>
        <v>0</v>
      </c>
      <c r="M890" s="554">
        <f t="shared" si="312"/>
        <v>0</v>
      </c>
      <c r="N890" s="104"/>
    </row>
    <row r="891" spans="1:14" s="74" customFormat="1">
      <c r="A891" s="36"/>
      <c r="B891" s="261"/>
      <c r="C891" s="248"/>
      <c r="D891" s="188"/>
      <c r="E891" s="258"/>
      <c r="F891" s="568" t="s">
        <v>65</v>
      </c>
      <c r="G891" s="428"/>
      <c r="H891" s="569" t="str">
        <f>IFERROR(VLOOKUP(D891,'ВИС-2026'!$E$17:$K$2649,8,0),"")</f>
        <v/>
      </c>
      <c r="I891" s="569" t="str">
        <f t="shared" si="308"/>
        <v/>
      </c>
      <c r="J891" s="569" t="str">
        <f t="shared" si="309"/>
        <v/>
      </c>
      <c r="K891" s="569" t="str">
        <f t="shared" si="310"/>
        <v/>
      </c>
      <c r="L891" s="569" t="str">
        <f t="shared" si="311"/>
        <v/>
      </c>
      <c r="M891" s="569" t="str">
        <f t="shared" si="312"/>
        <v/>
      </c>
      <c r="N891" s="104"/>
    </row>
    <row r="892" spans="1:14" s="74" customFormat="1">
      <c r="A892" s="36"/>
      <c r="B892" s="429"/>
      <c r="C892" s="430" t="s">
        <v>714</v>
      </c>
      <c r="D892" s="233"/>
      <c r="E892" s="303" t="s">
        <v>715</v>
      </c>
      <c r="F892" s="579"/>
      <c r="G892" s="556"/>
      <c r="H892" s="580" t="str">
        <f>IFERROR(VLOOKUP(D892,'ВИС-2026'!$E$17:$K$2649,8,0),"")</f>
        <v/>
      </c>
      <c r="I892" s="580" t="str">
        <f t="shared" si="308"/>
        <v/>
      </c>
      <c r="J892" s="580" t="str">
        <f t="shared" si="309"/>
        <v/>
      </c>
      <c r="K892" s="580" t="str">
        <f t="shared" si="310"/>
        <v/>
      </c>
      <c r="L892" s="580" t="str">
        <f t="shared" si="311"/>
        <v/>
      </c>
      <c r="M892" s="580" t="str">
        <f t="shared" si="312"/>
        <v/>
      </c>
      <c r="N892" s="104"/>
    </row>
    <row r="893" spans="1:14" s="74" customFormat="1">
      <c r="A893" s="36"/>
      <c r="B893" s="429"/>
      <c r="C893" s="433"/>
      <c r="D893" s="233"/>
      <c r="E893" s="303"/>
      <c r="F893" s="579"/>
      <c r="G893" s="556"/>
      <c r="H893" s="580" t="str">
        <f>IFERROR(VLOOKUP(D893,'ВИС-2026'!$E$17:$K$2649,8,0),"")</f>
        <v/>
      </c>
      <c r="I893" s="580" t="str">
        <f t="shared" si="308"/>
        <v/>
      </c>
      <c r="J893" s="580" t="str">
        <f t="shared" si="309"/>
        <v/>
      </c>
      <c r="K893" s="580" t="str">
        <f t="shared" si="310"/>
        <v/>
      </c>
      <c r="L893" s="580" t="str">
        <f t="shared" si="311"/>
        <v/>
      </c>
      <c r="M893" s="580" t="str">
        <f t="shared" si="312"/>
        <v/>
      </c>
      <c r="N893" s="104"/>
    </row>
    <row r="894" spans="1:14" s="74" customFormat="1">
      <c r="A894" s="156"/>
      <c r="B894" s="434" t="s">
        <v>30</v>
      </c>
      <c r="C894" s="435" t="s">
        <v>714</v>
      </c>
      <c r="D894" s="188">
        <v>12193321002</v>
      </c>
      <c r="E894" s="553" t="str">
        <f>IFERROR(VLOOKUP(D894,'ВИС-2026'!$E$17:$H$2115,2,0),"")</f>
        <v>Комплект механического инструмента RAUTOOL М1C (без насадок и экспандера)</v>
      </c>
      <c r="F894" s="292" t="str">
        <f>IFERROR(VLOOKUP(D894,'ВИС-2026'!$E$17:$H$2115,4,0),"")</f>
        <v>шт</v>
      </c>
      <c r="G894" s="428"/>
      <c r="H894" s="554">
        <f>IFERROR(VLOOKUP(D894,'ВИС-2026'!$E$17:$K$2649,7,0),"")</f>
        <v>302.22000000000003</v>
      </c>
      <c r="I894" s="554">
        <f t="shared" si="308"/>
        <v>0</v>
      </c>
      <c r="J894" s="554">
        <f t="shared" si="309"/>
        <v>302.22000000000003</v>
      </c>
      <c r="K894" s="554">
        <f t="shared" si="310"/>
        <v>0</v>
      </c>
      <c r="L894" s="554">
        <f t="shared" si="311"/>
        <v>0</v>
      </c>
      <c r="M894" s="554">
        <f t="shared" si="312"/>
        <v>0</v>
      </c>
      <c r="N894" s="104"/>
    </row>
    <row r="895" spans="1:14" s="74" customFormat="1">
      <c r="A895" s="36"/>
      <c r="B895" s="434"/>
      <c r="C895" s="440"/>
      <c r="D895" s="188"/>
      <c r="E895" s="437"/>
      <c r="F895" s="568" t="s">
        <v>65</v>
      </c>
      <c r="G895" s="428"/>
      <c r="H895" s="569" t="str">
        <f>IFERROR(VLOOKUP(D895,'ВИС-2026'!$E$17:$K$2649,8,0),"")</f>
        <v/>
      </c>
      <c r="I895" s="569" t="str">
        <f t="shared" si="308"/>
        <v/>
      </c>
      <c r="J895" s="569" t="str">
        <f t="shared" si="309"/>
        <v/>
      </c>
      <c r="K895" s="569" t="str">
        <f t="shared" si="310"/>
        <v/>
      </c>
      <c r="L895" s="569" t="str">
        <f t="shared" si="311"/>
        <v/>
      </c>
      <c r="M895" s="569" t="str">
        <f t="shared" si="312"/>
        <v/>
      </c>
      <c r="N895" s="104"/>
    </row>
    <row r="896" spans="1:14" s="74" customFormat="1">
      <c r="A896" s="36"/>
      <c r="B896" s="434" t="s">
        <v>397</v>
      </c>
      <c r="C896" s="435" t="s">
        <v>714</v>
      </c>
      <c r="D896" s="188">
        <v>11373641001</v>
      </c>
      <c r="E896" s="553" t="str">
        <f>IFERROR(VLOOKUP(D896,'ВИС-2026'!$E$17:$H$2115,2,0),"")</f>
        <v>Комплект запрессовочн. тисков М1 25/32 (цвет: золотисто-желтый)</v>
      </c>
      <c r="F896" s="292" t="str">
        <f>IFERROR(VLOOKUP(D896,'ВИС-2026'!$E$17:$H$2115,4,0),"")</f>
        <v>шт</v>
      </c>
      <c r="G896" s="428"/>
      <c r="H896" s="554">
        <f>IFERROR(VLOOKUP(D896,'ВИС-2026'!$E$17:$K$2649,7,0),"")</f>
        <v>160.26</v>
      </c>
      <c r="I896" s="554">
        <f t="shared" si="308"/>
        <v>0</v>
      </c>
      <c r="J896" s="554">
        <f t="shared" si="309"/>
        <v>160.26</v>
      </c>
      <c r="K896" s="554">
        <f t="shared" si="310"/>
        <v>0</v>
      </c>
      <c r="L896" s="554">
        <f t="shared" si="311"/>
        <v>0</v>
      </c>
      <c r="M896" s="554">
        <f t="shared" si="312"/>
        <v>0</v>
      </c>
      <c r="N896" s="104"/>
    </row>
    <row r="897" spans="1:14">
      <c r="A897" s="36"/>
      <c r="B897" s="434" t="s">
        <v>397</v>
      </c>
      <c r="C897" s="435" t="s">
        <v>714</v>
      </c>
      <c r="D897" s="188">
        <v>12017981001</v>
      </c>
      <c r="E897" s="553" t="str">
        <f>IFERROR(VLOOKUP(D897,'ВИС-2026'!$E$17:$H$2115,2,0),"")</f>
        <v>Комплект запрессовочн. тисков М1 40 (цвет: черный)</v>
      </c>
      <c r="F897" s="292" t="str">
        <f>IFERROR(VLOOKUP(D897,'ВИС-2026'!$E$17:$H$2115,4,0),"")</f>
        <v>шт</v>
      </c>
      <c r="G897" s="428"/>
      <c r="H897" s="554">
        <f>IFERROR(VLOOKUP(D897,'ВИС-2026'!$E$17:$K$2649,7,0),"")</f>
        <v>202.37</v>
      </c>
      <c r="I897" s="554">
        <f t="shared" si="308"/>
        <v>0</v>
      </c>
      <c r="J897" s="554">
        <f t="shared" si="309"/>
        <v>202.37</v>
      </c>
      <c r="K897" s="554">
        <f t="shared" si="310"/>
        <v>0</v>
      </c>
      <c r="L897" s="554">
        <f t="shared" si="311"/>
        <v>0</v>
      </c>
      <c r="M897" s="554">
        <f t="shared" si="312"/>
        <v>0</v>
      </c>
      <c r="N897" s="104"/>
    </row>
    <row r="898" spans="1:14" s="73" customFormat="1">
      <c r="A898" s="36"/>
      <c r="B898" s="434"/>
      <c r="C898" s="440"/>
      <c r="D898" s="188"/>
      <c r="E898" s="437"/>
      <c r="F898" s="375" t="s">
        <v>65</v>
      </c>
      <c r="G898" s="428"/>
      <c r="H898" s="581" t="str">
        <f>IFERROR(VLOOKUP(D898,'ВИС-2026'!$E$17:$K$2649,8,0),"")</f>
        <v/>
      </c>
      <c r="I898" s="581" t="str">
        <f t="shared" si="308"/>
        <v/>
      </c>
      <c r="J898" s="581" t="str">
        <f t="shared" si="309"/>
        <v/>
      </c>
      <c r="K898" s="581" t="str">
        <f t="shared" si="310"/>
        <v/>
      </c>
      <c r="L898" s="581" t="str">
        <f t="shared" si="311"/>
        <v/>
      </c>
      <c r="M898" s="581" t="str">
        <f t="shared" si="312"/>
        <v/>
      </c>
      <c r="N898" s="104"/>
    </row>
    <row r="899" spans="1:14" s="73" customFormat="1">
      <c r="A899" s="36"/>
      <c r="B899" s="434" t="s">
        <v>397</v>
      </c>
      <c r="C899" s="435" t="s">
        <v>714</v>
      </c>
      <c r="D899" s="188">
        <v>12141761001</v>
      </c>
      <c r="E899" s="553" t="str">
        <f>IFERROR(VLOOKUP(D899,'ВИС-2026'!$E$17:$H$2115,2,0),"")</f>
        <v>Экспандер механический системы QC</v>
      </c>
      <c r="F899" s="292" t="str">
        <f>IFERROR(VLOOKUP(D899,'ВИС-2026'!$E$17:$H$2115,4,0),"")</f>
        <v>шт</v>
      </c>
      <c r="G899" s="428"/>
      <c r="H899" s="554">
        <f>IFERROR(VLOOKUP(D899,'ВИС-2026'!$E$17:$K$2649,7,0),"")</f>
        <v>240.41</v>
      </c>
      <c r="I899" s="554">
        <f t="shared" si="308"/>
        <v>0</v>
      </c>
      <c r="J899" s="554">
        <f t="shared" si="309"/>
        <v>240.41</v>
      </c>
      <c r="K899" s="554">
        <f t="shared" si="310"/>
        <v>0</v>
      </c>
      <c r="L899" s="554">
        <f t="shared" si="311"/>
        <v>0</v>
      </c>
      <c r="M899" s="554">
        <f t="shared" si="312"/>
        <v>0</v>
      </c>
      <c r="N899" s="104"/>
    </row>
    <row r="900" spans="1:14">
      <c r="A900" s="36"/>
      <c r="B900" s="441"/>
      <c r="C900" s="442"/>
      <c r="D900" s="217"/>
      <c r="E900" s="444"/>
      <c r="F900" s="358"/>
      <c r="G900" s="428"/>
      <c r="H900" s="559" t="str">
        <f>IFERROR(VLOOKUP(D900,'ВИС-2026'!$E$17:$K$2649,8,0),"")</f>
        <v/>
      </c>
      <c r="I900" s="559" t="str">
        <f t="shared" si="308"/>
        <v/>
      </c>
      <c r="J900" s="559" t="str">
        <f t="shared" si="309"/>
        <v/>
      </c>
      <c r="K900" s="559" t="str">
        <f t="shared" si="310"/>
        <v/>
      </c>
      <c r="L900" s="559" t="str">
        <f t="shared" si="311"/>
        <v/>
      </c>
      <c r="M900" s="559" t="str">
        <f t="shared" si="312"/>
        <v/>
      </c>
      <c r="N900" s="104"/>
    </row>
    <row r="901" spans="1:14" s="74" customFormat="1">
      <c r="A901" s="36"/>
      <c r="B901" s="434" t="s">
        <v>397</v>
      </c>
      <c r="C901" s="435" t="s">
        <v>714</v>
      </c>
      <c r="D901" s="188">
        <v>12141691001</v>
      </c>
      <c r="E901" s="553" t="str">
        <f>IFERROR(VLOOKUP(D901,'ВИС-2026'!$E$17:$H$2115,2,0),"")</f>
        <v>Расширительная насадка для экспандера QC 16х2,2</v>
      </c>
      <c r="F901" s="292" t="str">
        <f>IFERROR(VLOOKUP(D901,'ВИС-2026'!$E$17:$H$2115,4,0),"")</f>
        <v>шт</v>
      </c>
      <c r="G901" s="428"/>
      <c r="H901" s="554">
        <f>IFERROR(VLOOKUP(D901,'ВИС-2026'!$E$17:$K$2649,7,0),"")</f>
        <v>85.17</v>
      </c>
      <c r="I901" s="554">
        <f t="shared" si="308"/>
        <v>0</v>
      </c>
      <c r="J901" s="554">
        <f t="shared" si="309"/>
        <v>85.17</v>
      </c>
      <c r="K901" s="554">
        <f t="shared" si="310"/>
        <v>0</v>
      </c>
      <c r="L901" s="554">
        <f t="shared" si="311"/>
        <v>0</v>
      </c>
      <c r="M901" s="554">
        <f t="shared" si="312"/>
        <v>0</v>
      </c>
      <c r="N901" s="104"/>
    </row>
    <row r="902" spans="1:14">
      <c r="A902" s="36"/>
      <c r="B902" s="434" t="s">
        <v>397</v>
      </c>
      <c r="C902" s="435" t="s">
        <v>714</v>
      </c>
      <c r="D902" s="188">
        <v>12141711001</v>
      </c>
      <c r="E902" s="553" t="str">
        <f>IFERROR(VLOOKUP(D902,'ВИС-2026'!$E$17:$H$2115,2,0),"")</f>
        <v>Расширительная насадка для экспандера QC 20х2,8</v>
      </c>
      <c r="F902" s="292" t="str">
        <f>IFERROR(VLOOKUP(D902,'ВИС-2026'!$E$17:$H$2115,4,0),"")</f>
        <v>шт</v>
      </c>
      <c r="G902" s="428"/>
      <c r="H902" s="554">
        <f>IFERROR(VLOOKUP(D902,'ВИС-2026'!$E$17:$K$2649,7,0),"")</f>
        <v>85.17</v>
      </c>
      <c r="I902" s="554">
        <f t="shared" si="308"/>
        <v>0</v>
      </c>
      <c r="J902" s="554">
        <f t="shared" si="309"/>
        <v>85.17</v>
      </c>
      <c r="K902" s="554">
        <f t="shared" si="310"/>
        <v>0</v>
      </c>
      <c r="L902" s="554">
        <f t="shared" si="311"/>
        <v>0</v>
      </c>
      <c r="M902" s="554">
        <f t="shared" si="312"/>
        <v>0</v>
      </c>
      <c r="N902" s="104"/>
    </row>
    <row r="903" spans="1:14">
      <c r="A903" s="36"/>
      <c r="B903" s="434" t="s">
        <v>397</v>
      </c>
      <c r="C903" s="435" t="s">
        <v>714</v>
      </c>
      <c r="D903" s="188">
        <v>12141721001</v>
      </c>
      <c r="E903" s="553" t="str">
        <f>IFERROR(VLOOKUP(D903,'ВИС-2026'!$E$17:$H$2115,2,0),"")</f>
        <v>Расширительная насадка для экспандера QC 25х3,5</v>
      </c>
      <c r="F903" s="292" t="str">
        <f>IFERROR(VLOOKUP(D903,'ВИС-2026'!$E$17:$H$2115,4,0),"")</f>
        <v>шт</v>
      </c>
      <c r="G903" s="428"/>
      <c r="H903" s="554">
        <f>IFERROR(VLOOKUP(D903,'ВИС-2026'!$E$17:$K$2649,7,0),"")</f>
        <v>85.17</v>
      </c>
      <c r="I903" s="554">
        <f t="shared" si="308"/>
        <v>0</v>
      </c>
      <c r="J903" s="554">
        <f t="shared" si="309"/>
        <v>85.17</v>
      </c>
      <c r="K903" s="554">
        <f t="shared" si="310"/>
        <v>0</v>
      </c>
      <c r="L903" s="554">
        <f t="shared" si="311"/>
        <v>0</v>
      </c>
      <c r="M903" s="554">
        <f t="shared" si="312"/>
        <v>0</v>
      </c>
      <c r="N903" s="104"/>
    </row>
    <row r="904" spans="1:14">
      <c r="A904" s="36"/>
      <c r="B904" s="434" t="s">
        <v>397</v>
      </c>
      <c r="C904" s="446" t="s">
        <v>714</v>
      </c>
      <c r="D904" s="188">
        <v>11315681001</v>
      </c>
      <c r="E904" s="553" t="str">
        <f>IFERROR(VLOOKUP(D904,'ВИС-2026'!$E$17:$H$2115,2,0),"")</f>
        <v>Расширительная насадка для экспандера QC 32х2,9</v>
      </c>
      <c r="F904" s="292" t="str">
        <f>IFERROR(VLOOKUP(D904,'ВИС-2026'!$E$17:$H$2115,4,0),"")</f>
        <v>шт</v>
      </c>
      <c r="G904" s="428"/>
      <c r="H904" s="554">
        <f>IFERROR(VLOOKUP(D904,'ВИС-2026'!$E$17:$K$2649,7,0),"")</f>
        <v>85.17</v>
      </c>
      <c r="I904" s="554">
        <f t="shared" si="308"/>
        <v>0</v>
      </c>
      <c r="J904" s="554">
        <f t="shared" si="309"/>
        <v>85.17</v>
      </c>
      <c r="K904" s="554">
        <f t="shared" si="310"/>
        <v>0</v>
      </c>
      <c r="L904" s="554">
        <f t="shared" si="311"/>
        <v>0</v>
      </c>
      <c r="M904" s="554">
        <f t="shared" si="312"/>
        <v>0</v>
      </c>
      <c r="N904" s="104"/>
    </row>
    <row r="905" spans="1:14">
      <c r="A905" s="36"/>
      <c r="B905" s="434" t="s">
        <v>397</v>
      </c>
      <c r="C905" s="446" t="s">
        <v>714</v>
      </c>
      <c r="D905" s="188">
        <v>12092271001</v>
      </c>
      <c r="E905" s="553" t="str">
        <f>IFERROR(VLOOKUP(D905,'ВИС-2026'!$E$17:$H$2115,2,0),"")</f>
        <v>Расширительная насадка для экспандера QC 32х4,7 (Stabil)</v>
      </c>
      <c r="F905" s="292" t="str">
        <f>IFERROR(VLOOKUP(D905,'ВИС-2026'!$E$17:$H$2115,4,0),"")</f>
        <v>шт</v>
      </c>
      <c r="G905" s="428"/>
      <c r="H905" s="554">
        <f>IFERROR(VLOOKUP(D905,'ВИС-2026'!$E$17:$K$2649,7,0),"")</f>
        <v>96.23</v>
      </c>
      <c r="I905" s="554">
        <f t="shared" si="308"/>
        <v>0</v>
      </c>
      <c r="J905" s="554">
        <f t="shared" si="309"/>
        <v>96.23</v>
      </c>
      <c r="K905" s="554">
        <f t="shared" si="310"/>
        <v>0</v>
      </c>
      <c r="L905" s="554">
        <f t="shared" si="311"/>
        <v>0</v>
      </c>
      <c r="M905" s="554">
        <f t="shared" si="312"/>
        <v>0</v>
      </c>
      <c r="N905" s="104"/>
    </row>
    <row r="906" spans="1:14">
      <c r="A906" s="36"/>
      <c r="B906" s="434" t="s">
        <v>397</v>
      </c>
      <c r="C906" s="446" t="s">
        <v>714</v>
      </c>
      <c r="D906" s="188">
        <v>12166941001</v>
      </c>
      <c r="E906" s="553" t="str">
        <f>IFERROR(VLOOKUP(D906,'ВИС-2026'!$E$17:$H$2115,2,0),"")</f>
        <v>Расширительная насадка экспандера QC для метал. трубок</v>
      </c>
      <c r="F906" s="292" t="str">
        <f>IFERROR(VLOOKUP(D906,'ВИС-2026'!$E$17:$H$2115,4,0),"")</f>
        <v>шт</v>
      </c>
      <c r="G906" s="428"/>
      <c r="H906" s="554">
        <f>IFERROR(VLOOKUP(D906,'ВИС-2026'!$E$17:$K$2649,7,0),"")</f>
        <v>67.23</v>
      </c>
      <c r="I906" s="554">
        <f t="shared" si="308"/>
        <v>0</v>
      </c>
      <c r="J906" s="554">
        <f t="shared" si="309"/>
        <v>67.23</v>
      </c>
      <c r="K906" s="554">
        <f t="shared" si="310"/>
        <v>0</v>
      </c>
      <c r="L906" s="554">
        <f t="shared" si="311"/>
        <v>0</v>
      </c>
      <c r="M906" s="554">
        <f t="shared" si="312"/>
        <v>0</v>
      </c>
      <c r="N906" s="104"/>
    </row>
    <row r="907" spans="1:14">
      <c r="A907" s="36"/>
      <c r="B907" s="434"/>
      <c r="C907" s="446"/>
      <c r="D907" s="188"/>
      <c r="E907" s="553"/>
      <c r="F907" s="292"/>
      <c r="G907" s="428"/>
      <c r="H907" s="554"/>
      <c r="I907" s="554"/>
      <c r="J907" s="554"/>
      <c r="K907" s="554"/>
      <c r="L907" s="554"/>
      <c r="M907" s="554"/>
      <c r="N907" s="104"/>
    </row>
    <row r="908" spans="1:14">
      <c r="A908" s="36"/>
      <c r="B908" s="434" t="s">
        <v>30</v>
      </c>
      <c r="C908" s="446" t="s">
        <v>714</v>
      </c>
      <c r="D908" s="188">
        <v>12141693001</v>
      </c>
      <c r="E908" s="553" t="str">
        <f>IFERROR(VLOOKUP(D908,'ВИС-2026'!$E$17:$H$2115,2,0),"")</f>
        <v>Расширительная насадка для экспандера QC 16х2,2 PEX</v>
      </c>
      <c r="F908" s="292" t="str">
        <f>IFERROR(VLOOKUP(D908,'ВИС-2026'!$E$17:$H$2115,4,0),"")</f>
        <v>шт</v>
      </c>
      <c r="G908" s="428"/>
      <c r="H908" s="554">
        <f>IFERROR(VLOOKUP(D908,'ВИС-2026'!$E$17:$K$2649,7,0),"")</f>
        <v>43.27</v>
      </c>
      <c r="I908" s="554">
        <f t="shared" ref="I908:I915" si="313">IFERROR(H908*G908,"")</f>
        <v>0</v>
      </c>
      <c r="J908" s="554">
        <f t="shared" ref="J908:J915" si="314">IFERROR((IF(H908="","",H908-H908*$D$7)),"")</f>
        <v>43.27</v>
      </c>
      <c r="K908" s="554">
        <f t="shared" ref="K908:K915" si="315">IFERROR(J908*G908, "")</f>
        <v>0</v>
      </c>
      <c r="L908" s="554">
        <f t="shared" ref="L908:L915" si="316">IFERROR(J908*$D$8, "")</f>
        <v>0</v>
      </c>
      <c r="M908" s="554">
        <f t="shared" ref="M908:M915" si="317">IFERROR(L908*G908, "")</f>
        <v>0</v>
      </c>
      <c r="N908" s="104"/>
    </row>
    <row r="909" spans="1:14">
      <c r="A909" s="36"/>
      <c r="B909" s="434" t="s">
        <v>30</v>
      </c>
      <c r="C909" s="446" t="s">
        <v>714</v>
      </c>
      <c r="D909" s="188">
        <v>12141713001</v>
      </c>
      <c r="E909" s="553" t="str">
        <f>IFERROR(VLOOKUP(D909,'ВИС-2026'!$E$17:$H$2115,2,0),"")</f>
        <v>Расширительная насадка для экспандера QC 20х2,8 PEX</v>
      </c>
      <c r="F909" s="292" t="str">
        <f>IFERROR(VLOOKUP(D909,'ВИС-2026'!$E$17:$H$2115,4,0),"")</f>
        <v>шт</v>
      </c>
      <c r="G909" s="428"/>
      <c r="H909" s="554">
        <f>IFERROR(VLOOKUP(D909,'ВИС-2026'!$E$17:$K$2649,7,0),"")</f>
        <v>43.27</v>
      </c>
      <c r="I909" s="554">
        <f t="shared" si="313"/>
        <v>0</v>
      </c>
      <c r="J909" s="554">
        <f t="shared" si="314"/>
        <v>43.27</v>
      </c>
      <c r="K909" s="554">
        <f t="shared" si="315"/>
        <v>0</v>
      </c>
      <c r="L909" s="554">
        <f t="shared" si="316"/>
        <v>0</v>
      </c>
      <c r="M909" s="554">
        <f t="shared" si="317"/>
        <v>0</v>
      </c>
      <c r="N909" s="104"/>
    </row>
    <row r="910" spans="1:14">
      <c r="A910" s="36"/>
      <c r="B910" s="434" t="s">
        <v>30</v>
      </c>
      <c r="C910" s="446" t="s">
        <v>714</v>
      </c>
      <c r="D910" s="188">
        <v>12141723001</v>
      </c>
      <c r="E910" s="553" t="str">
        <f>IFERROR(VLOOKUP(D910,'ВИС-2026'!$E$17:$H$2115,2,0),"")</f>
        <v>Расширительная насадка для экспандера QC 25х3,5 PEX</v>
      </c>
      <c r="F910" s="292" t="str">
        <f>IFERROR(VLOOKUP(D910,'ВИС-2026'!$E$17:$H$2115,4,0),"")</f>
        <v>шт</v>
      </c>
      <c r="G910" s="428"/>
      <c r="H910" s="554">
        <f>IFERROR(VLOOKUP(D910,'ВИС-2026'!$E$17:$K$2649,7,0),"")</f>
        <v>47.6</v>
      </c>
      <c r="I910" s="554">
        <f t="shared" si="313"/>
        <v>0</v>
      </c>
      <c r="J910" s="554">
        <f t="shared" si="314"/>
        <v>47.6</v>
      </c>
      <c r="K910" s="554">
        <f t="shared" si="315"/>
        <v>0</v>
      </c>
      <c r="L910" s="554">
        <f t="shared" si="316"/>
        <v>0</v>
      </c>
      <c r="M910" s="554">
        <f t="shared" si="317"/>
        <v>0</v>
      </c>
      <c r="N910" s="104"/>
    </row>
    <row r="911" spans="1:14">
      <c r="A911" s="36"/>
      <c r="B911" s="434" t="s">
        <v>30</v>
      </c>
      <c r="C911" s="446" t="s">
        <v>714</v>
      </c>
      <c r="D911" s="188">
        <v>12141753001</v>
      </c>
      <c r="E911" s="553" t="str">
        <f>IFERROR(VLOOKUP(D911,'ВИС-2026'!$E$17:$H$2115,2,0),"")</f>
        <v>Расширительная насадка для экспандера QC 32х4,4 PEX</v>
      </c>
      <c r="F911" s="292" t="str">
        <f>IFERROR(VLOOKUP(D911,'ВИС-2026'!$E$17:$H$2115,4,0),"")</f>
        <v>шт</v>
      </c>
      <c r="G911" s="428"/>
      <c r="H911" s="554">
        <f>IFERROR(VLOOKUP(D911,'ВИС-2026'!$E$17:$K$2649,7,0),"")</f>
        <v>49.46</v>
      </c>
      <c r="I911" s="554">
        <f t="shared" si="313"/>
        <v>0</v>
      </c>
      <c r="J911" s="554">
        <f t="shared" si="314"/>
        <v>49.46</v>
      </c>
      <c r="K911" s="554">
        <f t="shared" si="315"/>
        <v>0</v>
      </c>
      <c r="L911" s="554">
        <f t="shared" si="316"/>
        <v>0</v>
      </c>
      <c r="M911" s="554">
        <f t="shared" si="317"/>
        <v>0</v>
      </c>
      <c r="N911" s="104"/>
    </row>
    <row r="912" spans="1:14">
      <c r="A912" s="36"/>
      <c r="B912" s="434" t="s">
        <v>30</v>
      </c>
      <c r="C912" s="446" t="s">
        <v>714</v>
      </c>
      <c r="D912" s="188">
        <v>12092243001</v>
      </c>
      <c r="E912" s="553" t="str">
        <f>IFERROR(VLOOKUP(D912,'ВИС-2026'!$E$17:$H$2115,2,0),"")</f>
        <v>Расширительная насадка для экспандера QC 16,2х2,6 (Stabil)</v>
      </c>
      <c r="F912" s="292" t="str">
        <f>IFERROR(VLOOKUP(D912,'ВИС-2026'!$E$17:$H$2115,4,0),"")</f>
        <v>шт</v>
      </c>
      <c r="G912" s="428"/>
      <c r="H912" s="554">
        <f>IFERROR(VLOOKUP(D912,'ВИС-2026'!$E$17:$K$2649,7,0),"")</f>
        <v>51.92</v>
      </c>
      <c r="I912" s="554">
        <f t="shared" si="313"/>
        <v>0</v>
      </c>
      <c r="J912" s="554">
        <f t="shared" si="314"/>
        <v>51.92</v>
      </c>
      <c r="K912" s="554">
        <f t="shared" si="315"/>
        <v>0</v>
      </c>
      <c r="L912" s="554">
        <f t="shared" si="316"/>
        <v>0</v>
      </c>
      <c r="M912" s="554">
        <f t="shared" si="317"/>
        <v>0</v>
      </c>
      <c r="N912" s="104"/>
    </row>
    <row r="913" spans="1:14">
      <c r="A913" s="36"/>
      <c r="B913" s="434" t="s">
        <v>30</v>
      </c>
      <c r="C913" s="446" t="s">
        <v>714</v>
      </c>
      <c r="D913" s="188">
        <v>12092253001</v>
      </c>
      <c r="E913" s="553" t="str">
        <f>IFERROR(VLOOKUP(D913,'ВИС-2026'!$E$17:$H$2115,2,0),"")</f>
        <v>Расширительная насадка для экспандера QC 20х2,9 (Stabil)</v>
      </c>
      <c r="F913" s="292" t="str">
        <f>IFERROR(VLOOKUP(D913,'ВИС-2026'!$E$17:$H$2115,4,0),"")</f>
        <v>шт</v>
      </c>
      <c r="G913" s="428"/>
      <c r="H913" s="554">
        <f>IFERROR(VLOOKUP(D913,'ВИС-2026'!$E$17:$K$2649,7,0),"")</f>
        <v>51.92</v>
      </c>
      <c r="I913" s="554">
        <f t="shared" si="313"/>
        <v>0</v>
      </c>
      <c r="J913" s="554">
        <f t="shared" si="314"/>
        <v>51.92</v>
      </c>
      <c r="K913" s="554">
        <f t="shared" si="315"/>
        <v>0</v>
      </c>
      <c r="L913" s="554">
        <f t="shared" si="316"/>
        <v>0</v>
      </c>
      <c r="M913" s="554">
        <f t="shared" si="317"/>
        <v>0</v>
      </c>
      <c r="N913" s="104"/>
    </row>
    <row r="914" spans="1:14">
      <c r="A914" s="36"/>
      <c r="B914" s="434" t="s">
        <v>30</v>
      </c>
      <c r="C914" s="446" t="s">
        <v>714</v>
      </c>
      <c r="D914" s="188">
        <v>12092263001</v>
      </c>
      <c r="E914" s="553" t="str">
        <f>IFERROR(VLOOKUP(D914,'ВИС-2026'!$E$17:$H$2115,2,0),"")</f>
        <v>Расширительная насадка для экспандера QC 25х3,7 (Stabil)</v>
      </c>
      <c r="F914" s="292" t="str">
        <f>IFERROR(VLOOKUP(D914,'ВИС-2026'!$E$17:$H$2115,4,0),"")</f>
        <v>шт</v>
      </c>
      <c r="G914" s="428"/>
      <c r="H914" s="554">
        <f>IFERROR(VLOOKUP(D914,'ВИС-2026'!$E$17:$K$2649,7,0),"")</f>
        <v>57.12</v>
      </c>
      <c r="I914" s="554">
        <f t="shared" si="313"/>
        <v>0</v>
      </c>
      <c r="J914" s="554">
        <f t="shared" si="314"/>
        <v>57.12</v>
      </c>
      <c r="K914" s="554">
        <f t="shared" si="315"/>
        <v>0</v>
      </c>
      <c r="L914" s="554">
        <f t="shared" si="316"/>
        <v>0</v>
      </c>
      <c r="M914" s="554">
        <f t="shared" si="317"/>
        <v>0</v>
      </c>
      <c r="N914" s="104"/>
    </row>
    <row r="915" spans="1:14">
      <c r="A915" s="36"/>
      <c r="B915" s="434" t="s">
        <v>30</v>
      </c>
      <c r="C915" s="446" t="s">
        <v>714</v>
      </c>
      <c r="D915" s="188">
        <v>12092273001</v>
      </c>
      <c r="E915" s="553" t="str">
        <f>IFERROR(VLOOKUP(D915,'ВИС-2026'!$E$17:$H$2115,2,0),"")</f>
        <v>Расширительная насадка для экспандера QC 32х4,7 (Stabil)</v>
      </c>
      <c r="F915" s="292" t="str">
        <f>IFERROR(VLOOKUP(D915,'ВИС-2026'!$E$17:$H$2115,4,0),"")</f>
        <v>шт</v>
      </c>
      <c r="G915" s="428"/>
      <c r="H915" s="554">
        <f>IFERROR(VLOOKUP(D915,'ВИС-2026'!$E$17:$K$2649,7,0),"")</f>
        <v>59.34</v>
      </c>
      <c r="I915" s="554">
        <f t="shared" si="313"/>
        <v>0</v>
      </c>
      <c r="J915" s="554">
        <f t="shared" si="314"/>
        <v>59.34</v>
      </c>
      <c r="K915" s="554">
        <f t="shared" si="315"/>
        <v>0</v>
      </c>
      <c r="L915" s="554">
        <f t="shared" si="316"/>
        <v>0</v>
      </c>
      <c r="M915" s="554">
        <f t="shared" si="317"/>
        <v>0</v>
      </c>
      <c r="N915" s="104"/>
    </row>
    <row r="916" spans="1:14">
      <c r="A916" s="36"/>
      <c r="B916" s="441"/>
      <c r="C916" s="448"/>
      <c r="D916" s="217"/>
      <c r="E916" s="444"/>
      <c r="F916" s="248"/>
      <c r="G916" s="428"/>
      <c r="H916" s="589" t="str">
        <f>IFERROR(VLOOKUP(D916,'ВИС-2026'!$E$17:$K$2649,8,0),"")</f>
        <v/>
      </c>
      <c r="I916" s="554" t="str">
        <f t="shared" si="308"/>
        <v/>
      </c>
      <c r="J916" s="554" t="str">
        <f t="shared" si="309"/>
        <v/>
      </c>
      <c r="K916" s="554" t="str">
        <f t="shared" si="310"/>
        <v/>
      </c>
      <c r="L916" s="554" t="str">
        <f t="shared" si="311"/>
        <v/>
      </c>
      <c r="M916" s="554" t="str">
        <f t="shared" si="312"/>
        <v/>
      </c>
      <c r="N916" s="104"/>
    </row>
    <row r="917" spans="1:14">
      <c r="A917" s="36"/>
      <c r="B917" s="434" t="s">
        <v>397</v>
      </c>
      <c r="C917" s="446" t="s">
        <v>714</v>
      </c>
      <c r="D917" s="188">
        <v>11064811001</v>
      </c>
      <c r="E917" s="553" t="str">
        <f>IFERROR(VLOOKUP(D917,'ВИС-2026'!$E$17:$H$2115,2,0),"")</f>
        <v>Расширительная насадка для экспандера Step one QC1 32x4,4</v>
      </c>
      <c r="F917" s="292" t="str">
        <f>IFERROR(VLOOKUP(D917,'ВИС-2026'!$E$17:$H$2115,4,0),"")</f>
        <v>шт</v>
      </c>
      <c r="G917" s="428"/>
      <c r="H917" s="554">
        <f>IFERROR(VLOOKUP(D917,'ВИС-2026'!$E$17:$K$2649,7,0),"")</f>
        <v>218.32</v>
      </c>
      <c r="I917" s="554">
        <f t="shared" si="308"/>
        <v>0</v>
      </c>
      <c r="J917" s="554">
        <f t="shared" si="309"/>
        <v>218.32</v>
      </c>
      <c r="K917" s="554">
        <f t="shared" si="310"/>
        <v>0</v>
      </c>
      <c r="L917" s="554">
        <f t="shared" si="311"/>
        <v>0</v>
      </c>
      <c r="M917" s="554">
        <f t="shared" si="312"/>
        <v>0</v>
      </c>
      <c r="N917" s="104"/>
    </row>
    <row r="918" spans="1:14">
      <c r="A918" s="36"/>
      <c r="B918" s="441"/>
      <c r="C918" s="448"/>
      <c r="D918" s="217"/>
      <c r="E918" s="444"/>
      <c r="F918" s="248" t="s">
        <v>65</v>
      </c>
      <c r="G918" s="428"/>
      <c r="H918" s="589" t="str">
        <f>IFERROR(VLOOKUP(D918,'ВИС-2026'!$E$17:$K$2649,8,0),"")</f>
        <v/>
      </c>
      <c r="I918" s="554" t="str">
        <f t="shared" si="308"/>
        <v/>
      </c>
      <c r="J918" s="554" t="str">
        <f t="shared" si="309"/>
        <v/>
      </c>
      <c r="K918" s="554" t="str">
        <f t="shared" si="310"/>
        <v/>
      </c>
      <c r="L918" s="554" t="str">
        <f t="shared" si="311"/>
        <v/>
      </c>
      <c r="M918" s="554" t="str">
        <f t="shared" si="312"/>
        <v/>
      </c>
      <c r="N918" s="104"/>
    </row>
    <row r="919" spans="1:14">
      <c r="A919" s="36"/>
      <c r="B919" s="449" t="s">
        <v>52</v>
      </c>
      <c r="C919" s="450" t="s">
        <v>714</v>
      </c>
      <c r="D919" s="225">
        <v>11374951002</v>
      </c>
      <c r="E919" s="553" t="str">
        <f>IFERROR(VLOOKUP(D919,'ВИС-2026'!$E$17:$H$2115,2,0),"")</f>
        <v>Ножницы труборезные 16-25 (basic)</v>
      </c>
      <c r="F919" s="292" t="str">
        <f>IFERROR(VLOOKUP(D919,'ВИС-2026'!$E$17:$H$2115,4,0),"")</f>
        <v>шт</v>
      </c>
      <c r="G919" s="428"/>
      <c r="H919" s="554">
        <f>IFERROR(VLOOKUP(D919,'ВИС-2026'!$E$17:$K$2649,7,0),"")</f>
        <v>34.83</v>
      </c>
      <c r="I919" s="554">
        <f t="shared" si="308"/>
        <v>0</v>
      </c>
      <c r="J919" s="554">
        <f t="shared" si="309"/>
        <v>34.83</v>
      </c>
      <c r="K919" s="554">
        <f t="shared" si="310"/>
        <v>0</v>
      </c>
      <c r="L919" s="554">
        <f t="shared" si="311"/>
        <v>0</v>
      </c>
      <c r="M919" s="554">
        <f t="shared" si="312"/>
        <v>0</v>
      </c>
      <c r="N919" s="104"/>
    </row>
    <row r="920" spans="1:14">
      <c r="A920" s="36"/>
      <c r="B920" s="434" t="s">
        <v>397</v>
      </c>
      <c r="C920" s="446" t="s">
        <v>714</v>
      </c>
      <c r="D920" s="188">
        <v>13152421001</v>
      </c>
      <c r="E920" s="553" t="str">
        <f>IFERROR(VLOOKUP(D920,'ВИС-2026'!$E$17:$H$2115,2,0),"")</f>
        <v>Ножницы труборезные RAUTITAN 16-40 stabil (цвет: белый)</v>
      </c>
      <c r="F920" s="292" t="str">
        <f>IFERROR(VLOOKUP(D920,'ВИС-2026'!$E$17:$H$2115,4,0),"")</f>
        <v>шт</v>
      </c>
      <c r="G920" s="428"/>
      <c r="H920" s="554">
        <f>IFERROR(VLOOKUP(D920,'ВИС-2026'!$E$17:$K$2649,7,0),"")</f>
        <v>65.45</v>
      </c>
      <c r="I920" s="554">
        <f t="shared" si="308"/>
        <v>0</v>
      </c>
      <c r="J920" s="554">
        <f t="shared" si="309"/>
        <v>65.45</v>
      </c>
      <c r="K920" s="554">
        <f t="shared" si="310"/>
        <v>0</v>
      </c>
      <c r="L920" s="554">
        <f t="shared" si="311"/>
        <v>0</v>
      </c>
      <c r="M920" s="554">
        <f t="shared" si="312"/>
        <v>0</v>
      </c>
      <c r="N920" s="104"/>
    </row>
    <row r="921" spans="1:14">
      <c r="A921" s="36"/>
      <c r="B921" s="434" t="s">
        <v>397</v>
      </c>
      <c r="C921" s="446" t="s">
        <v>714</v>
      </c>
      <c r="D921" s="188">
        <v>12474741001</v>
      </c>
      <c r="E921" s="553" t="str">
        <f>IFERROR(VLOOKUP(D921,'ВИС-2026'!$E$17:$H$2115,2,0),"")</f>
        <v>Ножницы для труб RAUTITAN 16/20 (цвет: зеленый)</v>
      </c>
      <c r="F921" s="292" t="str">
        <f>IFERROR(VLOOKUP(D921,'ВИС-2026'!$E$17:$H$2115,4,0),"")</f>
        <v>шт</v>
      </c>
      <c r="G921" s="428"/>
      <c r="H921" s="554">
        <f>IFERROR(VLOOKUP(D921,'ВИС-2026'!$E$17:$K$2649,7,0),"")</f>
        <v>121.34</v>
      </c>
      <c r="I921" s="554">
        <f t="shared" si="308"/>
        <v>0</v>
      </c>
      <c r="J921" s="554">
        <f t="shared" si="309"/>
        <v>121.34</v>
      </c>
      <c r="K921" s="554">
        <f t="shared" si="310"/>
        <v>0</v>
      </c>
      <c r="L921" s="554">
        <f t="shared" si="311"/>
        <v>0</v>
      </c>
      <c r="M921" s="554">
        <f t="shared" si="312"/>
        <v>0</v>
      </c>
      <c r="N921" s="104"/>
    </row>
    <row r="922" spans="1:14">
      <c r="A922" s="36"/>
      <c r="B922" s="434"/>
      <c r="C922" s="453"/>
      <c r="D922" s="188"/>
      <c r="E922" s="437"/>
      <c r="F922" s="248" t="s">
        <v>65</v>
      </c>
      <c r="G922" s="428"/>
      <c r="H922" s="589" t="str">
        <f>IFERROR(VLOOKUP(D922,'ВИС-2026'!$E$17:$K$2649,8,0),"")</f>
        <v/>
      </c>
      <c r="I922" s="554" t="str">
        <f t="shared" si="308"/>
        <v/>
      </c>
      <c r="J922" s="554" t="str">
        <f t="shared" si="309"/>
        <v/>
      </c>
      <c r="K922" s="554" t="str">
        <f t="shared" si="310"/>
        <v/>
      </c>
      <c r="L922" s="554" t="str">
        <f t="shared" si="311"/>
        <v/>
      </c>
      <c r="M922" s="554" t="str">
        <f t="shared" si="312"/>
        <v/>
      </c>
      <c r="N922" s="104"/>
    </row>
    <row r="923" spans="1:14" s="73" customFormat="1">
      <c r="A923" s="36"/>
      <c r="B923" s="434" t="s">
        <v>397</v>
      </c>
      <c r="C923" s="446" t="s">
        <v>714</v>
      </c>
      <c r="D923" s="188">
        <v>12283961001</v>
      </c>
      <c r="E923" s="553" t="str">
        <f>IFERROR(VLOOKUP(D923,'ВИС-2026'!$E$17:$H$2115,2,0),"")</f>
        <v>Механический инструмент RAUTOOL K 10</v>
      </c>
      <c r="F923" s="292" t="str">
        <f>IFERROR(VLOOKUP(D923,'ВИС-2026'!$E$17:$H$2115,4,0),"")</f>
        <v>шт</v>
      </c>
      <c r="G923" s="428"/>
      <c r="H923" s="554">
        <f>IFERROR(VLOOKUP(D923,'ВИС-2026'!$E$17:$K$2649,7,0),"")</f>
        <v>257.94</v>
      </c>
      <c r="I923" s="554">
        <f t="shared" ref="I923:I957" si="318">IFERROR(H923*G923,"")</f>
        <v>0</v>
      </c>
      <c r="J923" s="554">
        <f t="shared" ref="J923:J957" si="319">IFERROR((IF(H923="","",H923-H923*$D$7)),"")</f>
        <v>257.94</v>
      </c>
      <c r="K923" s="554">
        <f t="shared" ref="K923:K957" si="320">IFERROR(J923*G923, "")</f>
        <v>0</v>
      </c>
      <c r="L923" s="554">
        <f t="shared" ref="L923:L957" si="321">IFERROR(J923*$D$8, "")</f>
        <v>0</v>
      </c>
      <c r="M923" s="554">
        <f t="shared" ref="M923:M957" si="322">IFERROR(L923*G923, "")</f>
        <v>0</v>
      </c>
      <c r="N923" s="104"/>
    </row>
    <row r="924" spans="1:14">
      <c r="A924" s="36"/>
      <c r="B924" s="434"/>
      <c r="C924" s="446"/>
      <c r="D924" s="188"/>
      <c r="E924" s="437"/>
      <c r="F924" s="438"/>
      <c r="G924" s="428"/>
      <c r="H924" s="589" t="str">
        <f>IFERROR(VLOOKUP(D924,'ВИС-2026'!$E$17:$K$2649,7,0),"")</f>
        <v/>
      </c>
      <c r="I924" s="589" t="str">
        <f t="shared" si="318"/>
        <v/>
      </c>
      <c r="J924" s="589" t="str">
        <f t="shared" si="319"/>
        <v/>
      </c>
      <c r="K924" s="589" t="str">
        <f t="shared" si="320"/>
        <v/>
      </c>
      <c r="L924" s="589" t="str">
        <f t="shared" si="321"/>
        <v/>
      </c>
      <c r="M924" s="589" t="str">
        <f t="shared" si="322"/>
        <v/>
      </c>
      <c r="N924" s="104"/>
    </row>
    <row r="925" spans="1:14" s="73" customFormat="1">
      <c r="A925" s="36"/>
      <c r="B925" s="434" t="s">
        <v>397</v>
      </c>
      <c r="C925" s="446" t="s">
        <v>714</v>
      </c>
      <c r="D925" s="188">
        <v>12035971001</v>
      </c>
      <c r="E925" s="553" t="str">
        <f>IFERROR(VLOOKUP(D925,'ВИС-2026'!$E$17:$H$2115,2,0),"")</f>
        <v>Комплект гидравлич. инстр. на электроаккумулят. RAUTOOL A-light2</v>
      </c>
      <c r="F925" s="292" t="str">
        <f>IFERROR(VLOOKUP(D925,'ВИС-2026'!$E$17:$H$2115,4,0),"")</f>
        <v>шт</v>
      </c>
      <c r="G925" s="428"/>
      <c r="H925" s="554">
        <f>IFERROR(VLOOKUP(D925,'ВИС-2026'!$E$17:$K$2649,7,0),"")</f>
        <v>5803.93</v>
      </c>
      <c r="I925" s="554">
        <f t="shared" si="318"/>
        <v>0</v>
      </c>
      <c r="J925" s="554">
        <f t="shared" si="319"/>
        <v>5803.93</v>
      </c>
      <c r="K925" s="554">
        <f t="shared" si="320"/>
        <v>0</v>
      </c>
      <c r="L925" s="554">
        <f t="shared" si="321"/>
        <v>0</v>
      </c>
      <c r="M925" s="554">
        <f t="shared" si="322"/>
        <v>0</v>
      </c>
      <c r="N925" s="104"/>
    </row>
    <row r="926" spans="1:14" s="73" customFormat="1">
      <c r="A926" s="36"/>
      <c r="B926" s="434"/>
      <c r="C926" s="453"/>
      <c r="D926" s="188"/>
      <c r="E926" s="437"/>
      <c r="F926" s="438" t="s">
        <v>65</v>
      </c>
      <c r="G926" s="428"/>
      <c r="H926" s="589" t="str">
        <f>IFERROR(VLOOKUP(D926,'ВИС-2026'!$E$17:$K$2649,8,0),"")</f>
        <v/>
      </c>
      <c r="I926" s="589" t="str">
        <f t="shared" si="318"/>
        <v/>
      </c>
      <c r="J926" s="589" t="str">
        <f t="shared" si="319"/>
        <v/>
      </c>
      <c r="K926" s="589" t="str">
        <f t="shared" si="320"/>
        <v/>
      </c>
      <c r="L926" s="589" t="str">
        <f t="shared" si="321"/>
        <v/>
      </c>
      <c r="M926" s="589" t="str">
        <f t="shared" si="322"/>
        <v/>
      </c>
      <c r="N926" s="104"/>
    </row>
    <row r="927" spans="1:14" s="73" customFormat="1">
      <c r="A927" s="36"/>
      <c r="B927" s="434" t="s">
        <v>397</v>
      </c>
      <c r="C927" s="446" t="s">
        <v>714</v>
      </c>
      <c r="D927" s="188">
        <v>11051801001</v>
      </c>
      <c r="E927" s="553" t="str">
        <f>IFERROR(VLOOKUP(D927,'ВИС-2026'!$E$17:$H$2115,2,0),"")</f>
        <v>Расширительный адаптер для инструмента RAUTOOL A-One 16-32</v>
      </c>
      <c r="F927" s="292" t="str">
        <f>IFERROR(VLOOKUP(D927,'ВИС-2026'!$E$17:$H$2115,4,0),"")</f>
        <v>шт</v>
      </c>
      <c r="G927" s="428"/>
      <c r="H927" s="554">
        <f>IFERROR(VLOOKUP(D927,'ВИС-2026'!$E$17:$K$2649,7,0),"")</f>
        <v>1171.0899999999999</v>
      </c>
      <c r="I927" s="554">
        <f t="shared" si="318"/>
        <v>0</v>
      </c>
      <c r="J927" s="554">
        <f t="shared" si="319"/>
        <v>1171.0899999999999</v>
      </c>
      <c r="K927" s="554">
        <f t="shared" si="320"/>
        <v>0</v>
      </c>
      <c r="L927" s="554">
        <f t="shared" si="321"/>
        <v>0</v>
      </c>
      <c r="M927" s="554">
        <f t="shared" si="322"/>
        <v>0</v>
      </c>
      <c r="N927" s="104"/>
    </row>
    <row r="928" spans="1:14" s="73" customFormat="1">
      <c r="A928" s="36"/>
      <c r="B928" s="449"/>
      <c r="C928" s="453"/>
      <c r="D928" s="188"/>
      <c r="E928" s="437"/>
      <c r="F928" s="438" t="s">
        <v>65</v>
      </c>
      <c r="G928" s="428"/>
      <c r="H928" s="589" t="str">
        <f>IFERROR(VLOOKUP(D928,'ВИС-2026'!$E$17:$K$2649,8,0),"")</f>
        <v/>
      </c>
      <c r="I928" s="589" t="str">
        <f t="shared" si="318"/>
        <v/>
      </c>
      <c r="J928" s="589" t="str">
        <f t="shared" si="319"/>
        <v/>
      </c>
      <c r="K928" s="589" t="str">
        <f t="shared" si="320"/>
        <v/>
      </c>
      <c r="L928" s="589" t="str">
        <f t="shared" si="321"/>
        <v/>
      </c>
      <c r="M928" s="589" t="str">
        <f t="shared" si="322"/>
        <v/>
      </c>
      <c r="N928" s="104"/>
    </row>
    <row r="929" spans="1:14" s="73" customFormat="1">
      <c r="A929" s="36"/>
      <c r="B929" s="434" t="s">
        <v>397</v>
      </c>
      <c r="C929" s="238" t="s">
        <v>714</v>
      </c>
      <c r="D929" s="188">
        <v>11051631001</v>
      </c>
      <c r="E929" s="553" t="str">
        <f>IFERROR(VLOOKUP(D929,'ВИС-2026'!$E$17:$H$2115,2,0),"")</f>
        <v>Комплект запрессовочных тисков RAUTOOL A-One 16</v>
      </c>
      <c r="F929" s="292" t="str">
        <f>IFERROR(VLOOKUP(D929,'ВИС-2026'!$E$17:$H$2115,4,0),"")</f>
        <v>шт</v>
      </c>
      <c r="G929" s="428"/>
      <c r="H929" s="554">
        <f>IFERROR(VLOOKUP(D929,'ВИС-2026'!$E$17:$K$2649,7,0),"")</f>
        <v>104.16</v>
      </c>
      <c r="I929" s="554">
        <f t="shared" si="318"/>
        <v>0</v>
      </c>
      <c r="J929" s="554">
        <f t="shared" si="319"/>
        <v>104.16</v>
      </c>
      <c r="K929" s="554">
        <f t="shared" si="320"/>
        <v>0</v>
      </c>
      <c r="L929" s="554">
        <f t="shared" si="321"/>
        <v>0</v>
      </c>
      <c r="M929" s="554">
        <f t="shared" si="322"/>
        <v>0</v>
      </c>
      <c r="N929" s="104"/>
    </row>
    <row r="930" spans="1:14" s="73" customFormat="1">
      <c r="A930" s="36"/>
      <c r="B930" s="449"/>
      <c r="C930" s="453"/>
      <c r="D930" s="188"/>
      <c r="E930" s="437"/>
      <c r="F930" s="438" t="s">
        <v>65</v>
      </c>
      <c r="G930" s="428"/>
      <c r="H930" s="589" t="str">
        <f>IFERROR(VLOOKUP(D930,'ВИС-2026'!$E$17:$K$2649,8,0),"")</f>
        <v/>
      </c>
      <c r="I930" s="589" t="str">
        <f t="shared" si="318"/>
        <v/>
      </c>
      <c r="J930" s="589" t="str">
        <f t="shared" si="319"/>
        <v/>
      </c>
      <c r="K930" s="589" t="str">
        <f t="shared" si="320"/>
        <v/>
      </c>
      <c r="L930" s="589" t="str">
        <f t="shared" si="321"/>
        <v/>
      </c>
      <c r="M930" s="589" t="str">
        <f t="shared" si="322"/>
        <v/>
      </c>
      <c r="N930" s="104"/>
    </row>
    <row r="931" spans="1:14" s="73" customFormat="1">
      <c r="A931" s="36"/>
      <c r="B931" s="434" t="s">
        <v>397</v>
      </c>
      <c r="C931" s="446" t="s">
        <v>714</v>
      </c>
      <c r="D931" s="188">
        <v>11051031001</v>
      </c>
      <c r="E931" s="553" t="str">
        <f>IFERROR(VLOOKUP(D931,'ВИС-2026'!$E$17:$H$2115,2,0),"")</f>
        <v xml:space="preserve">Запасной аккумулятор RAUTOOL A-One 10,8В / 2,0 Aч  </v>
      </c>
      <c r="F931" s="292" t="str">
        <f>IFERROR(VLOOKUP(D931,'ВИС-2026'!$E$17:$H$2115,4,0),"")</f>
        <v>шт</v>
      </c>
      <c r="G931" s="428"/>
      <c r="H931" s="554">
        <f>IFERROR(VLOOKUP(D931,'ВИС-2026'!$E$17:$K$2649,7,0),"")</f>
        <v>91.7</v>
      </c>
      <c r="I931" s="554">
        <f t="shared" si="318"/>
        <v>0</v>
      </c>
      <c r="J931" s="554">
        <f t="shared" si="319"/>
        <v>91.7</v>
      </c>
      <c r="K931" s="554">
        <f t="shared" si="320"/>
        <v>0</v>
      </c>
      <c r="L931" s="554">
        <f t="shared" si="321"/>
        <v>0</v>
      </c>
      <c r="M931" s="554">
        <f t="shared" si="322"/>
        <v>0</v>
      </c>
      <c r="N931" s="104"/>
    </row>
    <row r="932" spans="1:14" s="73" customFormat="1">
      <c r="A932" s="36"/>
      <c r="B932" s="434" t="s">
        <v>397</v>
      </c>
      <c r="C932" s="446" t="s">
        <v>714</v>
      </c>
      <c r="D932" s="188">
        <v>11051621001</v>
      </c>
      <c r="E932" s="553" t="str">
        <f>IFERROR(VLOOKUP(D932,'ВИС-2026'!$E$17:$H$2115,2,0),"")</f>
        <v>Зарядное устройство RAUTOOL A-One 230В</v>
      </c>
      <c r="F932" s="292" t="str">
        <f>IFERROR(VLOOKUP(D932,'ВИС-2026'!$E$17:$H$2115,4,0),"")</f>
        <v>шт</v>
      </c>
      <c r="G932" s="428"/>
      <c r="H932" s="554">
        <f>IFERROR(VLOOKUP(D932,'ВИС-2026'!$E$17:$K$2649,7,0),"")</f>
        <v>97.2</v>
      </c>
      <c r="I932" s="554">
        <f t="shared" si="318"/>
        <v>0</v>
      </c>
      <c r="J932" s="554">
        <f t="shared" si="319"/>
        <v>97.2</v>
      </c>
      <c r="K932" s="554">
        <f t="shared" si="320"/>
        <v>0</v>
      </c>
      <c r="L932" s="554">
        <f t="shared" si="321"/>
        <v>0</v>
      </c>
      <c r="M932" s="554">
        <f t="shared" si="322"/>
        <v>0</v>
      </c>
      <c r="N932" s="104"/>
    </row>
    <row r="933" spans="1:14" s="73" customFormat="1" ht="26.45">
      <c r="A933" s="36"/>
      <c r="B933" s="434" t="s">
        <v>397</v>
      </c>
      <c r="C933" s="446" t="s">
        <v>714</v>
      </c>
      <c r="D933" s="188">
        <v>12174781001</v>
      </c>
      <c r="E933" s="553" t="str">
        <f>IFERROR(VLOOKUP(D933,'ВИС-2026'!$E$17:$H$2115,2,0),"")</f>
        <v>Комплект аккумуляторного инструмента RAUTOOL A-light2 Kombi (экспандер+запрессовщик)</v>
      </c>
      <c r="F933" s="292" t="str">
        <f>IFERROR(VLOOKUP(D933,'ВИС-2026'!$E$17:$H$2115,4,0),"")</f>
        <v>шт</v>
      </c>
      <c r="G933" s="428"/>
      <c r="H933" s="554">
        <f>IFERROR(VLOOKUP(D933,'ВИС-2026'!$E$17:$K$2649,7,0),"")</f>
        <v>7738.57</v>
      </c>
      <c r="I933" s="554">
        <f t="shared" si="318"/>
        <v>0</v>
      </c>
      <c r="J933" s="554">
        <f t="shared" si="319"/>
        <v>7738.57</v>
      </c>
      <c r="K933" s="554">
        <f t="shared" si="320"/>
        <v>0</v>
      </c>
      <c r="L933" s="554">
        <f t="shared" si="321"/>
        <v>0</v>
      </c>
      <c r="M933" s="554">
        <f t="shared" si="322"/>
        <v>0</v>
      </c>
      <c r="N933" s="104"/>
    </row>
    <row r="934" spans="1:14" s="73" customFormat="1">
      <c r="A934" s="36"/>
      <c r="B934" s="590"/>
      <c r="C934" s="448"/>
      <c r="D934" s="217"/>
      <c r="E934" s="444"/>
      <c r="F934" s="438" t="s">
        <v>65</v>
      </c>
      <c r="G934" s="428"/>
      <c r="H934" s="589" t="str">
        <f>IFERROR(VLOOKUP(D934,'ВИС-2026'!$E$17:$K$2649,8,0),"")</f>
        <v/>
      </c>
      <c r="I934" s="589" t="str">
        <f t="shared" si="318"/>
        <v/>
      </c>
      <c r="J934" s="589" t="str">
        <f t="shared" si="319"/>
        <v/>
      </c>
      <c r="K934" s="589" t="str">
        <f t="shared" si="320"/>
        <v/>
      </c>
      <c r="L934" s="589" t="str">
        <f t="shared" si="321"/>
        <v/>
      </c>
      <c r="M934" s="589" t="str">
        <f t="shared" si="322"/>
        <v/>
      </c>
      <c r="N934" s="104"/>
    </row>
    <row r="935" spans="1:14" s="73" customFormat="1">
      <c r="A935" s="36"/>
      <c r="B935" s="434" t="s">
        <v>30</v>
      </c>
      <c r="C935" s="446" t="s">
        <v>714</v>
      </c>
      <c r="D935" s="188">
        <v>11096611001</v>
      </c>
      <c r="E935" s="553" t="str">
        <f>IFERROR(VLOOKUP(D935,'ВИС-2026'!$E$17:$H$2115,2,0),"")</f>
        <v>Инструмент РЕХАУ H2, мех.-гидравлический</v>
      </c>
      <c r="F935" s="292" t="str">
        <f>IFERROR(VLOOKUP(D935,'ВИС-2026'!$E$17:$H$2115,4,0),"")</f>
        <v>шт</v>
      </c>
      <c r="G935" s="428"/>
      <c r="H935" s="554">
        <f>IFERROR(VLOOKUP(D935,'ВИС-2026'!$E$17:$K$2649,7,0),"")</f>
        <v>4833.34</v>
      </c>
      <c r="I935" s="554">
        <f t="shared" si="318"/>
        <v>0</v>
      </c>
      <c r="J935" s="554">
        <f t="shared" si="319"/>
        <v>4833.34</v>
      </c>
      <c r="K935" s="554">
        <f t="shared" si="320"/>
        <v>0</v>
      </c>
      <c r="L935" s="554">
        <f t="shared" si="321"/>
        <v>0</v>
      </c>
      <c r="M935" s="554">
        <f t="shared" si="322"/>
        <v>0</v>
      </c>
      <c r="N935" s="104"/>
    </row>
    <row r="936" spans="1:14">
      <c r="A936" s="36"/>
      <c r="B936" s="434" t="s">
        <v>30</v>
      </c>
      <c r="C936" s="446" t="s">
        <v>714</v>
      </c>
      <c r="D936" s="188">
        <v>11096461001</v>
      </c>
      <c r="E936" s="553" t="str">
        <f>IFERROR(VLOOKUP(D936,'ВИС-2026'!$E$17:$H$2115,2,0),"")</f>
        <v>К-т запрес. тисков РЕХАУ H2/ A-light2 / A-light2 Kombi для труб 16/20</v>
      </c>
      <c r="F936" s="292" t="str">
        <f>IFERROR(VLOOKUP(D936,'ВИС-2026'!$E$17:$H$2115,4,0),"")</f>
        <v>шт</v>
      </c>
      <c r="G936" s="428"/>
      <c r="H936" s="554">
        <f>IFERROR(VLOOKUP(D936,'ВИС-2026'!$E$17:$K$2649,7,0),"")</f>
        <v>409.54</v>
      </c>
      <c r="I936" s="554">
        <f t="shared" si="318"/>
        <v>0</v>
      </c>
      <c r="J936" s="554">
        <f t="shared" si="319"/>
        <v>409.54</v>
      </c>
      <c r="K936" s="554">
        <f t="shared" si="320"/>
        <v>0</v>
      </c>
      <c r="L936" s="554">
        <f t="shared" si="321"/>
        <v>0</v>
      </c>
      <c r="M936" s="554">
        <f t="shared" si="322"/>
        <v>0</v>
      </c>
      <c r="N936" s="104"/>
    </row>
    <row r="937" spans="1:14" s="73" customFormat="1">
      <c r="A937" s="36"/>
      <c r="B937" s="434" t="s">
        <v>30</v>
      </c>
      <c r="C937" s="446" t="s">
        <v>714</v>
      </c>
      <c r="D937" s="188">
        <v>11096471001</v>
      </c>
      <c r="E937" s="553" t="str">
        <f>IFERROR(VLOOKUP(D937,'ВИС-2026'!$E$17:$H$2115,2,0),"")</f>
        <v>К-т запрес. тисков РЕХАУ H2/ A-light2 / A-light2 Kombi для труб 17/20</v>
      </c>
      <c r="F937" s="292" t="str">
        <f>IFERROR(VLOOKUP(D937,'ВИС-2026'!$E$17:$H$2115,4,0),"")</f>
        <v>шт</v>
      </c>
      <c r="G937" s="428"/>
      <c r="H937" s="554">
        <f>IFERROR(VLOOKUP(D937,'ВИС-2026'!$E$17:$K$2649,7,0),"")</f>
        <v>408.67</v>
      </c>
      <c r="I937" s="554">
        <f t="shared" si="318"/>
        <v>0</v>
      </c>
      <c r="J937" s="554">
        <f t="shared" si="319"/>
        <v>408.67</v>
      </c>
      <c r="K937" s="554">
        <f t="shared" si="320"/>
        <v>0</v>
      </c>
      <c r="L937" s="554">
        <f t="shared" si="321"/>
        <v>0</v>
      </c>
      <c r="M937" s="554">
        <f t="shared" si="322"/>
        <v>0</v>
      </c>
      <c r="N937" s="104"/>
    </row>
    <row r="938" spans="1:14" s="73" customFormat="1">
      <c r="A938" s="36"/>
      <c r="B938" s="434" t="s">
        <v>30</v>
      </c>
      <c r="C938" s="446" t="s">
        <v>714</v>
      </c>
      <c r="D938" s="188">
        <v>11096551001</v>
      </c>
      <c r="E938" s="553" t="str">
        <f>IFERROR(VLOOKUP(D938,'ВИС-2026'!$E$17:$H$2115,2,0),"")</f>
        <v xml:space="preserve">К-т запрес. тисков РЕХАУ H2/ A-light2 / A-light2 Kombi, для труб 25/32 </v>
      </c>
      <c r="F938" s="292" t="str">
        <f>IFERROR(VLOOKUP(D938,'ВИС-2026'!$E$17:$H$2115,4,0),"")</f>
        <v>шт</v>
      </c>
      <c r="G938" s="428"/>
      <c r="H938" s="554">
        <f>IFERROR(VLOOKUP(D938,'ВИС-2026'!$E$17:$K$2649,7,0),"")</f>
        <v>453.26</v>
      </c>
      <c r="I938" s="554">
        <f t="shared" si="318"/>
        <v>0</v>
      </c>
      <c r="J938" s="554">
        <f t="shared" si="319"/>
        <v>453.26</v>
      </c>
      <c r="K938" s="554">
        <f t="shared" si="320"/>
        <v>0</v>
      </c>
      <c r="L938" s="554">
        <f t="shared" si="321"/>
        <v>0</v>
      </c>
      <c r="M938" s="554">
        <f t="shared" si="322"/>
        <v>0</v>
      </c>
      <c r="N938" s="104"/>
    </row>
    <row r="939" spans="1:14" s="73" customFormat="1">
      <c r="A939" s="36"/>
      <c r="B939" s="434" t="s">
        <v>30</v>
      </c>
      <c r="C939" s="446" t="s">
        <v>714</v>
      </c>
      <c r="D939" s="188">
        <v>11096561001</v>
      </c>
      <c r="E939" s="553" t="str">
        <f>IFERROR(VLOOKUP(D939,'ВИС-2026'!$E$17:$H$2115,2,0),"")</f>
        <v xml:space="preserve">К-т запрес. тисков РЕХАУ H2/ A-light2 / A-light2 Kombi, для трубы 40 </v>
      </c>
      <c r="F939" s="292" t="str">
        <f>IFERROR(VLOOKUP(D939,'ВИС-2026'!$E$17:$H$2115,4,0),"")</f>
        <v>шт</v>
      </c>
      <c r="G939" s="428"/>
      <c r="H939" s="554">
        <f>IFERROR(VLOOKUP(D939,'ВИС-2026'!$E$17:$K$2649,7,0),"")</f>
        <v>492.81</v>
      </c>
      <c r="I939" s="554">
        <f t="shared" si="318"/>
        <v>0</v>
      </c>
      <c r="J939" s="554">
        <f t="shared" si="319"/>
        <v>492.81</v>
      </c>
      <c r="K939" s="554">
        <f t="shared" si="320"/>
        <v>0</v>
      </c>
      <c r="L939" s="554">
        <f t="shared" si="321"/>
        <v>0</v>
      </c>
      <c r="M939" s="554">
        <f t="shared" si="322"/>
        <v>0</v>
      </c>
      <c r="N939" s="104"/>
    </row>
    <row r="940" spans="1:14">
      <c r="A940" s="36"/>
      <c r="B940" s="441"/>
      <c r="C940" s="448"/>
      <c r="D940" s="217"/>
      <c r="E940" s="444"/>
      <c r="F940" s="438"/>
      <c r="G940" s="428"/>
      <c r="H940" s="589" t="str">
        <f>IFERROR(VLOOKUP(D940,'ВИС-2026'!$E$17:$K$2649,7,0),"")</f>
        <v/>
      </c>
      <c r="I940" s="589" t="str">
        <f t="shared" si="318"/>
        <v/>
      </c>
      <c r="J940" s="589" t="str">
        <f t="shared" si="319"/>
        <v/>
      </c>
      <c r="K940" s="589" t="str">
        <f t="shared" si="320"/>
        <v/>
      </c>
      <c r="L940" s="589" t="str">
        <f t="shared" si="321"/>
        <v/>
      </c>
      <c r="M940" s="589" t="str">
        <f t="shared" si="322"/>
        <v/>
      </c>
      <c r="N940" s="104"/>
    </row>
    <row r="941" spans="1:14" s="73" customFormat="1">
      <c r="A941" s="152"/>
      <c r="B941" s="434" t="s">
        <v>397</v>
      </c>
      <c r="C941" s="446" t="s">
        <v>714</v>
      </c>
      <c r="D941" s="188">
        <v>12051331001</v>
      </c>
      <c r="E941" s="553" t="str">
        <f>IFERROR(VLOOKUP(D941,'ВИС-2026'!$E$17:$H$2115,2,0),"")</f>
        <v>К-т запрес. тисков H2, A-light2/ A-light2 Kombi  для труб 16/20/25</v>
      </c>
      <c r="F941" s="292" t="str">
        <f>IFERROR(VLOOKUP(D941,'ВИС-2026'!$E$17:$H$2115,4,0),"")</f>
        <v>шт</v>
      </c>
      <c r="G941" s="428"/>
      <c r="H941" s="554">
        <f>IFERROR(VLOOKUP(D941,'ВИС-2026'!$E$17:$K$2649,7,0),"")</f>
        <v>263.27999999999997</v>
      </c>
      <c r="I941" s="554">
        <f t="shared" si="318"/>
        <v>0</v>
      </c>
      <c r="J941" s="554">
        <f t="shared" si="319"/>
        <v>263.27999999999997</v>
      </c>
      <c r="K941" s="554">
        <f t="shared" si="320"/>
        <v>0</v>
      </c>
      <c r="L941" s="554">
        <f t="shared" si="321"/>
        <v>0</v>
      </c>
      <c r="M941" s="554">
        <f t="shared" si="322"/>
        <v>0</v>
      </c>
      <c r="N941" s="104"/>
    </row>
    <row r="942" spans="1:14">
      <c r="A942" s="36"/>
      <c r="B942" s="434"/>
      <c r="C942" s="453"/>
      <c r="D942" s="188"/>
      <c r="E942" s="437"/>
      <c r="F942" s="438"/>
      <c r="G942" s="428"/>
      <c r="H942" s="589" t="str">
        <f>IFERROR(VLOOKUP(D942,'ВИС-2026'!$E$17:$K$2649,7,0),"")</f>
        <v/>
      </c>
      <c r="I942" s="589" t="str">
        <f t="shared" si="318"/>
        <v/>
      </c>
      <c r="J942" s="589" t="str">
        <f t="shared" si="319"/>
        <v/>
      </c>
      <c r="K942" s="589" t="str">
        <f t="shared" si="320"/>
        <v/>
      </c>
      <c r="L942" s="589" t="str">
        <f t="shared" si="321"/>
        <v/>
      </c>
      <c r="M942" s="589" t="str">
        <f t="shared" si="322"/>
        <v/>
      </c>
      <c r="N942" s="104"/>
    </row>
    <row r="943" spans="1:14" s="73" customFormat="1">
      <c r="A943" s="36"/>
      <c r="B943" s="434" t="s">
        <v>397</v>
      </c>
      <c r="C943" s="446" t="s">
        <v>714</v>
      </c>
      <c r="D943" s="188">
        <v>11383231001</v>
      </c>
      <c r="E943" s="553" t="str">
        <f>IFERROR(VLOOKUP(D943,'ВИС-2026'!$E$17:$H$2115,2,0),"")</f>
        <v>Расширительный насадка H2, A-light2/A-light2 Kombi  для труб 40х3,7</v>
      </c>
      <c r="F943" s="292" t="str">
        <f>IFERROR(VLOOKUP(D943,'ВИС-2026'!$E$17:$H$2115,4,0),"")</f>
        <v>шт</v>
      </c>
      <c r="G943" s="428"/>
      <c r="H943" s="554">
        <f>IFERROR(VLOOKUP(D943,'ВИС-2026'!$E$17:$K$2649,7,0),"")</f>
        <v>414.98</v>
      </c>
      <c r="I943" s="554">
        <f t="shared" si="318"/>
        <v>0</v>
      </c>
      <c r="J943" s="554">
        <f t="shared" si="319"/>
        <v>414.98</v>
      </c>
      <c r="K943" s="554">
        <f t="shared" si="320"/>
        <v>0</v>
      </c>
      <c r="L943" s="554">
        <f t="shared" si="321"/>
        <v>0</v>
      </c>
      <c r="M943" s="554">
        <f t="shared" si="322"/>
        <v>0</v>
      </c>
      <c r="N943" s="104"/>
    </row>
    <row r="944" spans="1:14" s="73" customFormat="1">
      <c r="A944" s="36"/>
      <c r="B944" s="434" t="s">
        <v>397</v>
      </c>
      <c r="C944" s="446" t="s">
        <v>714</v>
      </c>
      <c r="D944" s="188">
        <v>12446111001</v>
      </c>
      <c r="E944" s="553" t="str">
        <f>IFERROR(VLOOKUP(D944,'ВИС-2026'!$E$17:$H$2115,2,0),"")</f>
        <v>Расширительный насадка H2, A-light2/A-light2 Kombi  для труб 40х5,5</v>
      </c>
      <c r="F944" s="292" t="str">
        <f>IFERROR(VLOOKUP(D944,'ВИС-2026'!$E$17:$H$2115,4,0),"")</f>
        <v>шт</v>
      </c>
      <c r="G944" s="428"/>
      <c r="H944" s="554">
        <f>IFERROR(VLOOKUP(D944,'ВИС-2026'!$E$17:$K$2649,7,0),"")</f>
        <v>831.44</v>
      </c>
      <c r="I944" s="554">
        <f t="shared" si="318"/>
        <v>0</v>
      </c>
      <c r="J944" s="554">
        <f t="shared" si="319"/>
        <v>831.44</v>
      </c>
      <c r="K944" s="554">
        <f t="shared" si="320"/>
        <v>0</v>
      </c>
      <c r="L944" s="554">
        <f t="shared" si="321"/>
        <v>0</v>
      </c>
      <c r="M944" s="554">
        <f t="shared" si="322"/>
        <v>0</v>
      </c>
      <c r="N944" s="104"/>
    </row>
    <row r="945" spans="1:14" s="73" customFormat="1">
      <c r="A945" s="36"/>
      <c r="B945" s="434" t="s">
        <v>397</v>
      </c>
      <c r="C945" s="446" t="s">
        <v>714</v>
      </c>
      <c r="D945" s="188">
        <v>12476441001</v>
      </c>
      <c r="E945" s="553" t="str">
        <f>IFERROR(VLOOKUP(D945,'ВИС-2026'!$E$17:$H$2115,2,0),"")</f>
        <v>Расширительная насадка H2, A-light2/A-light2 Kombi  для труб Stabil 40х6,0</v>
      </c>
      <c r="F945" s="292" t="str">
        <f>IFERROR(VLOOKUP(D945,'ВИС-2026'!$E$17:$H$2115,4,0),"")</f>
        <v>шт</v>
      </c>
      <c r="G945" s="428"/>
      <c r="H945" s="554">
        <f>IFERROR(VLOOKUP(D945,'ВИС-2026'!$E$17:$K$2649,7,0),"")</f>
        <v>795.11</v>
      </c>
      <c r="I945" s="554">
        <f t="shared" si="318"/>
        <v>0</v>
      </c>
      <c r="J945" s="554">
        <f t="shared" si="319"/>
        <v>795.11</v>
      </c>
      <c r="K945" s="554">
        <f t="shared" si="320"/>
        <v>0</v>
      </c>
      <c r="L945" s="554">
        <f t="shared" si="321"/>
        <v>0</v>
      </c>
      <c r="M945" s="554">
        <f t="shared" si="322"/>
        <v>0</v>
      </c>
      <c r="N945" s="104"/>
    </row>
    <row r="946" spans="1:14">
      <c r="A946" s="36"/>
      <c r="B946" s="434"/>
      <c r="C946" s="453"/>
      <c r="D946" s="188"/>
      <c r="E946" s="437"/>
      <c r="F946" s="438"/>
      <c r="G946" s="428"/>
      <c r="H946" s="589" t="str">
        <f>IFERROR(VLOOKUP(D946,'ВИС-2026'!$E$17:$K$2649,7,0),"")</f>
        <v/>
      </c>
      <c r="I946" s="589" t="str">
        <f t="shared" si="318"/>
        <v/>
      </c>
      <c r="J946" s="589" t="str">
        <f t="shared" si="319"/>
        <v/>
      </c>
      <c r="K946" s="589" t="str">
        <f t="shared" si="320"/>
        <v/>
      </c>
      <c r="L946" s="589" t="str">
        <f t="shared" si="321"/>
        <v/>
      </c>
      <c r="M946" s="589" t="str">
        <f t="shared" si="322"/>
        <v/>
      </c>
      <c r="N946" s="104"/>
    </row>
    <row r="947" spans="1:14" s="73" customFormat="1">
      <c r="A947" s="36"/>
      <c r="B947" s="434" t="s">
        <v>397</v>
      </c>
      <c r="C947" s="446" t="s">
        <v>714</v>
      </c>
      <c r="D947" s="188">
        <v>13149851001</v>
      </c>
      <c r="E947" s="553" t="str">
        <f>IFERROR(VLOOKUP(D947,'ВИС-2026'!$E$17:$H$2115,2,0),"")</f>
        <v>Комплект электро-гидравлич. инстр. RAUTOOL G2</v>
      </c>
      <c r="F947" s="292" t="str">
        <f>IFERROR(VLOOKUP(D947,'ВИС-2026'!$E$17:$H$2115,4,0),"")</f>
        <v>шт</v>
      </c>
      <c r="G947" s="428"/>
      <c r="H947" s="554">
        <f>IFERROR(VLOOKUP(D947,'ВИС-2026'!$E$17:$K$2649,7,0),"")</f>
        <v>10261.52</v>
      </c>
      <c r="I947" s="554">
        <f t="shared" si="318"/>
        <v>0</v>
      </c>
      <c r="J947" s="554">
        <f t="shared" si="319"/>
        <v>10261.52</v>
      </c>
      <c r="K947" s="554">
        <f t="shared" si="320"/>
        <v>0</v>
      </c>
      <c r="L947" s="554">
        <f t="shared" si="321"/>
        <v>0</v>
      </c>
      <c r="M947" s="554">
        <f t="shared" si="322"/>
        <v>0</v>
      </c>
      <c r="N947" s="104"/>
    </row>
    <row r="948" spans="1:14">
      <c r="A948" s="36"/>
      <c r="B948" s="434"/>
      <c r="C948" s="453"/>
      <c r="D948" s="188"/>
      <c r="E948" s="437"/>
      <c r="F948" s="443"/>
      <c r="G948" s="428"/>
      <c r="H948" s="591" t="str">
        <f>IFERROR(VLOOKUP(D948,'ВИС-2026'!$E$17:$K$2649,7,0),"")</f>
        <v/>
      </c>
      <c r="I948" s="591" t="str">
        <f t="shared" si="318"/>
        <v/>
      </c>
      <c r="J948" s="591" t="str">
        <f t="shared" si="319"/>
        <v/>
      </c>
      <c r="K948" s="591" t="str">
        <f t="shared" si="320"/>
        <v/>
      </c>
      <c r="L948" s="591" t="str">
        <f t="shared" si="321"/>
        <v/>
      </c>
      <c r="M948" s="591" t="str">
        <f t="shared" si="322"/>
        <v/>
      </c>
      <c r="N948" s="104"/>
    </row>
    <row r="949" spans="1:14" s="73" customFormat="1">
      <c r="A949" s="36"/>
      <c r="B949" s="434" t="s">
        <v>397</v>
      </c>
      <c r="C949" s="446" t="s">
        <v>714</v>
      </c>
      <c r="D949" s="188">
        <v>12018021001</v>
      </c>
      <c r="E949" s="553" t="str">
        <f>IFERROR(VLOOKUP(D949,'ВИС-2026'!$E$17:$H$2115,2,0),"")</f>
        <v>К-т запрессовочн. тисков G2,E/G1,H/G1,H/G1 (F), для трубы 40 (цвет: черный)</v>
      </c>
      <c r="F949" s="292" t="str">
        <f>IFERROR(VLOOKUP(D949,'ВИС-2026'!$E$17:$H$2115,4,0),"")</f>
        <v>шт</v>
      </c>
      <c r="G949" s="428"/>
      <c r="H949" s="554">
        <f>IFERROR(VLOOKUP(D949,'ВИС-2026'!$E$17:$K$2649,7,0),"")</f>
        <v>452.16</v>
      </c>
      <c r="I949" s="554">
        <f t="shared" si="318"/>
        <v>0</v>
      </c>
      <c r="J949" s="554">
        <f t="shared" si="319"/>
        <v>452.16</v>
      </c>
      <c r="K949" s="554">
        <f t="shared" si="320"/>
        <v>0</v>
      </c>
      <c r="L949" s="554">
        <f t="shared" si="321"/>
        <v>0</v>
      </c>
      <c r="M949" s="554">
        <f t="shared" si="322"/>
        <v>0</v>
      </c>
      <c r="N949" s="104"/>
    </row>
    <row r="950" spans="1:14" s="73" customFormat="1">
      <c r="A950" s="36"/>
      <c r="B950" s="434" t="s">
        <v>397</v>
      </c>
      <c r="C950" s="446" t="s">
        <v>714</v>
      </c>
      <c r="D950" s="188">
        <v>11376241001</v>
      </c>
      <c r="E950" s="553" t="str">
        <f>IFERROR(VLOOKUP(D950,'ВИС-2026'!$E$17:$H$2115,2,0),"")</f>
        <v>К-т запрессовочн. тисков G2,E/G1,H/G1,H/G1 (F), для трубы 50</v>
      </c>
      <c r="F950" s="292" t="str">
        <f>IFERROR(VLOOKUP(D950,'ВИС-2026'!$E$17:$H$2115,4,0),"")</f>
        <v>шт</v>
      </c>
      <c r="G950" s="428"/>
      <c r="H950" s="554">
        <f>IFERROR(VLOOKUP(D950,'ВИС-2026'!$E$17:$K$2649,7,0),"")</f>
        <v>414.98</v>
      </c>
      <c r="I950" s="554">
        <f t="shared" si="318"/>
        <v>0</v>
      </c>
      <c r="J950" s="554">
        <f t="shared" si="319"/>
        <v>414.98</v>
      </c>
      <c r="K950" s="554">
        <f t="shared" si="320"/>
        <v>0</v>
      </c>
      <c r="L950" s="554">
        <f t="shared" si="321"/>
        <v>0</v>
      </c>
      <c r="M950" s="554">
        <f t="shared" si="322"/>
        <v>0</v>
      </c>
      <c r="N950" s="104"/>
    </row>
    <row r="951" spans="1:14">
      <c r="A951" s="36"/>
      <c r="B951" s="434" t="s">
        <v>397</v>
      </c>
      <c r="C951" s="446" t="s">
        <v>714</v>
      </c>
      <c r="D951" s="188">
        <v>11376341001</v>
      </c>
      <c r="E951" s="553" t="str">
        <f>IFERROR(VLOOKUP(D951,'ВИС-2026'!$E$17:$H$2115,2,0),"")</f>
        <v>К-т запрессовочн. тисков G2,E/G1,H/G1,H/G1 (F), для трубы 63</v>
      </c>
      <c r="F951" s="292" t="str">
        <f>IFERROR(VLOOKUP(D951,'ВИС-2026'!$E$17:$H$2115,4,0),"")</f>
        <v>шт</v>
      </c>
      <c r="G951" s="428"/>
      <c r="H951" s="554">
        <f>IFERROR(VLOOKUP(D951,'ВИС-2026'!$E$17:$K$2649,7,0),"")</f>
        <v>437.53</v>
      </c>
      <c r="I951" s="554">
        <f t="shared" si="318"/>
        <v>0</v>
      </c>
      <c r="J951" s="554">
        <f t="shared" si="319"/>
        <v>437.53</v>
      </c>
      <c r="K951" s="554">
        <f t="shared" si="320"/>
        <v>0</v>
      </c>
      <c r="L951" s="554">
        <f t="shared" si="321"/>
        <v>0</v>
      </c>
      <c r="M951" s="554">
        <f t="shared" si="322"/>
        <v>0</v>
      </c>
      <c r="N951" s="104"/>
    </row>
    <row r="952" spans="1:14" s="73" customFormat="1">
      <c r="A952" s="36"/>
      <c r="B952" s="434" t="s">
        <v>397</v>
      </c>
      <c r="C952" s="446" t="s">
        <v>714</v>
      </c>
      <c r="D952" s="188">
        <v>11376441001</v>
      </c>
      <c r="E952" s="553" t="str">
        <f>IFERROR(VLOOKUP(D952,'ВИС-2026'!$E$17:$H$2115,2,0),"")</f>
        <v>Запрессовочные тиски G2,E/G1,H/G1,H/G1 (F), для трубы 75</v>
      </c>
      <c r="F952" s="292" t="str">
        <f>IFERROR(VLOOKUP(D952,'ВИС-2026'!$E$17:$H$2115,4,0),"")</f>
        <v>шт</v>
      </c>
      <c r="G952" s="428"/>
      <c r="H952" s="554">
        <f>IFERROR(VLOOKUP(D952,'ВИС-2026'!$E$17:$K$2649,7,0),"")</f>
        <v>919.72</v>
      </c>
      <c r="I952" s="554">
        <f t="shared" si="318"/>
        <v>0</v>
      </c>
      <c r="J952" s="554">
        <f t="shared" si="319"/>
        <v>919.72</v>
      </c>
      <c r="K952" s="554">
        <f t="shared" si="320"/>
        <v>0</v>
      </c>
      <c r="L952" s="554">
        <f t="shared" si="321"/>
        <v>0</v>
      </c>
      <c r="M952" s="554">
        <f t="shared" si="322"/>
        <v>0</v>
      </c>
      <c r="N952" s="104"/>
    </row>
    <row r="953" spans="1:14" s="73" customFormat="1">
      <c r="A953" s="36"/>
      <c r="B953" s="434" t="s">
        <v>397</v>
      </c>
      <c r="C953" s="446" t="s">
        <v>714</v>
      </c>
      <c r="D953" s="188">
        <v>11376541001</v>
      </c>
      <c r="E953" s="553" t="str">
        <f>IFERROR(VLOOKUP(D953,'ВИС-2026'!$E$17:$H$2115,2,0),"")</f>
        <v>Запрессовочные тиски G2,E/G1,H/G1,H/G1 (F), для трубы 90</v>
      </c>
      <c r="F953" s="292" t="str">
        <f>IFERROR(VLOOKUP(D953,'ВИС-2026'!$E$17:$H$2115,4,0),"")</f>
        <v>шт</v>
      </c>
      <c r="G953" s="428"/>
      <c r="H953" s="554">
        <f>IFERROR(VLOOKUP(D953,'ВИС-2026'!$E$17:$K$2649,7,0),"")</f>
        <v>1009.34</v>
      </c>
      <c r="I953" s="554">
        <f t="shared" si="318"/>
        <v>0</v>
      </c>
      <c r="J953" s="554">
        <f t="shared" si="319"/>
        <v>1009.34</v>
      </c>
      <c r="K953" s="554">
        <f t="shared" si="320"/>
        <v>0</v>
      </c>
      <c r="L953" s="554">
        <f t="shared" si="321"/>
        <v>0</v>
      </c>
      <c r="M953" s="554">
        <f t="shared" si="322"/>
        <v>0</v>
      </c>
      <c r="N953" s="104"/>
    </row>
    <row r="954" spans="1:14" s="73" customFormat="1">
      <c r="A954" s="36"/>
      <c r="B954" s="434" t="s">
        <v>397</v>
      </c>
      <c r="C954" s="446" t="s">
        <v>714</v>
      </c>
      <c r="D954" s="188">
        <v>11376641001</v>
      </c>
      <c r="E954" s="553" t="str">
        <f>IFERROR(VLOOKUP(D954,'ВИС-2026'!$E$17:$H$2115,2,0),"")</f>
        <v>Запрессовочные тиски G2,E/G1,H/G1,H/G1 (F), для трубы 110</v>
      </c>
      <c r="F954" s="292" t="str">
        <f>IFERROR(VLOOKUP(D954,'ВИС-2026'!$E$17:$H$2115,4,0),"")</f>
        <v>шт</v>
      </c>
      <c r="G954" s="428"/>
      <c r="H954" s="554">
        <f>IFERROR(VLOOKUP(D954,'ВИС-2026'!$E$17:$K$2649,7,0),"")</f>
        <v>1065.51</v>
      </c>
      <c r="I954" s="554">
        <f t="shared" si="318"/>
        <v>0</v>
      </c>
      <c r="J954" s="554">
        <f t="shared" si="319"/>
        <v>1065.51</v>
      </c>
      <c r="K954" s="554">
        <f t="shared" si="320"/>
        <v>0</v>
      </c>
      <c r="L954" s="554">
        <f t="shared" si="321"/>
        <v>0</v>
      </c>
      <c r="M954" s="554">
        <f t="shared" si="322"/>
        <v>0</v>
      </c>
      <c r="N954" s="104"/>
    </row>
    <row r="955" spans="1:14" s="73" customFormat="1">
      <c r="A955" s="36"/>
      <c r="B955" s="434"/>
      <c r="C955" s="453"/>
      <c r="D955" s="188"/>
      <c r="E955" s="437"/>
      <c r="F955" s="438" t="s">
        <v>65</v>
      </c>
      <c r="G955" s="428"/>
      <c r="H955" s="589" t="str">
        <f>IFERROR(VLOOKUP(D955,'ВИС-2026'!$E$17:$K$2649,8,0),"")</f>
        <v/>
      </c>
      <c r="I955" s="589" t="str">
        <f t="shared" si="318"/>
        <v/>
      </c>
      <c r="J955" s="589" t="str">
        <f t="shared" si="319"/>
        <v/>
      </c>
      <c r="K955" s="589" t="str">
        <f t="shared" si="320"/>
        <v/>
      </c>
      <c r="L955" s="589" t="str">
        <f t="shared" si="321"/>
        <v/>
      </c>
      <c r="M955" s="589" t="str">
        <f t="shared" si="322"/>
        <v/>
      </c>
      <c r="N955" s="104"/>
    </row>
    <row r="956" spans="1:14" s="73" customFormat="1">
      <c r="A956" s="36"/>
      <c r="B956" s="434" t="s">
        <v>397</v>
      </c>
      <c r="C956" s="446" t="s">
        <v>714</v>
      </c>
      <c r="D956" s="188">
        <v>11398811001</v>
      </c>
      <c r="E956" s="553" t="str">
        <f>IFERROR(VLOOKUP(D956,'ВИС-2026'!$E$17:$H$2115,2,0),"")</f>
        <v>Расширительная насадка G2,E/G1,H/G1,H/G1 (F), для трубы 40х5,5</v>
      </c>
      <c r="F956" s="292" t="str">
        <f>IFERROR(VLOOKUP(D956,'ВИС-2026'!$E$17:$H$2115,4,0),"")</f>
        <v>шт</v>
      </c>
      <c r="G956" s="428"/>
      <c r="H956" s="554">
        <f>IFERROR(VLOOKUP(D956,'ВИС-2026'!$E$17:$K$2649,7,0),"")</f>
        <v>313.92</v>
      </c>
      <c r="I956" s="554">
        <f t="shared" si="318"/>
        <v>0</v>
      </c>
      <c r="J956" s="554">
        <f t="shared" si="319"/>
        <v>313.92</v>
      </c>
      <c r="K956" s="554">
        <f t="shared" si="320"/>
        <v>0</v>
      </c>
      <c r="L956" s="554">
        <f t="shared" si="321"/>
        <v>0</v>
      </c>
      <c r="M956" s="554">
        <f t="shared" si="322"/>
        <v>0</v>
      </c>
      <c r="N956" s="104"/>
    </row>
    <row r="957" spans="1:14">
      <c r="A957" s="36"/>
      <c r="B957" s="434" t="s">
        <v>397</v>
      </c>
      <c r="C957" s="446" t="s">
        <v>714</v>
      </c>
      <c r="D957" s="188">
        <v>11398911001</v>
      </c>
      <c r="E957" s="553" t="str">
        <f>IFERROR(VLOOKUP(D957,'ВИС-2026'!$E$17:$H$2115,2,0),"")</f>
        <v>Расширительная насадка G2,E/G1,H/G1,H/G1 (F), для трубы 50х6,9</v>
      </c>
      <c r="F957" s="292" t="str">
        <f>IFERROR(VLOOKUP(D957,'ВИС-2026'!$E$17:$H$2115,4,0),"")</f>
        <v>шт</v>
      </c>
      <c r="G957" s="428"/>
      <c r="H957" s="554">
        <f>IFERROR(VLOOKUP(D957,'ВИС-2026'!$E$17:$K$2649,7,0),"")</f>
        <v>325.39</v>
      </c>
      <c r="I957" s="554">
        <f t="shared" si="318"/>
        <v>0</v>
      </c>
      <c r="J957" s="554">
        <f t="shared" si="319"/>
        <v>325.39</v>
      </c>
      <c r="K957" s="554">
        <f t="shared" si="320"/>
        <v>0</v>
      </c>
      <c r="L957" s="554">
        <f t="shared" si="321"/>
        <v>0</v>
      </c>
      <c r="M957" s="554">
        <f t="shared" si="322"/>
        <v>0</v>
      </c>
      <c r="N957" s="104"/>
    </row>
    <row r="958" spans="1:14" s="73" customFormat="1">
      <c r="A958" s="36"/>
      <c r="B958" s="434" t="s">
        <v>397</v>
      </c>
      <c r="C958" s="446" t="s">
        <v>714</v>
      </c>
      <c r="D958" s="188">
        <v>11399011001</v>
      </c>
      <c r="E958" s="553" t="str">
        <f>IFERROR(VLOOKUP(D958,'ВИС-2026'!$E$17:$H$2115,2,0),"")</f>
        <v>Расширительная насадка G2,E/G1,H/G1,H/G1 (F), для трубы 63х8,6</v>
      </c>
      <c r="F958" s="292" t="str">
        <f>IFERROR(VLOOKUP(D958,'ВИС-2026'!$E$17:$H$2115,4,0),"")</f>
        <v>шт</v>
      </c>
      <c r="G958" s="428"/>
      <c r="H958" s="554">
        <f>IFERROR(VLOOKUP(D958,'ВИС-2026'!$E$17:$K$2649,7,0),"")</f>
        <v>347.74</v>
      </c>
      <c r="I958" s="554">
        <f t="shared" ref="I958:I964" si="323">IFERROR(H958*G958,"")</f>
        <v>0</v>
      </c>
      <c r="J958" s="554">
        <f t="shared" ref="J958:J964" si="324">IFERROR((IF(H958="","",H958-H958*$D$7)),"")</f>
        <v>347.74</v>
      </c>
      <c r="K958" s="554">
        <f t="shared" ref="K958:K964" si="325">IFERROR(J958*G958, "")</f>
        <v>0</v>
      </c>
      <c r="L958" s="554">
        <f t="shared" ref="L958:L964" si="326">IFERROR(J958*$D$8, "")</f>
        <v>0</v>
      </c>
      <c r="M958" s="554">
        <f t="shared" ref="M958:M964" si="327">IFERROR(L958*G958, "")</f>
        <v>0</v>
      </c>
      <c r="N958" s="104"/>
    </row>
    <row r="959" spans="1:14" s="73" customFormat="1">
      <c r="A959" s="36"/>
      <c r="B959" s="434" t="s">
        <v>397</v>
      </c>
      <c r="C959" s="446" t="s">
        <v>714</v>
      </c>
      <c r="D959" s="188">
        <v>11384631001</v>
      </c>
      <c r="E959" s="553" t="str">
        <f>IFERROR(VLOOKUP(D959,'ВИС-2026'!$E$17:$H$2115,2,0),"")</f>
        <v>Расширительная насадка G2,E/G1,H/G1,H/G1 (F), для трубы 40х3,7</v>
      </c>
      <c r="F959" s="292" t="str">
        <f>IFERROR(VLOOKUP(D959,'ВИС-2026'!$E$17:$H$2115,4,0),"")</f>
        <v>шт</v>
      </c>
      <c r="G959" s="428"/>
      <c r="H959" s="554">
        <f>IFERROR(VLOOKUP(D959,'ВИС-2026'!$E$17:$K$2649,7,0),"")</f>
        <v>313.92</v>
      </c>
      <c r="I959" s="554">
        <f t="shared" si="323"/>
        <v>0</v>
      </c>
      <c r="J959" s="554">
        <f t="shared" si="324"/>
        <v>313.92</v>
      </c>
      <c r="K959" s="554">
        <f t="shared" si="325"/>
        <v>0</v>
      </c>
      <c r="L959" s="554">
        <f t="shared" si="326"/>
        <v>0</v>
      </c>
      <c r="M959" s="554">
        <f t="shared" si="327"/>
        <v>0</v>
      </c>
      <c r="N959" s="104"/>
    </row>
    <row r="960" spans="1:14" s="73" customFormat="1">
      <c r="A960" s="36"/>
      <c r="B960" s="434" t="s">
        <v>397</v>
      </c>
      <c r="C960" s="446" t="s">
        <v>714</v>
      </c>
      <c r="D960" s="188">
        <v>11374241001</v>
      </c>
      <c r="E960" s="553" t="str">
        <f>IFERROR(VLOOKUP(D960,'ВИС-2026'!$E$17:$H$2115,2,0),"")</f>
        <v>Расширительная насадка G2,E/G1,H/G1,H/G1 (F), для трубы 50х4,6</v>
      </c>
      <c r="F960" s="292" t="str">
        <f>IFERROR(VLOOKUP(D960,'ВИС-2026'!$E$17:$H$2115,4,0),"")</f>
        <v>шт</v>
      </c>
      <c r="G960" s="428"/>
      <c r="H960" s="554">
        <f>IFERROR(VLOOKUP(D960,'ВИС-2026'!$E$17:$K$2649,7,0),"")</f>
        <v>325.39</v>
      </c>
      <c r="I960" s="554">
        <f t="shared" si="323"/>
        <v>0</v>
      </c>
      <c r="J960" s="554">
        <f t="shared" si="324"/>
        <v>325.39</v>
      </c>
      <c r="K960" s="554">
        <f t="shared" si="325"/>
        <v>0</v>
      </c>
      <c r="L960" s="554">
        <f t="shared" si="326"/>
        <v>0</v>
      </c>
      <c r="M960" s="554">
        <f t="shared" si="327"/>
        <v>0</v>
      </c>
      <c r="N960" s="104"/>
    </row>
    <row r="961" spans="1:14" s="73" customFormat="1">
      <c r="A961" s="36"/>
      <c r="B961" s="434" t="s">
        <v>397</v>
      </c>
      <c r="C961" s="446" t="s">
        <v>714</v>
      </c>
      <c r="D961" s="188">
        <v>11374341001</v>
      </c>
      <c r="E961" s="553" t="str">
        <f>IFERROR(VLOOKUP(D961,'ВИС-2026'!$E$17:$H$2115,2,0),"")</f>
        <v>Расширительная насадка G2,E/G1,H/G1,H/G1 (F), для трубы 63х5,7</v>
      </c>
      <c r="F961" s="292" t="str">
        <f>IFERROR(VLOOKUP(D961,'ВИС-2026'!$E$17:$H$2115,4,0),"")</f>
        <v>шт</v>
      </c>
      <c r="G961" s="428"/>
      <c r="H961" s="554">
        <f>IFERROR(VLOOKUP(D961,'ВИС-2026'!$E$17:$K$2649,7,0),"")</f>
        <v>347.74</v>
      </c>
      <c r="I961" s="554">
        <f t="shared" si="323"/>
        <v>0</v>
      </c>
      <c r="J961" s="554">
        <f t="shared" si="324"/>
        <v>347.74</v>
      </c>
      <c r="K961" s="554">
        <f t="shared" si="325"/>
        <v>0</v>
      </c>
      <c r="L961" s="554">
        <f t="shared" si="326"/>
        <v>0</v>
      </c>
      <c r="M961" s="554">
        <f t="shared" si="327"/>
        <v>0</v>
      </c>
      <c r="N961" s="104"/>
    </row>
    <row r="962" spans="1:14" s="73" customFormat="1">
      <c r="A962" s="36"/>
      <c r="B962" s="434" t="s">
        <v>397</v>
      </c>
      <c r="C962" s="446" t="s">
        <v>714</v>
      </c>
      <c r="D962" s="188">
        <v>11375841001</v>
      </c>
      <c r="E962" s="553" t="str">
        <f>IFERROR(VLOOKUP(D962,'ВИС-2026'!$E$17:$H$2115,2,0),"")</f>
        <v>Расширительная насадка G2,E/G1,H/G1,H/G1 (F), для трубы 75x6,8</v>
      </c>
      <c r="F962" s="292" t="str">
        <f>IFERROR(VLOOKUP(D962,'ВИС-2026'!$E$17:$H$2115,4,0),"")</f>
        <v>шт</v>
      </c>
      <c r="G962" s="428"/>
      <c r="H962" s="554">
        <f>IFERROR(VLOOKUP(D962,'ВИС-2026'!$E$17:$K$2649,7,0),"")</f>
        <v>426.24</v>
      </c>
      <c r="I962" s="554">
        <f t="shared" si="323"/>
        <v>0</v>
      </c>
      <c r="J962" s="554">
        <f t="shared" si="324"/>
        <v>426.24</v>
      </c>
      <c r="K962" s="554">
        <f t="shared" si="325"/>
        <v>0</v>
      </c>
      <c r="L962" s="554">
        <f t="shared" si="326"/>
        <v>0</v>
      </c>
      <c r="M962" s="554">
        <f t="shared" si="327"/>
        <v>0</v>
      </c>
      <c r="N962" s="104"/>
    </row>
    <row r="963" spans="1:14">
      <c r="A963" s="36"/>
      <c r="B963" s="434" t="s">
        <v>397</v>
      </c>
      <c r="C963" s="446" t="s">
        <v>714</v>
      </c>
      <c r="D963" s="188">
        <v>11376041001</v>
      </c>
      <c r="E963" s="553" t="str">
        <f>IFERROR(VLOOKUP(D963,'ВИС-2026'!$E$17:$H$2115,2,0),"")</f>
        <v>Расширительная насадка G2,E/G1,H/G1,H/G1 (F), для трубы 90x8,2</v>
      </c>
      <c r="F963" s="292" t="str">
        <f>IFERROR(VLOOKUP(D963,'ВИС-2026'!$E$17:$H$2115,4,0),"")</f>
        <v>шт</v>
      </c>
      <c r="G963" s="428"/>
      <c r="H963" s="554">
        <f>IFERROR(VLOOKUP(D963,'ВИС-2026'!$E$17:$K$2649,7,0),"")</f>
        <v>549.66</v>
      </c>
      <c r="I963" s="554">
        <f t="shared" si="323"/>
        <v>0</v>
      </c>
      <c r="J963" s="554">
        <f t="shared" si="324"/>
        <v>549.66</v>
      </c>
      <c r="K963" s="554">
        <f t="shared" si="325"/>
        <v>0</v>
      </c>
      <c r="L963" s="554">
        <f t="shared" si="326"/>
        <v>0</v>
      </c>
      <c r="M963" s="554">
        <f t="shared" si="327"/>
        <v>0</v>
      </c>
      <c r="N963" s="104"/>
    </row>
    <row r="964" spans="1:14" s="73" customFormat="1">
      <c r="A964" s="36"/>
      <c r="B964" s="434" t="s">
        <v>397</v>
      </c>
      <c r="C964" s="446" t="s">
        <v>714</v>
      </c>
      <c r="D964" s="188">
        <v>11376141001</v>
      </c>
      <c r="E964" s="553" t="str">
        <f>IFERROR(VLOOKUP(D964,'ВИС-2026'!$E$17:$H$2115,2,0),"")</f>
        <v>Расширительная насадка G2,E/G1,H/G1,H/G1 (F), для трубы 110x10,0</v>
      </c>
      <c r="F964" s="292" t="str">
        <f>IFERROR(VLOOKUP(D964,'ВИС-2026'!$E$17:$H$2115,4,0),"")</f>
        <v>шт</v>
      </c>
      <c r="G964" s="428"/>
      <c r="H964" s="554">
        <f>IFERROR(VLOOKUP(D964,'ВИС-2026'!$E$17:$K$2649,7,0),"")</f>
        <v>785.23</v>
      </c>
      <c r="I964" s="554">
        <f t="shared" si="323"/>
        <v>0</v>
      </c>
      <c r="J964" s="554">
        <f t="shared" si="324"/>
        <v>785.23</v>
      </c>
      <c r="K964" s="554">
        <f t="shared" si="325"/>
        <v>0</v>
      </c>
      <c r="L964" s="554">
        <f t="shared" si="326"/>
        <v>0</v>
      </c>
      <c r="M964" s="554">
        <f t="shared" si="327"/>
        <v>0</v>
      </c>
      <c r="N964" s="104"/>
    </row>
    <row r="965" spans="1:14">
      <c r="A965" s="36"/>
      <c r="B965" s="434"/>
      <c r="C965" s="440"/>
      <c r="D965" s="188"/>
      <c r="E965" s="437"/>
      <c r="F965" s="438"/>
      <c r="G965" s="428"/>
      <c r="H965" s="589" t="str">
        <f>IFERROR(VLOOKUP(D965,'ВИС-2026'!$E$17:$K$2649,7,0),"")</f>
        <v/>
      </c>
      <c r="I965" s="589" t="str">
        <f t="shared" ref="I965:I978" si="328">IFERROR(H965*G965,"")</f>
        <v/>
      </c>
      <c r="J965" s="589" t="str">
        <f t="shared" ref="J965:J978" si="329">IFERROR((IF(H965="","",H965-H965*$D$7)),"")</f>
        <v/>
      </c>
      <c r="K965" s="589" t="str">
        <f t="shared" ref="K965:K978" si="330">IFERROR(J965*G965, "")</f>
        <v/>
      </c>
      <c r="L965" s="589" t="str">
        <f t="shared" ref="L965:L978" si="331">IFERROR(J965*$D$8, "")</f>
        <v/>
      </c>
      <c r="M965" s="589" t="str">
        <f t="shared" ref="M965:M978" si="332">IFERROR(L965*G965, "")</f>
        <v/>
      </c>
      <c r="N965" s="104"/>
    </row>
    <row r="966" spans="1:14" s="73" customFormat="1" ht="30.6">
      <c r="A966" s="148" t="s">
        <v>25</v>
      </c>
      <c r="B966" s="208" t="s">
        <v>26</v>
      </c>
      <c r="C966" s="435" t="s">
        <v>714</v>
      </c>
      <c r="D966" s="188">
        <v>12254451001</v>
      </c>
      <c r="E966" s="553" t="str">
        <f>IFERROR(VLOOKUP(D966,'ВИС-2026'!$E$17:$H$2115,2,0),"")</f>
        <v>Универсальный набор клемм для закрепления труб 63-180мм (центрирование)</v>
      </c>
      <c r="F966" s="292" t="str">
        <f>IFERROR(VLOOKUP(D966,'ВИС-2026'!$E$17:$H$2115,4,0),"")</f>
        <v>шт</v>
      </c>
      <c r="G966" s="428"/>
      <c r="H966" s="554">
        <f>IFERROR(VLOOKUP(D966,'ВИС-2026'!$E$17:$K$2649,7,0),"")</f>
        <v>1764.34</v>
      </c>
      <c r="I966" s="554">
        <f t="shared" si="328"/>
        <v>0</v>
      </c>
      <c r="J966" s="554">
        <f t="shared" si="329"/>
        <v>1764.34</v>
      </c>
      <c r="K966" s="554">
        <f t="shared" si="330"/>
        <v>0</v>
      </c>
      <c r="L966" s="554">
        <f t="shared" si="331"/>
        <v>0</v>
      </c>
      <c r="M966" s="554">
        <f t="shared" si="332"/>
        <v>0</v>
      </c>
      <c r="N966" s="104"/>
    </row>
    <row r="967" spans="1:14">
      <c r="A967" s="36"/>
      <c r="B967" s="434"/>
      <c r="C967" s="440"/>
      <c r="D967" s="188"/>
      <c r="E967" s="437"/>
      <c r="F967" s="438"/>
      <c r="G967" s="428"/>
      <c r="H967" s="589" t="str">
        <f>IFERROR(VLOOKUP(D967,'ВИС-2026'!$E$17:$K$2649,7,0),"")</f>
        <v/>
      </c>
      <c r="I967" s="589" t="str">
        <f t="shared" si="328"/>
        <v/>
      </c>
      <c r="J967" s="589" t="str">
        <f t="shared" si="329"/>
        <v/>
      </c>
      <c r="K967" s="589" t="str">
        <f t="shared" si="330"/>
        <v/>
      </c>
      <c r="L967" s="589" t="str">
        <f t="shared" si="331"/>
        <v/>
      </c>
      <c r="M967" s="589" t="str">
        <f t="shared" si="332"/>
        <v/>
      </c>
      <c r="N967" s="104"/>
    </row>
    <row r="968" spans="1:14" s="73" customFormat="1" ht="39.6">
      <c r="A968" s="36"/>
      <c r="B968" s="457"/>
      <c r="C968" s="458" t="s">
        <v>769</v>
      </c>
      <c r="D968" s="460"/>
      <c r="E968" s="461" t="s">
        <v>770</v>
      </c>
      <c r="F968" s="488"/>
      <c r="G968" s="556"/>
      <c r="H968" s="592" t="str">
        <f>IFERROR(VLOOKUP(D968,'ВИС-2026'!$E$17:$K$2649,8,0),"")</f>
        <v/>
      </c>
      <c r="I968" s="593" t="str">
        <f t="shared" si="328"/>
        <v/>
      </c>
      <c r="J968" s="593" t="str">
        <f t="shared" si="329"/>
        <v/>
      </c>
      <c r="K968" s="593" t="str">
        <f t="shared" si="330"/>
        <v/>
      </c>
      <c r="L968" s="593" t="str">
        <f t="shared" si="331"/>
        <v/>
      </c>
      <c r="M968" s="593" t="str">
        <f t="shared" si="332"/>
        <v/>
      </c>
      <c r="N968" s="104"/>
    </row>
    <row r="969" spans="1:14" s="73" customFormat="1">
      <c r="A969" s="36"/>
      <c r="B969" s="457"/>
      <c r="C969" s="458" t="s">
        <v>769</v>
      </c>
      <c r="D969" s="460"/>
      <c r="E969" s="461" t="s">
        <v>771</v>
      </c>
      <c r="F969" s="594"/>
      <c r="G969" s="556"/>
      <c r="H969" s="592" t="str">
        <f>IFERROR(VLOOKUP(D969,'ВИС-2026'!$E$17:$K$2649,8,0),"")</f>
        <v/>
      </c>
      <c r="I969" s="592" t="str">
        <f t="shared" si="328"/>
        <v/>
      </c>
      <c r="J969" s="592" t="str">
        <f t="shared" si="329"/>
        <v/>
      </c>
      <c r="K969" s="592" t="str">
        <f t="shared" si="330"/>
        <v/>
      </c>
      <c r="L969" s="592" t="str">
        <f t="shared" si="331"/>
        <v/>
      </c>
      <c r="M969" s="592" t="str">
        <f t="shared" si="332"/>
        <v/>
      </c>
      <c r="N969" s="104"/>
    </row>
    <row r="970" spans="1:14" ht="30.6">
      <c r="A970" s="148" t="s">
        <v>25</v>
      </c>
      <c r="B970" s="208" t="s">
        <v>26</v>
      </c>
      <c r="C970" s="465" t="s">
        <v>769</v>
      </c>
      <c r="D970" s="188">
        <v>11230041005</v>
      </c>
      <c r="E970" s="553" t="str">
        <f>IFERROR(VLOOKUP(D970,'ВИС-2026'!$E$17:$H$2115,2,0),"")</f>
        <v xml:space="preserve">Канализационная труба диам.40/150 мм                                                             </v>
      </c>
      <c r="F970" s="292" t="str">
        <f>IFERROR(VLOOKUP(D970,'ВИС-2026'!$E$17:$H$2115,4,0),"")</f>
        <v>шт</v>
      </c>
      <c r="G970" s="428"/>
      <c r="H970" s="554">
        <f>IFERROR(VLOOKUP(D970,'ВИС-2026'!$E$17:$K$2649,7,0),"")</f>
        <v>2.99</v>
      </c>
      <c r="I970" s="554">
        <f t="shared" si="328"/>
        <v>0</v>
      </c>
      <c r="J970" s="554">
        <f t="shared" si="329"/>
        <v>2.99</v>
      </c>
      <c r="K970" s="554">
        <f t="shared" si="330"/>
        <v>0</v>
      </c>
      <c r="L970" s="554">
        <f t="shared" si="331"/>
        <v>0</v>
      </c>
      <c r="M970" s="554">
        <f t="shared" si="332"/>
        <v>0</v>
      </c>
      <c r="N970" s="104"/>
    </row>
    <row r="971" spans="1:14" s="73" customFormat="1" ht="30.6">
      <c r="A971" s="148" t="s">
        <v>25</v>
      </c>
      <c r="B971" s="208" t="s">
        <v>26</v>
      </c>
      <c r="C971" s="465" t="s">
        <v>769</v>
      </c>
      <c r="D971" s="188">
        <v>11230141006</v>
      </c>
      <c r="E971" s="553" t="str">
        <f>IFERROR(VLOOKUP(D971,'ВИС-2026'!$E$17:$H$2115,2,0),"")</f>
        <v xml:space="preserve">Канализационная труба диам.40/250 мм                                                                        </v>
      </c>
      <c r="F971" s="292" t="str">
        <f>IFERROR(VLOOKUP(D971,'ВИС-2026'!$E$17:$H$2115,4,0),"")</f>
        <v>шт</v>
      </c>
      <c r="G971" s="428"/>
      <c r="H971" s="554">
        <f>IFERROR(VLOOKUP(D971,'ВИС-2026'!$E$17:$K$2649,7,0),"")</f>
        <v>4.16</v>
      </c>
      <c r="I971" s="554">
        <f t="shared" si="328"/>
        <v>0</v>
      </c>
      <c r="J971" s="554">
        <f t="shared" si="329"/>
        <v>4.16</v>
      </c>
      <c r="K971" s="554">
        <f t="shared" si="330"/>
        <v>0</v>
      </c>
      <c r="L971" s="554">
        <f t="shared" si="331"/>
        <v>0</v>
      </c>
      <c r="M971" s="554">
        <f t="shared" si="332"/>
        <v>0</v>
      </c>
      <c r="N971" s="104"/>
    </row>
    <row r="972" spans="1:14">
      <c r="A972" s="36"/>
      <c r="B972" s="468"/>
      <c r="C972" s="465"/>
      <c r="D972" s="188"/>
      <c r="E972" s="466"/>
      <c r="F972" s="387"/>
      <c r="G972" s="428"/>
      <c r="H972" s="595" t="str">
        <f>IFERROR(VLOOKUP(D972,'ВИС-2026'!$E$17:$K$2649,7,0),"")</f>
        <v/>
      </c>
      <c r="I972" s="595" t="str">
        <f t="shared" si="328"/>
        <v/>
      </c>
      <c r="J972" s="595" t="str">
        <f t="shared" si="329"/>
        <v/>
      </c>
      <c r="K972" s="595" t="str">
        <f t="shared" si="330"/>
        <v/>
      </c>
      <c r="L972" s="595" t="str">
        <f t="shared" si="331"/>
        <v/>
      </c>
      <c r="M972" s="595" t="str">
        <f t="shared" si="332"/>
        <v/>
      </c>
      <c r="N972" s="104"/>
    </row>
    <row r="973" spans="1:14" s="73" customFormat="1" ht="30.6">
      <c r="A973" s="148" t="s">
        <v>25</v>
      </c>
      <c r="B973" s="208" t="s">
        <v>26</v>
      </c>
      <c r="C973" s="465" t="s">
        <v>769</v>
      </c>
      <c r="D973" s="188">
        <v>11230441222</v>
      </c>
      <c r="E973" s="553" t="str">
        <f>IFERROR(VLOOKUP(D973,'ВИС-2026'!$E$17:$H$2115,2,0),"")</f>
        <v>Канализационная труба диам.40/2000 мм</v>
      </c>
      <c r="F973" s="292" t="str">
        <f>IFERROR(VLOOKUP(D973,'ВИС-2026'!$E$17:$H$2115,4,0),"")</f>
        <v>шт</v>
      </c>
      <c r="G973" s="428"/>
      <c r="H973" s="554">
        <f>IFERROR(VLOOKUP(D973,'ВИС-2026'!$E$17:$K$2649,7,0),"")</f>
        <v>16.84</v>
      </c>
      <c r="I973" s="554">
        <f t="shared" si="328"/>
        <v>0</v>
      </c>
      <c r="J973" s="554">
        <f t="shared" si="329"/>
        <v>16.84</v>
      </c>
      <c r="K973" s="554">
        <f t="shared" si="330"/>
        <v>0</v>
      </c>
      <c r="L973" s="554">
        <f t="shared" si="331"/>
        <v>0</v>
      </c>
      <c r="M973" s="554">
        <f t="shared" si="332"/>
        <v>0</v>
      </c>
      <c r="N973" s="104"/>
    </row>
    <row r="974" spans="1:14" s="73" customFormat="1">
      <c r="A974" s="36"/>
      <c r="B974" s="468"/>
      <c r="C974" s="465"/>
      <c r="D974" s="188"/>
      <c r="E974" s="466"/>
      <c r="F974" s="387" t="s">
        <v>65</v>
      </c>
      <c r="G974" s="428"/>
      <c r="H974" s="595" t="str">
        <f>IFERROR(VLOOKUP(D974,'ВИС-2026'!$E$17:$K$2649,7,0),"")</f>
        <v/>
      </c>
      <c r="I974" s="595" t="str">
        <f t="shared" si="328"/>
        <v/>
      </c>
      <c r="J974" s="595" t="str">
        <f t="shared" si="329"/>
        <v/>
      </c>
      <c r="K974" s="595" t="str">
        <f t="shared" si="330"/>
        <v/>
      </c>
      <c r="L974" s="595" t="str">
        <f t="shared" si="331"/>
        <v/>
      </c>
      <c r="M974" s="595" t="str">
        <f t="shared" si="332"/>
        <v/>
      </c>
      <c r="N974" s="104"/>
    </row>
    <row r="975" spans="1:14" s="73" customFormat="1" ht="30.6">
      <c r="A975" s="148" t="s">
        <v>25</v>
      </c>
      <c r="B975" s="208" t="s">
        <v>26</v>
      </c>
      <c r="C975" s="465" t="s">
        <v>769</v>
      </c>
      <c r="D975" s="188">
        <v>11231841005</v>
      </c>
      <c r="E975" s="553" t="str">
        <f>IFERROR(VLOOKUP(D975,'ВИС-2026'!$E$17:$H$2115,2,0),"")</f>
        <v>Канализационная труба диам. 90/250 мм</v>
      </c>
      <c r="F975" s="292" t="str">
        <f>IFERROR(VLOOKUP(D975,'ВИС-2026'!$E$17:$H$2115,4,0),"")</f>
        <v>шт</v>
      </c>
      <c r="G975" s="428"/>
      <c r="H975" s="554">
        <f>IFERROR(VLOOKUP(D975,'ВИС-2026'!$E$17:$K$2649,7,0),"")</f>
        <v>5.93</v>
      </c>
      <c r="I975" s="554">
        <f t="shared" si="328"/>
        <v>0</v>
      </c>
      <c r="J975" s="554">
        <f t="shared" si="329"/>
        <v>5.93</v>
      </c>
      <c r="K975" s="554">
        <f t="shared" si="330"/>
        <v>0</v>
      </c>
      <c r="L975" s="554">
        <f t="shared" si="331"/>
        <v>0</v>
      </c>
      <c r="M975" s="554">
        <f t="shared" si="332"/>
        <v>0</v>
      </c>
      <c r="N975" s="104"/>
    </row>
    <row r="976" spans="1:14" s="73" customFormat="1">
      <c r="A976" s="36"/>
      <c r="B976" s="468"/>
      <c r="C976" s="465"/>
      <c r="D976" s="188"/>
      <c r="E976" s="466"/>
      <c r="F976" s="387" t="s">
        <v>65</v>
      </c>
      <c r="G976" s="428"/>
      <c r="H976" s="595" t="str">
        <f>IFERROR(VLOOKUP(D976,'ВИС-2026'!$E$17:$K$2649,7,0),"")</f>
        <v/>
      </c>
      <c r="I976" s="595" t="str">
        <f t="shared" si="328"/>
        <v/>
      </c>
      <c r="J976" s="595" t="str">
        <f t="shared" si="329"/>
        <v/>
      </c>
      <c r="K976" s="595" t="str">
        <f t="shared" si="330"/>
        <v/>
      </c>
      <c r="L976" s="595" t="str">
        <f t="shared" si="331"/>
        <v/>
      </c>
      <c r="M976" s="595" t="str">
        <f t="shared" si="332"/>
        <v/>
      </c>
      <c r="N976" s="104"/>
    </row>
    <row r="977" spans="1:14" ht="30.6">
      <c r="A977" s="148" t="s">
        <v>25</v>
      </c>
      <c r="B977" s="208" t="s">
        <v>26</v>
      </c>
      <c r="C977" s="465" t="s">
        <v>769</v>
      </c>
      <c r="D977" s="188">
        <v>11231941222</v>
      </c>
      <c r="E977" s="553" t="str">
        <f>IFERROR(VLOOKUP(D977,'ВИС-2026'!$E$17:$H$2115,2,0),"")</f>
        <v>Канализационная труба диам. 90/500 мм</v>
      </c>
      <c r="F977" s="292" t="str">
        <f>IFERROR(VLOOKUP(D977,'ВИС-2026'!$E$17:$H$2115,4,0),"")</f>
        <v>шт</v>
      </c>
      <c r="G977" s="428"/>
      <c r="H977" s="554">
        <f>IFERROR(VLOOKUP(D977,'ВИС-2026'!$E$17:$K$2649,7,0),"")</f>
        <v>7.45</v>
      </c>
      <c r="I977" s="554">
        <f t="shared" si="328"/>
        <v>0</v>
      </c>
      <c r="J977" s="554">
        <f t="shared" si="329"/>
        <v>7.45</v>
      </c>
      <c r="K977" s="554">
        <f t="shared" si="330"/>
        <v>0</v>
      </c>
      <c r="L977" s="554">
        <f t="shared" si="331"/>
        <v>0</v>
      </c>
      <c r="M977" s="554">
        <f t="shared" si="332"/>
        <v>0</v>
      </c>
      <c r="N977" s="104"/>
    </row>
    <row r="978" spans="1:14" s="74" customFormat="1" ht="30.6">
      <c r="A978" s="148" t="s">
        <v>25</v>
      </c>
      <c r="B978" s="208" t="s">
        <v>26</v>
      </c>
      <c r="C978" s="465" t="s">
        <v>769</v>
      </c>
      <c r="D978" s="188">
        <v>11239941222</v>
      </c>
      <c r="E978" s="553" t="str">
        <f>IFERROR(VLOOKUP(D978,'ВИС-2026'!$E$17:$H$2115,2,0),"")</f>
        <v>Канализационная труба диам. 90/1500 мм</v>
      </c>
      <c r="F978" s="292" t="str">
        <f>IFERROR(VLOOKUP(D978,'ВИС-2026'!$E$17:$H$2115,4,0),"")</f>
        <v>шт</v>
      </c>
      <c r="G978" s="428"/>
      <c r="H978" s="554">
        <f>IFERROR(VLOOKUP(D978,'ВИС-2026'!$E$17:$K$2649,7,0),"")</f>
        <v>13.05</v>
      </c>
      <c r="I978" s="554">
        <f t="shared" si="328"/>
        <v>0</v>
      </c>
      <c r="J978" s="554">
        <f t="shared" si="329"/>
        <v>13.05</v>
      </c>
      <c r="K978" s="554">
        <f t="shared" si="330"/>
        <v>0</v>
      </c>
      <c r="L978" s="554">
        <f t="shared" si="331"/>
        <v>0</v>
      </c>
      <c r="M978" s="554">
        <f t="shared" si="332"/>
        <v>0</v>
      </c>
      <c r="N978" s="104"/>
    </row>
    <row r="979" spans="1:14" s="74" customFormat="1">
      <c r="A979" s="36"/>
      <c r="B979" s="468"/>
      <c r="C979" s="465"/>
      <c r="D979" s="188"/>
      <c r="E979" s="466"/>
      <c r="F979" s="515"/>
      <c r="G979" s="428"/>
      <c r="H979" s="596" t="str">
        <f>IFERROR(VLOOKUP(D979,'ВИС-2026'!$E$17:$K$2649,7,0),"")</f>
        <v/>
      </c>
      <c r="I979" s="596" t="str">
        <f t="shared" si="308"/>
        <v/>
      </c>
      <c r="J979" s="596" t="str">
        <f t="shared" si="309"/>
        <v/>
      </c>
      <c r="K979" s="596" t="str">
        <f t="shared" si="310"/>
        <v/>
      </c>
      <c r="L979" s="596" t="str">
        <f t="shared" si="311"/>
        <v/>
      </c>
      <c r="M979" s="596" t="str">
        <f t="shared" si="312"/>
        <v/>
      </c>
      <c r="N979" s="104"/>
    </row>
    <row r="980" spans="1:14" s="74" customFormat="1" ht="30.6">
      <c r="A980" s="148" t="s">
        <v>25</v>
      </c>
      <c r="B980" s="208" t="s">
        <v>26</v>
      </c>
      <c r="C980" s="465" t="s">
        <v>769</v>
      </c>
      <c r="D980" s="188">
        <v>11202541003</v>
      </c>
      <c r="E980" s="553" t="str">
        <f>IFERROR(VLOOKUP(D980,'ВИС-2026'!$E$17:$H$2115,2,0),"")</f>
        <v>Канализационная труба диам. 110/150 мм</v>
      </c>
      <c r="F980" s="292" t="str">
        <f>IFERROR(VLOOKUP(D980,'ВИС-2026'!$E$17:$H$2115,4,0),"")</f>
        <v>шт</v>
      </c>
      <c r="G980" s="428"/>
      <c r="H980" s="554">
        <f>IFERROR(VLOOKUP(D980,'ВИС-2026'!$E$17:$K$2649,7,0),"")</f>
        <v>7.14</v>
      </c>
      <c r="I980" s="554">
        <f t="shared" si="308"/>
        <v>0</v>
      </c>
      <c r="J980" s="554">
        <f t="shared" si="309"/>
        <v>7.14</v>
      </c>
      <c r="K980" s="554">
        <f t="shared" si="310"/>
        <v>0</v>
      </c>
      <c r="L980" s="554">
        <f t="shared" si="311"/>
        <v>0</v>
      </c>
      <c r="M980" s="554">
        <f t="shared" si="312"/>
        <v>0</v>
      </c>
      <c r="N980" s="104"/>
    </row>
    <row r="981" spans="1:14" s="74" customFormat="1" ht="30.6">
      <c r="A981" s="148" t="s">
        <v>25</v>
      </c>
      <c r="B981" s="208" t="s">
        <v>26</v>
      </c>
      <c r="C981" s="465" t="s">
        <v>769</v>
      </c>
      <c r="D981" s="188">
        <v>11202641003</v>
      </c>
      <c r="E981" s="553" t="str">
        <f>IFERROR(VLOOKUP(D981,'ВИС-2026'!$E$17:$H$2115,2,0),"")</f>
        <v>Канализационная труба диам. 110/250 мм</v>
      </c>
      <c r="F981" s="292" t="str">
        <f>IFERROR(VLOOKUP(D981,'ВИС-2026'!$E$17:$H$2115,4,0),"")</f>
        <v>шт</v>
      </c>
      <c r="G981" s="428"/>
      <c r="H981" s="554">
        <f>IFERROR(VLOOKUP(D981,'ВИС-2026'!$E$17:$K$2649,7,0),"")</f>
        <v>8.56</v>
      </c>
      <c r="I981" s="554">
        <f t="shared" si="308"/>
        <v>0</v>
      </c>
      <c r="J981" s="554">
        <f t="shared" si="309"/>
        <v>8.56</v>
      </c>
      <c r="K981" s="554">
        <f t="shared" si="310"/>
        <v>0</v>
      </c>
      <c r="L981" s="554">
        <f t="shared" si="311"/>
        <v>0</v>
      </c>
      <c r="M981" s="554">
        <f t="shared" si="312"/>
        <v>0</v>
      </c>
      <c r="N981" s="104"/>
    </row>
    <row r="982" spans="1:14" s="74" customFormat="1">
      <c r="A982" s="36"/>
      <c r="B982" s="468"/>
      <c r="C982" s="470"/>
      <c r="D982" s="311"/>
      <c r="E982" s="471"/>
      <c r="F982" s="515" t="s">
        <v>28</v>
      </c>
      <c r="G982" s="428"/>
      <c r="H982" s="597" t="str">
        <f>IFERROR(VLOOKUP(D982,'ВИС-2026'!$E$17:$K$2649,7,0),"")</f>
        <v/>
      </c>
      <c r="I982" s="597" t="str">
        <f t="shared" si="308"/>
        <v/>
      </c>
      <c r="J982" s="597" t="str">
        <f t="shared" si="309"/>
        <v/>
      </c>
      <c r="K982" s="597" t="str">
        <f t="shared" si="310"/>
        <v/>
      </c>
      <c r="L982" s="597" t="str">
        <f t="shared" si="311"/>
        <v/>
      </c>
      <c r="M982" s="597" t="str">
        <f t="shared" si="312"/>
        <v/>
      </c>
      <c r="N982" s="104"/>
    </row>
    <row r="983" spans="1:14" s="74" customFormat="1" ht="30.6">
      <c r="A983" s="148" t="s">
        <v>25</v>
      </c>
      <c r="B983" s="208" t="s">
        <v>26</v>
      </c>
      <c r="C983" s="465" t="s">
        <v>769</v>
      </c>
      <c r="D983" s="188">
        <v>11216641222</v>
      </c>
      <c r="E983" s="553" t="str">
        <f>IFERROR(VLOOKUP(D983,'ВИС-2026'!$E$17:$H$2115,2,0),"")</f>
        <v>Канализационная труба диам. 160/1000 мм</v>
      </c>
      <c r="F983" s="292" t="str">
        <f>IFERROR(VLOOKUP(D983,'ВИС-2026'!$E$17:$H$2115,4,0),"")</f>
        <v>шт</v>
      </c>
      <c r="G983" s="428"/>
      <c r="H983" s="554">
        <f>IFERROR(VLOOKUP(D983,'ВИС-2026'!$E$17:$K$2649,7,0),"")</f>
        <v>61</v>
      </c>
      <c r="I983" s="554">
        <f t="shared" si="308"/>
        <v>0</v>
      </c>
      <c r="J983" s="554">
        <f t="shared" si="309"/>
        <v>61</v>
      </c>
      <c r="K983" s="554">
        <f t="shared" si="310"/>
        <v>0</v>
      </c>
      <c r="L983" s="554">
        <f t="shared" si="311"/>
        <v>0</v>
      </c>
      <c r="M983" s="554">
        <f t="shared" si="312"/>
        <v>0</v>
      </c>
      <c r="N983" s="104"/>
    </row>
    <row r="984" spans="1:14" s="74" customFormat="1" ht="30.6">
      <c r="A984" s="148" t="s">
        <v>25</v>
      </c>
      <c r="B984" s="208" t="s">
        <v>26</v>
      </c>
      <c r="C984" s="465" t="s">
        <v>769</v>
      </c>
      <c r="D984" s="188">
        <v>11216741222</v>
      </c>
      <c r="E984" s="553" t="str">
        <f>IFERROR(VLOOKUP(D984,'ВИС-2026'!$E$17:$H$2115,2,0),"")</f>
        <v>Канализационная труба диам. 160/2000 мм</v>
      </c>
      <c r="F984" s="292" t="str">
        <f>IFERROR(VLOOKUP(D984,'ВИС-2026'!$E$17:$H$2115,4,0),"")</f>
        <v>шт</v>
      </c>
      <c r="G984" s="428"/>
      <c r="H984" s="554">
        <f>IFERROR(VLOOKUP(D984,'ВИС-2026'!$E$17:$K$2649,7,0),"")</f>
        <v>96.9</v>
      </c>
      <c r="I984" s="554">
        <f t="shared" si="308"/>
        <v>0</v>
      </c>
      <c r="J984" s="554">
        <f t="shared" si="309"/>
        <v>96.9</v>
      </c>
      <c r="K984" s="554">
        <f t="shared" si="310"/>
        <v>0</v>
      </c>
      <c r="L984" s="554">
        <f t="shared" si="311"/>
        <v>0</v>
      </c>
      <c r="M984" s="554">
        <f t="shared" si="312"/>
        <v>0</v>
      </c>
      <c r="N984" s="104"/>
    </row>
    <row r="985" spans="1:14" s="74" customFormat="1">
      <c r="A985" s="36"/>
      <c r="B985" s="475"/>
      <c r="C985" s="465"/>
      <c r="D985" s="188"/>
      <c r="E985" s="466"/>
      <c r="F985" s="515" t="s">
        <v>28</v>
      </c>
      <c r="G985" s="428"/>
      <c r="H985" s="597" t="str">
        <f>IFERROR(VLOOKUP(D985,'ВИС-2026'!$E$17:$K$2649,7,0),"")</f>
        <v/>
      </c>
      <c r="I985" s="597" t="str">
        <f t="shared" si="308"/>
        <v/>
      </c>
      <c r="J985" s="597" t="str">
        <f t="shared" si="309"/>
        <v/>
      </c>
      <c r="K985" s="597" t="str">
        <f t="shared" si="310"/>
        <v/>
      </c>
      <c r="L985" s="597" t="str">
        <f t="shared" si="311"/>
        <v/>
      </c>
      <c r="M985" s="597" t="str">
        <f t="shared" si="312"/>
        <v/>
      </c>
      <c r="N985" s="104"/>
    </row>
    <row r="986" spans="1:14" s="74" customFormat="1" ht="30.6">
      <c r="A986" s="148" t="s">
        <v>25</v>
      </c>
      <c r="B986" s="208" t="s">
        <v>26</v>
      </c>
      <c r="C986" s="465" t="s">
        <v>769</v>
      </c>
      <c r="D986" s="188">
        <v>11230151222</v>
      </c>
      <c r="E986" s="553" t="str">
        <f>IFERROR(VLOOKUP(D986,'ВИС-2026'!$E$17:$H$2115,2,0),"")</f>
        <v>Канализационная труба диам. 200/1000 мм</v>
      </c>
      <c r="F986" s="292" t="str">
        <f>IFERROR(VLOOKUP(D986,'ВИС-2026'!$E$17:$H$2115,4,0),"")</f>
        <v>шт</v>
      </c>
      <c r="G986" s="428"/>
      <c r="H986" s="554">
        <f>IFERROR(VLOOKUP(D986,'ВИС-2026'!$E$17:$K$2649,7,0),"")</f>
        <v>184.22</v>
      </c>
      <c r="I986" s="554">
        <f t="shared" si="308"/>
        <v>0</v>
      </c>
      <c r="J986" s="554">
        <f t="shared" si="309"/>
        <v>184.22</v>
      </c>
      <c r="K986" s="554">
        <f t="shared" si="310"/>
        <v>0</v>
      </c>
      <c r="L986" s="554">
        <f t="shared" si="311"/>
        <v>0</v>
      </c>
      <c r="M986" s="554">
        <f t="shared" si="312"/>
        <v>0</v>
      </c>
      <c r="N986" s="104"/>
    </row>
    <row r="987" spans="1:14" s="74" customFormat="1">
      <c r="A987" s="36"/>
      <c r="B987" s="457"/>
      <c r="C987" s="465"/>
      <c r="D987" s="188"/>
      <c r="E987" s="466"/>
      <c r="F987" s="515" t="s">
        <v>28</v>
      </c>
      <c r="G987" s="428"/>
      <c r="H987" s="597" t="str">
        <f>IFERROR(VLOOKUP(D987,'ВИС-2026'!$E$17:$K$2649,7,0),"")</f>
        <v/>
      </c>
      <c r="I987" s="597" t="str">
        <f t="shared" si="308"/>
        <v/>
      </c>
      <c r="J987" s="597" t="str">
        <f t="shared" si="309"/>
        <v/>
      </c>
      <c r="K987" s="597" t="str">
        <f t="shared" si="310"/>
        <v/>
      </c>
      <c r="L987" s="597" t="str">
        <f t="shared" si="311"/>
        <v/>
      </c>
      <c r="M987" s="597" t="str">
        <f t="shared" si="312"/>
        <v/>
      </c>
      <c r="N987" s="104"/>
    </row>
    <row r="988" spans="1:14" s="74" customFormat="1" ht="30.6">
      <c r="A988" s="148" t="s">
        <v>25</v>
      </c>
      <c r="B988" s="208" t="s">
        <v>26</v>
      </c>
      <c r="C988" s="465" t="s">
        <v>769</v>
      </c>
      <c r="D988" s="188">
        <v>11230841002</v>
      </c>
      <c r="E988" s="553" t="str">
        <f>IFERROR(VLOOKUP(D988,'ВИС-2026'!$E$17:$H$2115,2,0),"")</f>
        <v>Отвод диам. 40 на 45°</v>
      </c>
      <c r="F988" s="292" t="str">
        <f>IFERROR(VLOOKUP(D988,'ВИС-2026'!$E$17:$H$2115,4,0),"")</f>
        <v>шт</v>
      </c>
      <c r="G988" s="428"/>
      <c r="H988" s="554">
        <f>IFERROR(VLOOKUP(D988,'ВИС-2026'!$E$17:$K$2649,7,0),"")</f>
        <v>1.89</v>
      </c>
      <c r="I988" s="554">
        <f t="shared" si="308"/>
        <v>0</v>
      </c>
      <c r="J988" s="554">
        <f t="shared" si="309"/>
        <v>1.89</v>
      </c>
      <c r="K988" s="554">
        <f t="shared" si="310"/>
        <v>0</v>
      </c>
      <c r="L988" s="554">
        <f t="shared" si="311"/>
        <v>0</v>
      </c>
      <c r="M988" s="554">
        <f t="shared" si="312"/>
        <v>0</v>
      </c>
      <c r="N988" s="104"/>
    </row>
    <row r="989" spans="1:14" s="74" customFormat="1" ht="30.6">
      <c r="A989" s="148" t="s">
        <v>25</v>
      </c>
      <c r="B989" s="208" t="s">
        <v>26</v>
      </c>
      <c r="C989" s="465" t="s">
        <v>769</v>
      </c>
      <c r="D989" s="188">
        <v>11240871001</v>
      </c>
      <c r="E989" s="553" t="str">
        <f>IFERROR(VLOOKUP(D989,'ВИС-2026'!$E$17:$H$2115,2,0),"")</f>
        <v>Отвод диам. 40 на 67°</v>
      </c>
      <c r="F989" s="292" t="str">
        <f>IFERROR(VLOOKUP(D989,'ВИС-2026'!$E$17:$H$2115,4,0),"")</f>
        <v>шт</v>
      </c>
      <c r="G989" s="428"/>
      <c r="H989" s="554">
        <f>IFERROR(VLOOKUP(D989,'ВИС-2026'!$E$17:$K$2649,7,0),"")</f>
        <v>2.48</v>
      </c>
      <c r="I989" s="554">
        <f t="shared" si="308"/>
        <v>0</v>
      </c>
      <c r="J989" s="554">
        <f t="shared" si="309"/>
        <v>2.48</v>
      </c>
      <c r="K989" s="554">
        <f t="shared" si="310"/>
        <v>0</v>
      </c>
      <c r="L989" s="554">
        <f t="shared" si="311"/>
        <v>0</v>
      </c>
      <c r="M989" s="554">
        <f t="shared" si="312"/>
        <v>0</v>
      </c>
      <c r="N989" s="104"/>
    </row>
    <row r="990" spans="1:14" s="74" customFormat="1" ht="30.6">
      <c r="A990" s="148" t="s">
        <v>25</v>
      </c>
      <c r="B990" s="208" t="s">
        <v>26</v>
      </c>
      <c r="C990" s="465" t="s">
        <v>769</v>
      </c>
      <c r="D990" s="188">
        <v>11230941001</v>
      </c>
      <c r="E990" s="553" t="str">
        <f>IFERROR(VLOOKUP(D990,'ВИС-2026'!$E$17:$H$2115,2,0),"")</f>
        <v>Отвод диам. 40 на 87°</v>
      </c>
      <c r="F990" s="292" t="str">
        <f>IFERROR(VLOOKUP(D990,'ВИС-2026'!$E$17:$H$2115,4,0),"")</f>
        <v>шт</v>
      </c>
      <c r="G990" s="428"/>
      <c r="H990" s="554">
        <f>IFERROR(VLOOKUP(D990,'ВИС-2026'!$E$17:$K$2649,7,0),"")</f>
        <v>1.87</v>
      </c>
      <c r="I990" s="554">
        <f t="shared" si="308"/>
        <v>0</v>
      </c>
      <c r="J990" s="554">
        <f t="shared" si="309"/>
        <v>1.87</v>
      </c>
      <c r="K990" s="554">
        <f t="shared" si="310"/>
        <v>0</v>
      </c>
      <c r="L990" s="554">
        <f t="shared" si="311"/>
        <v>0</v>
      </c>
      <c r="M990" s="554">
        <f t="shared" si="312"/>
        <v>0</v>
      </c>
      <c r="N990" s="104"/>
    </row>
    <row r="991" spans="1:14" s="74" customFormat="1">
      <c r="A991" s="36"/>
      <c r="B991" s="475"/>
      <c r="C991" s="465"/>
      <c r="D991" s="188"/>
      <c r="E991" s="466"/>
      <c r="F991" s="515" t="s">
        <v>28</v>
      </c>
      <c r="G991" s="428"/>
      <c r="H991" s="597" t="str">
        <f>IFERROR(VLOOKUP(D991,'ВИС-2026'!$E$17:$K$2649,7,0),"")</f>
        <v/>
      </c>
      <c r="I991" s="597" t="str">
        <f t="shared" si="308"/>
        <v/>
      </c>
      <c r="J991" s="597" t="str">
        <f t="shared" si="309"/>
        <v/>
      </c>
      <c r="K991" s="597" t="str">
        <f t="shared" si="310"/>
        <v/>
      </c>
      <c r="L991" s="597" t="str">
        <f t="shared" si="311"/>
        <v/>
      </c>
      <c r="M991" s="597" t="str">
        <f t="shared" si="312"/>
        <v/>
      </c>
      <c r="N991" s="104"/>
    </row>
    <row r="992" spans="1:14" s="74" customFormat="1" ht="30.6">
      <c r="A992" s="148" t="s">
        <v>25</v>
      </c>
      <c r="B992" s="208" t="s">
        <v>26</v>
      </c>
      <c r="C992" s="465" t="s">
        <v>769</v>
      </c>
      <c r="D992" s="242">
        <v>11211041003</v>
      </c>
      <c r="E992" s="553" t="str">
        <f>IFERROR(VLOOKUP(D992,'ВИС-2026'!$E$17:$H$2115,2,0),"")</f>
        <v>Отвод диам. 50 на 30°</v>
      </c>
      <c r="F992" s="292" t="str">
        <f>IFERROR(VLOOKUP(D992,'ВИС-2026'!$E$17:$H$2115,4,0),"")</f>
        <v>шт</v>
      </c>
      <c r="G992" s="428"/>
      <c r="H992" s="554">
        <f>IFERROR(VLOOKUP(D992,'ВИС-2026'!$E$17:$K$2649,7,0),"")</f>
        <v>1.31</v>
      </c>
      <c r="I992" s="554">
        <f t="shared" si="308"/>
        <v>0</v>
      </c>
      <c r="J992" s="554">
        <f t="shared" si="309"/>
        <v>1.31</v>
      </c>
      <c r="K992" s="554">
        <f t="shared" si="310"/>
        <v>0</v>
      </c>
      <c r="L992" s="554">
        <f t="shared" si="311"/>
        <v>0</v>
      </c>
      <c r="M992" s="554">
        <f t="shared" si="312"/>
        <v>0</v>
      </c>
      <c r="N992" s="104"/>
    </row>
    <row r="993" spans="1:14" s="74" customFormat="1">
      <c r="A993" s="36"/>
      <c r="B993" s="476"/>
      <c r="C993" s="477"/>
      <c r="D993" s="217"/>
      <c r="E993" s="479"/>
      <c r="F993" s="515" t="s">
        <v>28</v>
      </c>
      <c r="G993" s="428"/>
      <c r="H993" s="597" t="str">
        <f>IFERROR(VLOOKUP(D993,'ВИС-2026'!$E$17:$K$2649,7,0),"")</f>
        <v/>
      </c>
      <c r="I993" s="597" t="str">
        <f t="shared" si="308"/>
        <v/>
      </c>
      <c r="J993" s="597" t="str">
        <f t="shared" si="309"/>
        <v/>
      </c>
      <c r="K993" s="597" t="str">
        <f t="shared" si="310"/>
        <v/>
      </c>
      <c r="L993" s="597" t="str">
        <f t="shared" si="311"/>
        <v/>
      </c>
      <c r="M993" s="597" t="str">
        <f t="shared" si="312"/>
        <v/>
      </c>
      <c r="N993" s="104"/>
    </row>
    <row r="994" spans="1:14" s="74" customFormat="1" ht="30.6">
      <c r="A994" s="148" t="s">
        <v>25</v>
      </c>
      <c r="B994" s="208" t="s">
        <v>26</v>
      </c>
      <c r="C994" s="465" t="s">
        <v>769</v>
      </c>
      <c r="D994" s="188">
        <v>11230781001</v>
      </c>
      <c r="E994" s="553" t="str">
        <f>IFERROR(VLOOKUP(D994,'ВИС-2026'!$E$17:$H$2115,2,0),"")</f>
        <v>Отвод диам. 90 на 67°</v>
      </c>
      <c r="F994" s="292" t="str">
        <f>IFERROR(VLOOKUP(D994,'ВИС-2026'!$E$17:$H$2115,4,0),"")</f>
        <v>шт</v>
      </c>
      <c r="G994" s="428"/>
      <c r="H994" s="554">
        <f>IFERROR(VLOOKUP(D994,'ВИС-2026'!$E$17:$K$2649,7,0),"")</f>
        <v>7.84</v>
      </c>
      <c r="I994" s="554">
        <f t="shared" si="308"/>
        <v>0</v>
      </c>
      <c r="J994" s="554">
        <f t="shared" si="309"/>
        <v>7.84</v>
      </c>
      <c r="K994" s="554">
        <f t="shared" si="310"/>
        <v>0</v>
      </c>
      <c r="L994" s="554">
        <f t="shared" si="311"/>
        <v>0</v>
      </c>
      <c r="M994" s="554">
        <f t="shared" si="312"/>
        <v>0</v>
      </c>
      <c r="N994" s="104"/>
    </row>
    <row r="995" spans="1:14" ht="30.6">
      <c r="A995" s="148" t="s">
        <v>25</v>
      </c>
      <c r="B995" s="208" t="s">
        <v>26</v>
      </c>
      <c r="C995" s="465" t="s">
        <v>769</v>
      </c>
      <c r="D995" s="188">
        <v>11234141001</v>
      </c>
      <c r="E995" s="553" t="str">
        <f>IFERROR(VLOOKUP(D995,'ВИС-2026'!$E$17:$H$2115,2,0),"")</f>
        <v>Отвод диам. 90 на 87°</v>
      </c>
      <c r="F995" s="292" t="str">
        <f>IFERROR(VLOOKUP(D995,'ВИС-2026'!$E$17:$H$2115,4,0),"")</f>
        <v>шт</v>
      </c>
      <c r="G995" s="428"/>
      <c r="H995" s="554">
        <f>IFERROR(VLOOKUP(D995,'ВИС-2026'!$E$17:$K$2649,7,0),"")</f>
        <v>2.23</v>
      </c>
      <c r="I995" s="554">
        <f t="shared" si="308"/>
        <v>0</v>
      </c>
      <c r="J995" s="554">
        <f t="shared" si="309"/>
        <v>2.23</v>
      </c>
      <c r="K995" s="554">
        <f t="shared" si="310"/>
        <v>0</v>
      </c>
      <c r="L995" s="554">
        <f t="shared" si="311"/>
        <v>0</v>
      </c>
      <c r="M995" s="554">
        <f t="shared" si="312"/>
        <v>0</v>
      </c>
      <c r="N995" s="104"/>
    </row>
    <row r="996" spans="1:14" s="74" customFormat="1">
      <c r="A996" s="36"/>
      <c r="B996" s="475"/>
      <c r="C996" s="465"/>
      <c r="D996" s="188"/>
      <c r="E996" s="466"/>
      <c r="F996" s="515"/>
      <c r="G996" s="428"/>
      <c r="H996" s="596" t="str">
        <f>IFERROR(VLOOKUP(D996,'ВИС-2026'!$E$17:$K$2649,7,0),"")</f>
        <v/>
      </c>
      <c r="I996" s="596" t="str">
        <f t="shared" si="308"/>
        <v/>
      </c>
      <c r="J996" s="596" t="str">
        <f t="shared" si="309"/>
        <v/>
      </c>
      <c r="K996" s="596" t="str">
        <f t="shared" si="310"/>
        <v/>
      </c>
      <c r="L996" s="596" t="str">
        <f t="shared" si="311"/>
        <v/>
      </c>
      <c r="M996" s="596" t="str">
        <f t="shared" si="312"/>
        <v/>
      </c>
      <c r="N996" s="104"/>
    </row>
    <row r="997" spans="1:14" s="74" customFormat="1" ht="30.6">
      <c r="A997" s="148" t="s">
        <v>25</v>
      </c>
      <c r="B997" s="208" t="s">
        <v>26</v>
      </c>
      <c r="C997" s="482" t="s">
        <v>769</v>
      </c>
      <c r="D997" s="240">
        <v>11231321001</v>
      </c>
      <c r="E997" s="553" t="str">
        <f>IFERROR(VLOOKUP(D997,'ВИС-2026'!$E$17:$H$2115,2,0),"")</f>
        <v>Отвод диам. 110 на 15°</v>
      </c>
      <c r="F997" s="292" t="str">
        <f>IFERROR(VLOOKUP(D997,'ВИС-2026'!$E$17:$H$2115,4,0),"")</f>
        <v>шт</v>
      </c>
      <c r="G997" s="428"/>
      <c r="H997" s="554">
        <f>IFERROR(VLOOKUP(D997,'ВИС-2026'!$E$17:$K$2649,7,0),"")</f>
        <v>5.62</v>
      </c>
      <c r="I997" s="554">
        <f t="shared" si="308"/>
        <v>0</v>
      </c>
      <c r="J997" s="554">
        <f t="shared" si="309"/>
        <v>5.62</v>
      </c>
      <c r="K997" s="554">
        <f t="shared" si="310"/>
        <v>0</v>
      </c>
      <c r="L997" s="554">
        <f t="shared" si="311"/>
        <v>0</v>
      </c>
      <c r="M997" s="554">
        <f t="shared" si="312"/>
        <v>0</v>
      </c>
      <c r="N997" s="104"/>
    </row>
    <row r="998" spans="1:14" s="74" customFormat="1" ht="30.6">
      <c r="A998" s="148" t="s">
        <v>25</v>
      </c>
      <c r="B998" s="208" t="s">
        <v>26</v>
      </c>
      <c r="C998" s="465" t="s">
        <v>769</v>
      </c>
      <c r="D998" s="240">
        <v>11231351001</v>
      </c>
      <c r="E998" s="553" t="str">
        <f>IFERROR(VLOOKUP(D998,'ВИС-2026'!$E$17:$H$2115,2,0),"")</f>
        <v xml:space="preserve">Отвод диам. 110 на 30° </v>
      </c>
      <c r="F998" s="292" t="str">
        <f>IFERROR(VLOOKUP(D998,'ВИС-2026'!$E$17:$H$2115,4,0),"")</f>
        <v>шт</v>
      </c>
      <c r="G998" s="428"/>
      <c r="H998" s="554">
        <f>IFERROR(VLOOKUP(D998,'ВИС-2026'!$E$17:$K$2649,7,0),"")</f>
        <v>6.12</v>
      </c>
      <c r="I998" s="554">
        <f t="shared" si="308"/>
        <v>0</v>
      </c>
      <c r="J998" s="554">
        <f t="shared" si="309"/>
        <v>6.12</v>
      </c>
      <c r="K998" s="554">
        <f t="shared" si="310"/>
        <v>0</v>
      </c>
      <c r="L998" s="554">
        <f t="shared" si="311"/>
        <v>0</v>
      </c>
      <c r="M998" s="554">
        <f t="shared" si="312"/>
        <v>0</v>
      </c>
      <c r="N998" s="104"/>
    </row>
    <row r="999" spans="1:14" s="74" customFormat="1" ht="30.6">
      <c r="A999" s="148" t="s">
        <v>25</v>
      </c>
      <c r="B999" s="208" t="s">
        <v>26</v>
      </c>
      <c r="C999" s="465" t="s">
        <v>769</v>
      </c>
      <c r="D999" s="188">
        <v>11234541001</v>
      </c>
      <c r="E999" s="553" t="str">
        <f>IFERROR(VLOOKUP(D999,'ВИС-2026'!$E$17:$H$2115,2,0),"")</f>
        <v>Отвод диам. 110 на 67°</v>
      </c>
      <c r="F999" s="292" t="str">
        <f>IFERROR(VLOOKUP(D999,'ВИС-2026'!$E$17:$H$2115,4,0),"")</f>
        <v>шт</v>
      </c>
      <c r="G999" s="428"/>
      <c r="H999" s="554">
        <f>IFERROR(VLOOKUP(D999,'ВИС-2026'!$E$17:$K$2649,7,0),"")</f>
        <v>10.210000000000001</v>
      </c>
      <c r="I999" s="554">
        <f t="shared" si="308"/>
        <v>0</v>
      </c>
      <c r="J999" s="554">
        <f t="shared" si="309"/>
        <v>10.210000000000001</v>
      </c>
      <c r="K999" s="554">
        <f t="shared" si="310"/>
        <v>0</v>
      </c>
      <c r="L999" s="554">
        <f t="shared" si="311"/>
        <v>0</v>
      </c>
      <c r="M999" s="554">
        <f t="shared" si="312"/>
        <v>0</v>
      </c>
      <c r="N999" s="104"/>
    </row>
    <row r="1000" spans="1:14" s="74" customFormat="1" ht="30.6">
      <c r="A1000" s="148" t="s">
        <v>25</v>
      </c>
      <c r="B1000" s="208" t="s">
        <v>26</v>
      </c>
      <c r="C1000" s="465" t="s">
        <v>769</v>
      </c>
      <c r="D1000" s="188">
        <v>11234641001</v>
      </c>
      <c r="E1000" s="553" t="str">
        <f>IFERROR(VLOOKUP(D1000,'ВИС-2026'!$E$17:$H$2115,2,0),"")</f>
        <v>Отвод диам. 110 на 87°</v>
      </c>
      <c r="F1000" s="292" t="str">
        <f>IFERROR(VLOOKUP(D1000,'ВИС-2026'!$E$17:$H$2115,4,0),"")</f>
        <v>шт</v>
      </c>
      <c r="G1000" s="428"/>
      <c r="H1000" s="554">
        <f>IFERROR(VLOOKUP(D1000,'ВИС-2026'!$E$17:$K$2649,7,0),"")</f>
        <v>6</v>
      </c>
      <c r="I1000" s="554">
        <f t="shared" si="308"/>
        <v>0</v>
      </c>
      <c r="J1000" s="554">
        <f t="shared" si="309"/>
        <v>6</v>
      </c>
      <c r="K1000" s="554">
        <f t="shared" si="310"/>
        <v>0</v>
      </c>
      <c r="L1000" s="554">
        <f t="shared" si="311"/>
        <v>0</v>
      </c>
      <c r="M1000" s="554">
        <f t="shared" si="312"/>
        <v>0</v>
      </c>
      <c r="N1000" s="104"/>
    </row>
    <row r="1001" spans="1:14" s="74" customFormat="1">
      <c r="A1001" s="36"/>
      <c r="B1001" s="475"/>
      <c r="C1001" s="465"/>
      <c r="D1001" s="188"/>
      <c r="E1001" s="466"/>
      <c r="F1001" s="515" t="s">
        <v>28</v>
      </c>
      <c r="G1001" s="428"/>
      <c r="H1001" s="597" t="str">
        <f>IFERROR(VLOOKUP(D1001,'ВИС-2026'!$E$17:$K$2649,7,0),"")</f>
        <v/>
      </c>
      <c r="I1001" s="597" t="str">
        <f t="shared" si="308"/>
        <v/>
      </c>
      <c r="J1001" s="597" t="str">
        <f t="shared" si="309"/>
        <v/>
      </c>
      <c r="K1001" s="597" t="str">
        <f t="shared" si="310"/>
        <v/>
      </c>
      <c r="L1001" s="597" t="str">
        <f t="shared" si="311"/>
        <v/>
      </c>
      <c r="M1001" s="597" t="str">
        <f t="shared" si="312"/>
        <v/>
      </c>
      <c r="N1001" s="104"/>
    </row>
    <row r="1002" spans="1:14" s="74" customFormat="1" ht="30.6">
      <c r="A1002" s="148" t="s">
        <v>25</v>
      </c>
      <c r="B1002" s="208" t="s">
        <v>26</v>
      </c>
      <c r="C1002" s="465" t="s">
        <v>769</v>
      </c>
      <c r="D1002" s="188">
        <v>11002591001</v>
      </c>
      <c r="E1002" s="553" t="str">
        <f>IFERROR(VLOOKUP(D1002,'ВИС-2026'!$E$17:$H$2115,2,0),"")</f>
        <v>Отвод длинный диам. 110 на 87°</v>
      </c>
      <c r="F1002" s="292" t="str">
        <f>IFERROR(VLOOKUP(D1002,'ВИС-2026'!$E$17:$H$2115,4,0),"")</f>
        <v>шт</v>
      </c>
      <c r="G1002" s="428"/>
      <c r="H1002" s="554">
        <f>IFERROR(VLOOKUP(D1002,'ВИС-2026'!$E$17:$K$2649,7,0),"")</f>
        <v>5.48</v>
      </c>
      <c r="I1002" s="554">
        <f t="shared" si="308"/>
        <v>0</v>
      </c>
      <c r="J1002" s="554">
        <f t="shared" si="309"/>
        <v>5.48</v>
      </c>
      <c r="K1002" s="554">
        <f t="shared" si="310"/>
        <v>0</v>
      </c>
      <c r="L1002" s="554">
        <f t="shared" si="311"/>
        <v>0</v>
      </c>
      <c r="M1002" s="554">
        <f t="shared" si="312"/>
        <v>0</v>
      </c>
      <c r="N1002" s="104"/>
    </row>
    <row r="1003" spans="1:14" s="74" customFormat="1">
      <c r="A1003" s="36"/>
      <c r="B1003" s="476"/>
      <c r="C1003" s="465"/>
      <c r="D1003" s="188"/>
      <c r="E1003" s="466"/>
      <c r="F1003" s="515" t="s">
        <v>28</v>
      </c>
      <c r="G1003" s="428"/>
      <c r="H1003" s="597" t="str">
        <f>IFERROR(VLOOKUP(D1003,'ВИС-2026'!$E$17:$K$2649,7,0),"")</f>
        <v/>
      </c>
      <c r="I1003" s="597" t="str">
        <f t="shared" si="308"/>
        <v/>
      </c>
      <c r="J1003" s="597" t="str">
        <f t="shared" si="309"/>
        <v/>
      </c>
      <c r="K1003" s="597" t="str">
        <f t="shared" si="310"/>
        <v/>
      </c>
      <c r="L1003" s="597" t="str">
        <f t="shared" si="311"/>
        <v/>
      </c>
      <c r="M1003" s="597" t="str">
        <f t="shared" si="312"/>
        <v/>
      </c>
      <c r="N1003" s="104"/>
    </row>
    <row r="1004" spans="1:14" s="74" customFormat="1" ht="30.6">
      <c r="A1004" s="148" t="s">
        <v>25</v>
      </c>
      <c r="B1004" s="208" t="s">
        <v>26</v>
      </c>
      <c r="C1004" s="465" t="s">
        <v>769</v>
      </c>
      <c r="D1004" s="188">
        <v>11231041002</v>
      </c>
      <c r="E1004" s="553" t="str">
        <f>IFERROR(VLOOKUP(D1004,'ВИС-2026'!$E$17:$H$2115,2,0),"")</f>
        <v>Тройник 40/40/45°</v>
      </c>
      <c r="F1004" s="292" t="str">
        <f>IFERROR(VLOOKUP(D1004,'ВИС-2026'!$E$17:$H$2115,4,0),"")</f>
        <v>шт</v>
      </c>
      <c r="G1004" s="428"/>
      <c r="H1004" s="554">
        <f>IFERROR(VLOOKUP(D1004,'ВИС-2026'!$E$17:$K$2649,7,0),"")</f>
        <v>2.11</v>
      </c>
      <c r="I1004" s="554">
        <f t="shared" si="308"/>
        <v>0</v>
      </c>
      <c r="J1004" s="554">
        <f t="shared" si="309"/>
        <v>2.11</v>
      </c>
      <c r="K1004" s="554">
        <f t="shared" si="310"/>
        <v>0</v>
      </c>
      <c r="L1004" s="554">
        <f t="shared" si="311"/>
        <v>0</v>
      </c>
      <c r="M1004" s="554">
        <f t="shared" si="312"/>
        <v>0</v>
      </c>
      <c r="N1004" s="104"/>
    </row>
    <row r="1005" spans="1:14" s="74" customFormat="1" ht="30.6">
      <c r="A1005" s="148" t="s">
        <v>25</v>
      </c>
      <c r="B1005" s="208" t="s">
        <v>26</v>
      </c>
      <c r="C1005" s="465" t="s">
        <v>769</v>
      </c>
      <c r="D1005" s="188">
        <v>11240891001</v>
      </c>
      <c r="E1005" s="553" t="str">
        <f>IFERROR(VLOOKUP(D1005,'ВИС-2026'!$E$17:$H$2115,2,0),"")</f>
        <v>Тройник 50/40/45°</v>
      </c>
      <c r="F1005" s="292" t="str">
        <f>IFERROR(VLOOKUP(D1005,'ВИС-2026'!$E$17:$H$2115,4,0),"")</f>
        <v>шт</v>
      </c>
      <c r="G1005" s="428"/>
      <c r="H1005" s="554">
        <f>IFERROR(VLOOKUP(D1005,'ВИС-2026'!$E$17:$K$2649,7,0),"")</f>
        <v>3.75</v>
      </c>
      <c r="I1005" s="554">
        <f t="shared" si="308"/>
        <v>0</v>
      </c>
      <c r="J1005" s="554">
        <f t="shared" si="309"/>
        <v>3.75</v>
      </c>
      <c r="K1005" s="554">
        <f t="shared" si="310"/>
        <v>0</v>
      </c>
      <c r="L1005" s="554">
        <f t="shared" si="311"/>
        <v>0</v>
      </c>
      <c r="M1005" s="554">
        <f t="shared" si="312"/>
        <v>0</v>
      </c>
      <c r="N1005" s="104"/>
    </row>
    <row r="1006" spans="1:14" s="74" customFormat="1" ht="30.6">
      <c r="A1006" s="148" t="s">
        <v>25</v>
      </c>
      <c r="B1006" s="208" t="s">
        <v>26</v>
      </c>
      <c r="C1006" s="465" t="s">
        <v>769</v>
      </c>
      <c r="D1006" s="188">
        <v>11240971001</v>
      </c>
      <c r="E1006" s="553" t="str">
        <f>IFERROR(VLOOKUP(D1006,'ВИС-2026'!$E$17:$H$2115,2,0),"")</f>
        <v>Тройник 50/40/87°</v>
      </c>
      <c r="F1006" s="292" t="str">
        <f>IFERROR(VLOOKUP(D1006,'ВИС-2026'!$E$17:$H$2115,4,0),"")</f>
        <v>шт</v>
      </c>
      <c r="G1006" s="428"/>
      <c r="H1006" s="554">
        <f>IFERROR(VLOOKUP(D1006,'ВИС-2026'!$E$17:$K$2649,7,0),"")</f>
        <v>4</v>
      </c>
      <c r="I1006" s="554">
        <f t="shared" si="308"/>
        <v>0</v>
      </c>
      <c r="J1006" s="554">
        <f t="shared" si="309"/>
        <v>4</v>
      </c>
      <c r="K1006" s="554">
        <f t="shared" si="310"/>
        <v>0</v>
      </c>
      <c r="L1006" s="554">
        <f t="shared" si="311"/>
        <v>0</v>
      </c>
      <c r="M1006" s="554">
        <f t="shared" si="312"/>
        <v>0</v>
      </c>
      <c r="N1006" s="104"/>
    </row>
    <row r="1007" spans="1:14" s="74" customFormat="1" ht="30.6">
      <c r="A1007" s="148" t="s">
        <v>25</v>
      </c>
      <c r="B1007" s="208" t="s">
        <v>26</v>
      </c>
      <c r="C1007" s="465" t="s">
        <v>769</v>
      </c>
      <c r="D1007" s="188">
        <v>11212541001</v>
      </c>
      <c r="E1007" s="553" t="str">
        <f>IFERROR(VLOOKUP(D1007,'ВИС-2026'!$E$17:$H$2115,2,0),"")</f>
        <v>Тройник 50/50/87°</v>
      </c>
      <c r="F1007" s="292" t="str">
        <f>IFERROR(VLOOKUP(D1007,'ВИС-2026'!$E$17:$H$2115,4,0),"")</f>
        <v>шт</v>
      </c>
      <c r="G1007" s="428"/>
      <c r="H1007" s="554">
        <f>IFERROR(VLOOKUP(D1007,'ВИС-2026'!$E$17:$K$2649,7,0),"")</f>
        <v>3.12</v>
      </c>
      <c r="I1007" s="554">
        <f t="shared" si="308"/>
        <v>0</v>
      </c>
      <c r="J1007" s="554">
        <f t="shared" si="309"/>
        <v>3.12</v>
      </c>
      <c r="K1007" s="554">
        <f t="shared" si="310"/>
        <v>0</v>
      </c>
      <c r="L1007" s="554">
        <f t="shared" si="311"/>
        <v>0</v>
      </c>
      <c r="M1007" s="554">
        <f t="shared" si="312"/>
        <v>0</v>
      </c>
      <c r="N1007" s="104"/>
    </row>
    <row r="1008" spans="1:14" s="74" customFormat="1" ht="30.6">
      <c r="A1008" s="148" t="s">
        <v>25</v>
      </c>
      <c r="B1008" s="208" t="s">
        <v>26</v>
      </c>
      <c r="C1008" s="465" t="s">
        <v>769</v>
      </c>
      <c r="D1008" s="188">
        <v>11232841001</v>
      </c>
      <c r="E1008" s="553" t="str">
        <f>IFERROR(VLOOKUP(D1008,'ВИС-2026'!$E$17:$H$2115,2,0),"")</f>
        <v>Тройник 90/50/87°</v>
      </c>
      <c r="F1008" s="292" t="str">
        <f>IFERROR(VLOOKUP(D1008,'ВИС-2026'!$E$17:$H$2115,4,0),"")</f>
        <v>шт</v>
      </c>
      <c r="G1008" s="428"/>
      <c r="H1008" s="554">
        <f>IFERROR(VLOOKUP(D1008,'ВИС-2026'!$E$17:$K$2649,7,0),"")</f>
        <v>3.45</v>
      </c>
      <c r="I1008" s="554">
        <f t="shared" si="308"/>
        <v>0</v>
      </c>
      <c r="J1008" s="554">
        <f t="shared" si="309"/>
        <v>3.45</v>
      </c>
      <c r="K1008" s="554">
        <f t="shared" si="310"/>
        <v>0</v>
      </c>
      <c r="L1008" s="554">
        <f t="shared" si="311"/>
        <v>0</v>
      </c>
      <c r="M1008" s="554">
        <f t="shared" si="312"/>
        <v>0</v>
      </c>
      <c r="N1008" s="104"/>
    </row>
    <row r="1009" spans="1:14" ht="30.6">
      <c r="A1009" s="148" t="s">
        <v>25</v>
      </c>
      <c r="B1009" s="208" t="s">
        <v>26</v>
      </c>
      <c r="C1009" s="465" t="s">
        <v>769</v>
      </c>
      <c r="D1009" s="188">
        <v>11232941001</v>
      </c>
      <c r="E1009" s="553" t="str">
        <f>IFERROR(VLOOKUP(D1009,'ВИС-2026'!$E$17:$H$2115,2,0),"")</f>
        <v>Тройник 90/90/45°</v>
      </c>
      <c r="F1009" s="292" t="str">
        <f>IFERROR(VLOOKUP(D1009,'ВИС-2026'!$E$17:$H$2115,4,0),"")</f>
        <v>шт</v>
      </c>
      <c r="G1009" s="428"/>
      <c r="H1009" s="554">
        <f>IFERROR(VLOOKUP(D1009,'ВИС-2026'!$E$17:$K$2649,7,0),"")</f>
        <v>10.96</v>
      </c>
      <c r="I1009" s="554">
        <f t="shared" si="308"/>
        <v>0</v>
      </c>
      <c r="J1009" s="554">
        <f t="shared" si="309"/>
        <v>10.96</v>
      </c>
      <c r="K1009" s="554">
        <f t="shared" si="310"/>
        <v>0</v>
      </c>
      <c r="L1009" s="554">
        <f t="shared" si="311"/>
        <v>0</v>
      </c>
      <c r="M1009" s="554">
        <f t="shared" si="312"/>
        <v>0</v>
      </c>
      <c r="N1009" s="104"/>
    </row>
    <row r="1010" spans="1:14" s="74" customFormat="1" ht="30.6">
      <c r="A1010" s="148" t="s">
        <v>25</v>
      </c>
      <c r="B1010" s="208" t="s">
        <v>26</v>
      </c>
      <c r="C1010" s="465" t="s">
        <v>769</v>
      </c>
      <c r="D1010" s="188">
        <v>11233041001</v>
      </c>
      <c r="E1010" s="553" t="str">
        <f>IFERROR(VLOOKUP(D1010,'ВИС-2026'!$E$17:$H$2115,2,0),"")</f>
        <v>Тройник 90/90/87° max flow (гидравл. оптимизированный радиус изгиба)</v>
      </c>
      <c r="F1010" s="292" t="str">
        <f>IFERROR(VLOOKUP(D1010,'ВИС-2026'!$E$17:$H$2115,4,0),"")</f>
        <v>шт</v>
      </c>
      <c r="G1010" s="428"/>
      <c r="H1010" s="554">
        <f>IFERROR(VLOOKUP(D1010,'ВИС-2026'!$E$17:$K$2649,7,0),"")</f>
        <v>4.9000000000000004</v>
      </c>
      <c r="I1010" s="554">
        <f t="shared" ref="I1010:I1018" si="333">IFERROR(H1010*G1010,"")</f>
        <v>0</v>
      </c>
      <c r="J1010" s="554">
        <f t="shared" ref="J1010:J1018" si="334">IFERROR((IF(H1010="","",H1010-H1010*$D$7)),"")</f>
        <v>4.9000000000000004</v>
      </c>
      <c r="K1010" s="554">
        <f t="shared" ref="K1010:K1018" si="335">IFERROR(J1010*G1010, "")</f>
        <v>0</v>
      </c>
      <c r="L1010" s="554">
        <f t="shared" ref="L1010:L1018" si="336">IFERROR(J1010*$D$8, "")</f>
        <v>0</v>
      </c>
      <c r="M1010" s="554">
        <f t="shared" ref="M1010:M1018" si="337">IFERROR(L1010*G1010, "")</f>
        <v>0</v>
      </c>
      <c r="N1010" s="104"/>
    </row>
    <row r="1011" spans="1:14" s="74" customFormat="1" ht="30.6">
      <c r="A1011" s="148" t="s">
        <v>25</v>
      </c>
      <c r="B1011" s="208" t="s">
        <v>26</v>
      </c>
      <c r="C1011" s="465" t="s">
        <v>769</v>
      </c>
      <c r="D1011" s="188">
        <v>11213041001</v>
      </c>
      <c r="E1011" s="553" t="str">
        <f>IFERROR(VLOOKUP(D1011,'ВИС-2026'!$E$17:$H$2115,2,0),"")</f>
        <v>Тройник 110/50/45°</v>
      </c>
      <c r="F1011" s="292" t="str">
        <f>IFERROR(VLOOKUP(D1011,'ВИС-2026'!$E$17:$H$2115,4,0),"")</f>
        <v>шт</v>
      </c>
      <c r="G1011" s="428"/>
      <c r="H1011" s="554">
        <f>IFERROR(VLOOKUP(D1011,'ВИС-2026'!$E$17:$K$2649,7,0),"")</f>
        <v>7.09</v>
      </c>
      <c r="I1011" s="554">
        <f t="shared" si="333"/>
        <v>0</v>
      </c>
      <c r="J1011" s="554">
        <f t="shared" si="334"/>
        <v>7.09</v>
      </c>
      <c r="K1011" s="554">
        <f t="shared" si="335"/>
        <v>0</v>
      </c>
      <c r="L1011" s="554">
        <f t="shared" si="336"/>
        <v>0</v>
      </c>
      <c r="M1011" s="554">
        <f t="shared" si="337"/>
        <v>0</v>
      </c>
      <c r="N1011" s="104"/>
    </row>
    <row r="1012" spans="1:14" s="74" customFormat="1" ht="30.6">
      <c r="A1012" s="148" t="s">
        <v>25</v>
      </c>
      <c r="B1012" s="208" t="s">
        <v>26</v>
      </c>
      <c r="C1012" s="465" t="s">
        <v>769</v>
      </c>
      <c r="D1012" s="240">
        <v>11213241002</v>
      </c>
      <c r="E1012" s="553" t="str">
        <f>IFERROR(VLOOKUP(D1012,'ВИС-2026'!$E$17:$H$2115,2,0),"")</f>
        <v>Тройник 110/50/87°</v>
      </c>
      <c r="F1012" s="292" t="str">
        <f>IFERROR(VLOOKUP(D1012,'ВИС-2026'!$E$17:$H$2115,4,0),"")</f>
        <v>шт</v>
      </c>
      <c r="G1012" s="428"/>
      <c r="H1012" s="554">
        <f>IFERROR(VLOOKUP(D1012,'ВИС-2026'!$E$17:$K$2649,7,0),"")</f>
        <v>7.48</v>
      </c>
      <c r="I1012" s="554">
        <f t="shared" si="333"/>
        <v>0</v>
      </c>
      <c r="J1012" s="554">
        <f t="shared" si="334"/>
        <v>7.48</v>
      </c>
      <c r="K1012" s="554">
        <f t="shared" si="335"/>
        <v>0</v>
      </c>
      <c r="L1012" s="554">
        <f t="shared" si="336"/>
        <v>0</v>
      </c>
      <c r="M1012" s="554">
        <f t="shared" si="337"/>
        <v>0</v>
      </c>
      <c r="N1012" s="104"/>
    </row>
    <row r="1013" spans="1:14" s="74" customFormat="1" ht="30.6">
      <c r="A1013" s="148" t="s">
        <v>25</v>
      </c>
      <c r="B1013" s="208" t="s">
        <v>26</v>
      </c>
      <c r="C1013" s="465" t="s">
        <v>769</v>
      </c>
      <c r="D1013" s="188">
        <v>11002571001</v>
      </c>
      <c r="E1013" s="553" t="str">
        <f>IFERROR(VLOOKUP(D1013,'ВИС-2026'!$E$17:$H$2115,2,0),"")</f>
        <v>Тройник 110/90/45°</v>
      </c>
      <c r="F1013" s="292" t="str">
        <f>IFERROR(VLOOKUP(D1013,'ВИС-2026'!$E$17:$H$2115,4,0),"")</f>
        <v>шт</v>
      </c>
      <c r="G1013" s="428"/>
      <c r="H1013" s="554">
        <f>IFERROR(VLOOKUP(D1013,'ВИС-2026'!$E$17:$K$2649,7,0),"")</f>
        <v>14.62</v>
      </c>
      <c r="I1013" s="554">
        <f t="shared" si="333"/>
        <v>0</v>
      </c>
      <c r="J1013" s="554">
        <f t="shared" si="334"/>
        <v>14.62</v>
      </c>
      <c r="K1013" s="554">
        <f t="shared" si="335"/>
        <v>0</v>
      </c>
      <c r="L1013" s="554">
        <f t="shared" si="336"/>
        <v>0</v>
      </c>
      <c r="M1013" s="554">
        <f t="shared" si="337"/>
        <v>0</v>
      </c>
      <c r="N1013" s="104"/>
    </row>
    <row r="1014" spans="1:14" s="74" customFormat="1" ht="30.6">
      <c r="A1014" s="148" t="s">
        <v>25</v>
      </c>
      <c r="B1014" s="208" t="s">
        <v>26</v>
      </c>
      <c r="C1014" s="465" t="s">
        <v>769</v>
      </c>
      <c r="D1014" s="188">
        <v>11002581001</v>
      </c>
      <c r="E1014" s="553" t="str">
        <f>IFERROR(VLOOKUP(D1014,'ВИС-2026'!$E$17:$H$2115,2,0),"")</f>
        <v>Тройник 110/90/87°</v>
      </c>
      <c r="F1014" s="292" t="str">
        <f>IFERROR(VLOOKUP(D1014,'ВИС-2026'!$E$17:$H$2115,4,0),"")</f>
        <v>шт</v>
      </c>
      <c r="G1014" s="428"/>
      <c r="H1014" s="554">
        <f>IFERROR(VLOOKUP(D1014,'ВИС-2026'!$E$17:$K$2649,7,0),"")</f>
        <v>14.03</v>
      </c>
      <c r="I1014" s="554">
        <f t="shared" si="333"/>
        <v>0</v>
      </c>
      <c r="J1014" s="554">
        <f t="shared" si="334"/>
        <v>14.03</v>
      </c>
      <c r="K1014" s="554">
        <f t="shared" si="335"/>
        <v>0</v>
      </c>
      <c r="L1014" s="554">
        <f t="shared" si="336"/>
        <v>0</v>
      </c>
      <c r="M1014" s="554">
        <f t="shared" si="337"/>
        <v>0</v>
      </c>
      <c r="N1014" s="104"/>
    </row>
    <row r="1015" spans="1:14" s="74" customFormat="1" ht="30.6">
      <c r="A1015" s="148" t="s">
        <v>25</v>
      </c>
      <c r="B1015" s="208" t="s">
        <v>26</v>
      </c>
      <c r="C1015" s="465" t="s">
        <v>769</v>
      </c>
      <c r="D1015" s="188">
        <v>11229841001</v>
      </c>
      <c r="E1015" s="553" t="str">
        <f>IFERROR(VLOOKUP(D1015,'ВИС-2026'!$E$17:$H$2115,2,0),"")</f>
        <v>Тройник 110/110/45°</v>
      </c>
      <c r="F1015" s="292" t="str">
        <f>IFERROR(VLOOKUP(D1015,'ВИС-2026'!$E$17:$H$2115,4,0),"")</f>
        <v>шт</v>
      </c>
      <c r="G1015" s="428"/>
      <c r="H1015" s="554">
        <f>IFERROR(VLOOKUP(D1015,'ВИС-2026'!$E$17:$K$2649,7,0),"")</f>
        <v>10.57</v>
      </c>
      <c r="I1015" s="554">
        <f t="shared" si="333"/>
        <v>0</v>
      </c>
      <c r="J1015" s="554">
        <f t="shared" si="334"/>
        <v>10.57</v>
      </c>
      <c r="K1015" s="554">
        <f t="shared" si="335"/>
        <v>0</v>
      </c>
      <c r="L1015" s="554">
        <f t="shared" si="336"/>
        <v>0</v>
      </c>
      <c r="M1015" s="554">
        <f t="shared" si="337"/>
        <v>0</v>
      </c>
      <c r="N1015" s="104"/>
    </row>
    <row r="1016" spans="1:14" s="74" customFormat="1" ht="30.6">
      <c r="A1016" s="148" t="s">
        <v>25</v>
      </c>
      <c r="B1016" s="208" t="s">
        <v>26</v>
      </c>
      <c r="C1016" s="465" t="s">
        <v>769</v>
      </c>
      <c r="D1016" s="188">
        <v>11240371001</v>
      </c>
      <c r="E1016" s="553" t="str">
        <f>IFERROR(VLOOKUP(D1016,'ВИС-2026'!$E$17:$H$2115,2,0),"")</f>
        <v>Тройник 160/110/45°</v>
      </c>
      <c r="F1016" s="292" t="str">
        <f>IFERROR(VLOOKUP(D1016,'ВИС-2026'!$E$17:$H$2115,4,0),"")</f>
        <v>шт</v>
      </c>
      <c r="G1016" s="428"/>
      <c r="H1016" s="554">
        <f>IFERROR(VLOOKUP(D1016,'ВИС-2026'!$E$17:$K$2649,7,0),"")</f>
        <v>38.39</v>
      </c>
      <c r="I1016" s="554">
        <f t="shared" si="333"/>
        <v>0</v>
      </c>
      <c r="J1016" s="554">
        <f t="shared" si="334"/>
        <v>38.39</v>
      </c>
      <c r="K1016" s="554">
        <f t="shared" si="335"/>
        <v>0</v>
      </c>
      <c r="L1016" s="554">
        <f t="shared" si="336"/>
        <v>0</v>
      </c>
      <c r="M1016" s="554">
        <f t="shared" si="337"/>
        <v>0</v>
      </c>
      <c r="N1016" s="104"/>
    </row>
    <row r="1017" spans="1:14" s="74" customFormat="1" ht="30.6">
      <c r="A1017" s="148" t="s">
        <v>25</v>
      </c>
      <c r="B1017" s="208" t="s">
        <v>26</v>
      </c>
      <c r="C1017" s="465" t="s">
        <v>769</v>
      </c>
      <c r="D1017" s="188">
        <v>11240691001</v>
      </c>
      <c r="E1017" s="553" t="str">
        <f>IFERROR(VLOOKUP(D1017,'ВИС-2026'!$E$17:$H$2115,2,0),"")</f>
        <v xml:space="preserve">Тройник 160/110/87° </v>
      </c>
      <c r="F1017" s="292" t="str">
        <f>IFERROR(VLOOKUP(D1017,'ВИС-2026'!$E$17:$H$2115,4,0),"")</f>
        <v>шт</v>
      </c>
      <c r="G1017" s="428"/>
      <c r="H1017" s="554">
        <f>IFERROR(VLOOKUP(D1017,'ВИС-2026'!$E$17:$K$2649,7,0),"")</f>
        <v>14.74</v>
      </c>
      <c r="I1017" s="554">
        <f t="shared" si="333"/>
        <v>0</v>
      </c>
      <c r="J1017" s="554">
        <f t="shared" si="334"/>
        <v>14.74</v>
      </c>
      <c r="K1017" s="554">
        <f t="shared" si="335"/>
        <v>0</v>
      </c>
      <c r="L1017" s="554">
        <f t="shared" si="336"/>
        <v>0</v>
      </c>
      <c r="M1017" s="554">
        <f t="shared" si="337"/>
        <v>0</v>
      </c>
      <c r="N1017" s="104"/>
    </row>
    <row r="1018" spans="1:14" s="74" customFormat="1" ht="30.6">
      <c r="A1018" s="148" t="s">
        <v>25</v>
      </c>
      <c r="B1018" s="208" t="s">
        <v>26</v>
      </c>
      <c r="C1018" s="465" t="s">
        <v>769</v>
      </c>
      <c r="D1018" s="188">
        <v>11240381001</v>
      </c>
      <c r="E1018" s="553" t="str">
        <f>IFERROR(VLOOKUP(D1018,'ВИС-2026'!$E$17:$H$2115,2,0),"")</f>
        <v>Тройник 160/160/45°</v>
      </c>
      <c r="F1018" s="292" t="str">
        <f>IFERROR(VLOOKUP(D1018,'ВИС-2026'!$E$17:$H$2115,4,0),"")</f>
        <v>шт</v>
      </c>
      <c r="G1018" s="428"/>
      <c r="H1018" s="554">
        <f>IFERROR(VLOOKUP(D1018,'ВИС-2026'!$E$17:$K$2649,7,0),"")</f>
        <v>29.24</v>
      </c>
      <c r="I1018" s="554">
        <f t="shared" si="333"/>
        <v>0</v>
      </c>
      <c r="J1018" s="554">
        <f t="shared" si="334"/>
        <v>29.24</v>
      </c>
      <c r="K1018" s="554">
        <f t="shared" si="335"/>
        <v>0</v>
      </c>
      <c r="L1018" s="554">
        <f t="shared" si="336"/>
        <v>0</v>
      </c>
      <c r="M1018" s="554">
        <f t="shared" si="337"/>
        <v>0</v>
      </c>
      <c r="N1018" s="104"/>
    </row>
    <row r="1019" spans="1:14" s="74" customFormat="1">
      <c r="A1019" s="36"/>
      <c r="B1019" s="457"/>
      <c r="C1019" s="465"/>
      <c r="D1019" s="240"/>
      <c r="E1019" s="466"/>
      <c r="F1019" s="515" t="s">
        <v>28</v>
      </c>
      <c r="G1019" s="428"/>
      <c r="H1019" s="597" t="str">
        <f>IFERROR(VLOOKUP(D1019,'ВИС-2026'!$E$17:$K$2649,7,0),"")</f>
        <v/>
      </c>
      <c r="I1019" s="597" t="str">
        <f t="shared" ref="I1019:I1073" si="338">IFERROR(H1019*G1019,"")</f>
        <v/>
      </c>
      <c r="J1019" s="597" t="str">
        <f t="shared" ref="J1019:J1073" si="339">IFERROR((IF(H1019="","",H1019-H1019*$D$7)),"")</f>
        <v/>
      </c>
      <c r="K1019" s="597" t="str">
        <f t="shared" ref="K1019:K1073" si="340">IFERROR(J1019*G1019, "")</f>
        <v/>
      </c>
      <c r="L1019" s="597" t="str">
        <f t="shared" ref="L1019:L1073" si="341">IFERROR(J1019*$D$8, "")</f>
        <v/>
      </c>
      <c r="M1019" s="597" t="str">
        <f t="shared" ref="M1019:M1073" si="342">IFERROR(L1019*G1019, "")</f>
        <v/>
      </c>
      <c r="N1019" s="104"/>
    </row>
    <row r="1020" spans="1:14" s="74" customFormat="1" ht="30.6">
      <c r="A1020" s="148" t="s">
        <v>25</v>
      </c>
      <c r="B1020" s="208" t="s">
        <v>26</v>
      </c>
      <c r="C1020" s="465" t="s">
        <v>769</v>
      </c>
      <c r="D1020" s="188">
        <v>11009291002</v>
      </c>
      <c r="E1020" s="553" t="str">
        <f>IFERROR(VLOOKUP(D1020,'ВИС-2026'!$E$17:$H$2115,2,0),"")</f>
        <v>Крестовина с параллельными отводами 110/110/50/110/87°</v>
      </c>
      <c r="F1020" s="292" t="str">
        <f>IFERROR(VLOOKUP(D1020,'ВИС-2026'!$E$17:$H$2115,4,0),"")</f>
        <v>шт</v>
      </c>
      <c r="G1020" s="428"/>
      <c r="H1020" s="554">
        <f>IFERROR(VLOOKUP(D1020,'ВИС-2026'!$E$17:$K$2649,7,0),"")</f>
        <v>56.03</v>
      </c>
      <c r="I1020" s="554">
        <f t="shared" si="338"/>
        <v>0</v>
      </c>
      <c r="J1020" s="554">
        <f t="shared" si="339"/>
        <v>56.03</v>
      </c>
      <c r="K1020" s="554">
        <f t="shared" si="340"/>
        <v>0</v>
      </c>
      <c r="L1020" s="554">
        <f t="shared" si="341"/>
        <v>0</v>
      </c>
      <c r="M1020" s="554">
        <f t="shared" si="342"/>
        <v>0</v>
      </c>
      <c r="N1020" s="104"/>
    </row>
    <row r="1021" spans="1:14" s="74" customFormat="1">
      <c r="A1021" s="36"/>
      <c r="B1021" s="475"/>
      <c r="C1021" s="465"/>
      <c r="D1021" s="188"/>
      <c r="E1021" s="466"/>
      <c r="F1021" s="515" t="s">
        <v>28</v>
      </c>
      <c r="G1021" s="428"/>
      <c r="H1021" s="597" t="str">
        <f>IFERROR(VLOOKUP(D1021,'ВИС-2026'!$E$17:$K$2649,7,0),"")</f>
        <v/>
      </c>
      <c r="I1021" s="597" t="str">
        <f t="shared" si="338"/>
        <v/>
      </c>
      <c r="J1021" s="597" t="str">
        <f t="shared" si="339"/>
        <v/>
      </c>
      <c r="K1021" s="597" t="str">
        <f t="shared" si="340"/>
        <v/>
      </c>
      <c r="L1021" s="597" t="str">
        <f t="shared" si="341"/>
        <v/>
      </c>
      <c r="M1021" s="597" t="str">
        <f t="shared" si="342"/>
        <v/>
      </c>
      <c r="N1021" s="104"/>
    </row>
    <row r="1022" spans="1:14" s="74" customFormat="1" ht="30.6">
      <c r="A1022" s="148" t="s">
        <v>25</v>
      </c>
      <c r="B1022" s="208" t="s">
        <v>26</v>
      </c>
      <c r="C1022" s="465" t="s">
        <v>769</v>
      </c>
      <c r="D1022" s="188">
        <v>11237141001</v>
      </c>
      <c r="E1022" s="553" t="str">
        <f>IFERROR(VLOOKUP(D1022,'ВИС-2026'!$E$17:$H$2115,2,0),"")</f>
        <v>Крестовина 90/90/90/87° max flow (гидравлически оптимизированный радиус)</v>
      </c>
      <c r="F1022" s="292" t="str">
        <f>IFERROR(VLOOKUP(D1022,'ВИС-2026'!$E$17:$H$2115,4,0),"")</f>
        <v>шт</v>
      </c>
      <c r="G1022" s="428"/>
      <c r="H1022" s="554">
        <f>IFERROR(VLOOKUP(D1022,'ВИС-2026'!$E$17:$K$2649,7,0),"")</f>
        <v>11.36</v>
      </c>
      <c r="I1022" s="554">
        <f t="shared" si="338"/>
        <v>0</v>
      </c>
      <c r="J1022" s="554">
        <f t="shared" si="339"/>
        <v>11.36</v>
      </c>
      <c r="K1022" s="554">
        <f t="shared" si="340"/>
        <v>0</v>
      </c>
      <c r="L1022" s="554">
        <f t="shared" si="341"/>
        <v>0</v>
      </c>
      <c r="M1022" s="554">
        <f t="shared" si="342"/>
        <v>0</v>
      </c>
      <c r="N1022" s="104"/>
    </row>
    <row r="1023" spans="1:14" s="74" customFormat="1">
      <c r="A1023" s="36"/>
      <c r="B1023" s="484"/>
      <c r="C1023" s="465"/>
      <c r="D1023" s="188"/>
      <c r="E1023" s="466"/>
      <c r="F1023" s="515" t="s">
        <v>28</v>
      </c>
      <c r="G1023" s="428"/>
      <c r="H1023" s="597" t="str">
        <f>IFERROR(VLOOKUP(D1023,'ВИС-2026'!$E$17:$K$2649,7,0),"")</f>
        <v/>
      </c>
      <c r="I1023" s="597" t="str">
        <f t="shared" si="338"/>
        <v/>
      </c>
      <c r="J1023" s="597" t="str">
        <f t="shared" si="339"/>
        <v/>
      </c>
      <c r="K1023" s="597" t="str">
        <f t="shared" si="340"/>
        <v/>
      </c>
      <c r="L1023" s="597" t="str">
        <f t="shared" si="341"/>
        <v/>
      </c>
      <c r="M1023" s="597" t="str">
        <f t="shared" si="342"/>
        <v/>
      </c>
      <c r="N1023" s="104"/>
    </row>
    <row r="1024" spans="1:14" ht="30.6">
      <c r="A1024" s="148" t="s">
        <v>25</v>
      </c>
      <c r="B1024" s="208" t="s">
        <v>26</v>
      </c>
      <c r="C1024" s="465" t="s">
        <v>769</v>
      </c>
      <c r="D1024" s="188">
        <v>11229641001</v>
      </c>
      <c r="E1024" s="553" t="str">
        <f>IFERROR(VLOOKUP(D1024,'ВИС-2026'!$E$17:$H$2115,2,0),"")</f>
        <v>Крестовина 110/110/110/45°</v>
      </c>
      <c r="F1024" s="292" t="str">
        <f>IFERROR(VLOOKUP(D1024,'ВИС-2026'!$E$17:$H$2115,4,0),"")</f>
        <v>шт</v>
      </c>
      <c r="G1024" s="428"/>
      <c r="H1024" s="554">
        <f>IFERROR(VLOOKUP(D1024,'ВИС-2026'!$E$17:$K$2649,7,0),"")</f>
        <v>17.149999999999999</v>
      </c>
      <c r="I1024" s="554">
        <f t="shared" si="338"/>
        <v>0</v>
      </c>
      <c r="J1024" s="554">
        <f t="shared" si="339"/>
        <v>17.149999999999999</v>
      </c>
      <c r="K1024" s="554">
        <f t="shared" si="340"/>
        <v>0</v>
      </c>
      <c r="L1024" s="554">
        <f t="shared" si="341"/>
        <v>0</v>
      </c>
      <c r="M1024" s="554">
        <f t="shared" si="342"/>
        <v>0</v>
      </c>
      <c r="N1024" s="104"/>
    </row>
    <row r="1025" spans="1:14" s="74" customFormat="1" ht="30.6">
      <c r="A1025" s="148" t="s">
        <v>25</v>
      </c>
      <c r="B1025" s="208" t="s">
        <v>26</v>
      </c>
      <c r="C1025" s="465" t="s">
        <v>769</v>
      </c>
      <c r="D1025" s="188">
        <v>11215541001</v>
      </c>
      <c r="E1025" s="553" t="str">
        <f>IFERROR(VLOOKUP(D1025,'ВИС-2026'!$E$17:$H$2115,2,0),"")</f>
        <v>Крестовина 110/110/110/87°</v>
      </c>
      <c r="F1025" s="292" t="str">
        <f>IFERROR(VLOOKUP(D1025,'ВИС-2026'!$E$17:$H$2115,4,0),"")</f>
        <v>шт</v>
      </c>
      <c r="G1025" s="428"/>
      <c r="H1025" s="554">
        <f>IFERROR(VLOOKUP(D1025,'ВИС-2026'!$E$17:$K$2649,7,0),"")</f>
        <v>12.38</v>
      </c>
      <c r="I1025" s="554">
        <f t="shared" si="338"/>
        <v>0</v>
      </c>
      <c r="J1025" s="554">
        <f t="shared" si="339"/>
        <v>12.38</v>
      </c>
      <c r="K1025" s="554">
        <f t="shared" si="340"/>
        <v>0</v>
      </c>
      <c r="L1025" s="554">
        <f t="shared" si="341"/>
        <v>0</v>
      </c>
      <c r="M1025" s="554">
        <f t="shared" si="342"/>
        <v>0</v>
      </c>
      <c r="N1025" s="104"/>
    </row>
    <row r="1026" spans="1:14" s="74" customFormat="1">
      <c r="A1026" s="36"/>
      <c r="B1026" s="484"/>
      <c r="C1026" s="465"/>
      <c r="D1026" s="188"/>
      <c r="E1026" s="466"/>
      <c r="F1026" s="515" t="s">
        <v>28</v>
      </c>
      <c r="G1026" s="428"/>
      <c r="H1026" s="597" t="str">
        <f>IFERROR(VLOOKUP(D1026,'ВИС-2026'!$E$17:$K$2649,7,0),"")</f>
        <v/>
      </c>
      <c r="I1026" s="597" t="str">
        <f t="shared" si="338"/>
        <v/>
      </c>
      <c r="J1026" s="597" t="str">
        <f t="shared" si="339"/>
        <v/>
      </c>
      <c r="K1026" s="597" t="str">
        <f t="shared" si="340"/>
        <v/>
      </c>
      <c r="L1026" s="597" t="str">
        <f t="shared" si="341"/>
        <v/>
      </c>
      <c r="M1026" s="597" t="str">
        <f t="shared" si="342"/>
        <v/>
      </c>
      <c r="N1026" s="104"/>
    </row>
    <row r="1027" spans="1:14" s="74" customFormat="1" ht="30.6">
      <c r="A1027" s="148" t="s">
        <v>25</v>
      </c>
      <c r="B1027" s="208" t="s">
        <v>26</v>
      </c>
      <c r="C1027" s="465" t="s">
        <v>769</v>
      </c>
      <c r="D1027" s="188">
        <v>11215641003</v>
      </c>
      <c r="E1027" s="553" t="str">
        <f>IFERROR(VLOOKUP(D1027,'ВИС-2026'!$E$17:$H$2115,2,0),"")</f>
        <v>Крестовина двухплоскостная 110/110/110/87°</v>
      </c>
      <c r="F1027" s="292" t="str">
        <f>IFERROR(VLOOKUP(D1027,'ВИС-2026'!$E$17:$H$2115,4,0),"")</f>
        <v>шт</v>
      </c>
      <c r="G1027" s="428"/>
      <c r="H1027" s="554">
        <f>IFERROR(VLOOKUP(D1027,'ВИС-2026'!$E$17:$K$2649,7,0),"")</f>
        <v>27.24</v>
      </c>
      <c r="I1027" s="554">
        <f t="shared" si="338"/>
        <v>0</v>
      </c>
      <c r="J1027" s="554">
        <f t="shared" si="339"/>
        <v>27.24</v>
      </c>
      <c r="K1027" s="554">
        <f t="shared" si="340"/>
        <v>0</v>
      </c>
      <c r="L1027" s="554">
        <f t="shared" si="341"/>
        <v>0</v>
      </c>
      <c r="M1027" s="554">
        <f t="shared" si="342"/>
        <v>0</v>
      </c>
      <c r="N1027" s="104"/>
    </row>
    <row r="1028" spans="1:14" s="74" customFormat="1">
      <c r="A1028" s="36"/>
      <c r="B1028" s="457"/>
      <c r="C1028" s="477"/>
      <c r="D1028" s="217"/>
      <c r="E1028" s="479"/>
      <c r="F1028" s="515" t="s">
        <v>28</v>
      </c>
      <c r="G1028" s="428"/>
      <c r="H1028" s="597" t="str">
        <f>IFERROR(VLOOKUP(D1028,'ВИС-2026'!$E$17:$K$2649,7,0),"")</f>
        <v/>
      </c>
      <c r="I1028" s="597" t="str">
        <f t="shared" si="338"/>
        <v/>
      </c>
      <c r="J1028" s="597" t="str">
        <f t="shared" si="339"/>
        <v/>
      </c>
      <c r="K1028" s="597" t="str">
        <f t="shared" si="340"/>
        <v/>
      </c>
      <c r="L1028" s="597" t="str">
        <f t="shared" si="341"/>
        <v/>
      </c>
      <c r="M1028" s="597" t="str">
        <f t="shared" si="342"/>
        <v/>
      </c>
      <c r="N1028" s="104"/>
    </row>
    <row r="1029" spans="1:14" s="74" customFormat="1" ht="30.6">
      <c r="A1029" s="148" t="s">
        <v>25</v>
      </c>
      <c r="B1029" s="208" t="s">
        <v>26</v>
      </c>
      <c r="C1029" s="465" t="s">
        <v>769</v>
      </c>
      <c r="D1029" s="188">
        <v>11231241002</v>
      </c>
      <c r="E1029" s="553" t="str">
        <f>IFERROR(VLOOKUP(D1029,'ВИС-2026'!$E$17:$H$2115,2,0),"")</f>
        <v>Переходник 50/40</v>
      </c>
      <c r="F1029" s="292" t="str">
        <f>IFERROR(VLOOKUP(D1029,'ВИС-2026'!$E$17:$H$2115,4,0),"")</f>
        <v>шт</v>
      </c>
      <c r="G1029" s="428"/>
      <c r="H1029" s="554">
        <f>IFERROR(VLOOKUP(D1029,'ВИС-2026'!$E$17:$K$2649,7,0),"")</f>
        <v>1.77</v>
      </c>
      <c r="I1029" s="554">
        <f t="shared" si="338"/>
        <v>0</v>
      </c>
      <c r="J1029" s="554">
        <f t="shared" si="339"/>
        <v>1.77</v>
      </c>
      <c r="K1029" s="554">
        <f t="shared" si="340"/>
        <v>0</v>
      </c>
      <c r="L1029" s="554">
        <f t="shared" si="341"/>
        <v>0</v>
      </c>
      <c r="M1029" s="554">
        <f t="shared" si="342"/>
        <v>0</v>
      </c>
      <c r="N1029" s="104"/>
    </row>
    <row r="1030" spans="1:14" s="74" customFormat="1" ht="30.6">
      <c r="A1030" s="148" t="s">
        <v>25</v>
      </c>
      <c r="B1030" s="208" t="s">
        <v>26</v>
      </c>
      <c r="C1030" s="465" t="s">
        <v>769</v>
      </c>
      <c r="D1030" s="188">
        <v>11233141001</v>
      </c>
      <c r="E1030" s="553" t="str">
        <f>IFERROR(VLOOKUP(D1030,'ВИС-2026'!$E$17:$H$2115,2,0),"")</f>
        <v>Переходник 90/50</v>
      </c>
      <c r="F1030" s="292" t="str">
        <f>IFERROR(VLOOKUP(D1030,'ВИС-2026'!$E$17:$H$2115,4,0),"")</f>
        <v>шт</v>
      </c>
      <c r="G1030" s="428"/>
      <c r="H1030" s="554">
        <f>IFERROR(VLOOKUP(D1030,'ВИС-2026'!$E$17:$K$2649,7,0),"")</f>
        <v>3.29</v>
      </c>
      <c r="I1030" s="554">
        <f t="shared" si="338"/>
        <v>0</v>
      </c>
      <c r="J1030" s="554">
        <f t="shared" si="339"/>
        <v>3.29</v>
      </c>
      <c r="K1030" s="554">
        <f t="shared" si="340"/>
        <v>0</v>
      </c>
      <c r="L1030" s="554">
        <f t="shared" si="341"/>
        <v>0</v>
      </c>
      <c r="M1030" s="554">
        <f t="shared" si="342"/>
        <v>0</v>
      </c>
      <c r="N1030" s="104"/>
    </row>
    <row r="1031" spans="1:14" s="74" customFormat="1" ht="30.6">
      <c r="A1031" s="148" t="s">
        <v>25</v>
      </c>
      <c r="B1031" s="208" t="s">
        <v>26</v>
      </c>
      <c r="C1031" s="465" t="s">
        <v>769</v>
      </c>
      <c r="D1031" s="240">
        <v>11213941002</v>
      </c>
      <c r="E1031" s="553" t="str">
        <f>IFERROR(VLOOKUP(D1031,'ВИС-2026'!$E$17:$H$2115,2,0),"")</f>
        <v>Переходник 110/50</v>
      </c>
      <c r="F1031" s="292" t="str">
        <f>IFERROR(VLOOKUP(D1031,'ВИС-2026'!$E$17:$H$2115,4,0),"")</f>
        <v>шт</v>
      </c>
      <c r="G1031" s="428"/>
      <c r="H1031" s="554">
        <f>IFERROR(VLOOKUP(D1031,'ВИС-2026'!$E$17:$K$2649,7,0),"")</f>
        <v>3.67</v>
      </c>
      <c r="I1031" s="554">
        <f t="shared" si="338"/>
        <v>0</v>
      </c>
      <c r="J1031" s="554">
        <f t="shared" si="339"/>
        <v>3.67</v>
      </c>
      <c r="K1031" s="554">
        <f t="shared" si="340"/>
        <v>0</v>
      </c>
      <c r="L1031" s="554">
        <f t="shared" si="341"/>
        <v>0</v>
      </c>
      <c r="M1031" s="554">
        <f t="shared" si="342"/>
        <v>0</v>
      </c>
      <c r="N1031" s="104"/>
    </row>
    <row r="1032" spans="1:14" s="74" customFormat="1" ht="30.6">
      <c r="A1032" s="148" t="s">
        <v>25</v>
      </c>
      <c r="B1032" s="208" t="s">
        <v>26</v>
      </c>
      <c r="C1032" s="465" t="s">
        <v>769</v>
      </c>
      <c r="D1032" s="188">
        <v>11214041002</v>
      </c>
      <c r="E1032" s="553" t="str">
        <f>IFERROR(VLOOKUP(D1032,'ВИС-2026'!$E$17:$H$2115,2,0),"")</f>
        <v>Переходник 110/75</v>
      </c>
      <c r="F1032" s="292" t="str">
        <f>IFERROR(VLOOKUP(D1032,'ВИС-2026'!$E$17:$H$2115,4,0),"")</f>
        <v>шт</v>
      </c>
      <c r="G1032" s="428"/>
      <c r="H1032" s="554">
        <f>IFERROR(VLOOKUP(D1032,'ВИС-2026'!$E$17:$K$2649,7,0),"")</f>
        <v>7.77</v>
      </c>
      <c r="I1032" s="554">
        <f t="shared" si="338"/>
        <v>0</v>
      </c>
      <c r="J1032" s="554">
        <f t="shared" si="339"/>
        <v>7.77</v>
      </c>
      <c r="K1032" s="554">
        <f t="shared" si="340"/>
        <v>0</v>
      </c>
      <c r="L1032" s="554">
        <f t="shared" si="341"/>
        <v>0</v>
      </c>
      <c r="M1032" s="554">
        <f t="shared" si="342"/>
        <v>0</v>
      </c>
      <c r="N1032" s="104"/>
    </row>
    <row r="1033" spans="1:14" s="74" customFormat="1" ht="30.6">
      <c r="A1033" s="148" t="s">
        <v>25</v>
      </c>
      <c r="B1033" s="208" t="s">
        <v>26</v>
      </c>
      <c r="C1033" s="465" t="s">
        <v>769</v>
      </c>
      <c r="D1033" s="188">
        <v>11219941001</v>
      </c>
      <c r="E1033" s="553" t="str">
        <f>IFERROR(VLOOKUP(D1033,'ВИС-2026'!$E$17:$H$2115,2,0),"")</f>
        <v>Переходник 110/90</v>
      </c>
      <c r="F1033" s="292" t="str">
        <f>IFERROR(VLOOKUP(D1033,'ВИС-2026'!$E$17:$H$2115,4,0),"")</f>
        <v>шт</v>
      </c>
      <c r="G1033" s="428"/>
      <c r="H1033" s="554">
        <f>IFERROR(VLOOKUP(D1033,'ВИС-2026'!$E$17:$K$2649,7,0),"")</f>
        <v>3.36</v>
      </c>
      <c r="I1033" s="554">
        <f t="shared" si="338"/>
        <v>0</v>
      </c>
      <c r="J1033" s="554">
        <f t="shared" si="339"/>
        <v>3.36</v>
      </c>
      <c r="K1033" s="554">
        <f t="shared" si="340"/>
        <v>0</v>
      </c>
      <c r="L1033" s="554">
        <f t="shared" si="341"/>
        <v>0</v>
      </c>
      <c r="M1033" s="554">
        <f t="shared" si="342"/>
        <v>0</v>
      </c>
      <c r="N1033" s="104"/>
    </row>
    <row r="1034" spans="1:14" s="74" customFormat="1" ht="30.6">
      <c r="A1034" s="148" t="s">
        <v>25</v>
      </c>
      <c r="B1034" s="208" t="s">
        <v>26</v>
      </c>
      <c r="C1034" s="465" t="s">
        <v>769</v>
      </c>
      <c r="D1034" s="188">
        <v>11240391001</v>
      </c>
      <c r="E1034" s="553" t="str">
        <f>IFERROR(VLOOKUP(D1034,'ВИС-2026'!$E$17:$H$2115,2,0),"")</f>
        <v>Переходник 160/110</v>
      </c>
      <c r="F1034" s="292" t="str">
        <f>IFERROR(VLOOKUP(D1034,'ВИС-2026'!$E$17:$H$2115,4,0),"")</f>
        <v>шт</v>
      </c>
      <c r="G1034" s="428"/>
      <c r="H1034" s="554">
        <f>IFERROR(VLOOKUP(D1034,'ВИС-2026'!$E$17:$K$2649,7,0),"")</f>
        <v>19.670000000000002</v>
      </c>
      <c r="I1034" s="554">
        <f t="shared" si="338"/>
        <v>0</v>
      </c>
      <c r="J1034" s="554">
        <f t="shared" si="339"/>
        <v>19.670000000000002</v>
      </c>
      <c r="K1034" s="554">
        <f t="shared" si="340"/>
        <v>0</v>
      </c>
      <c r="L1034" s="554">
        <f t="shared" si="341"/>
        <v>0</v>
      </c>
      <c r="M1034" s="554">
        <f t="shared" si="342"/>
        <v>0</v>
      </c>
      <c r="N1034" s="104"/>
    </row>
    <row r="1035" spans="1:14" s="74" customFormat="1">
      <c r="A1035" s="36"/>
      <c r="B1035" s="457"/>
      <c r="C1035" s="465"/>
      <c r="D1035" s="188"/>
      <c r="E1035" s="466"/>
      <c r="F1035" s="515" t="s">
        <v>28</v>
      </c>
      <c r="G1035" s="428"/>
      <c r="H1035" s="597" t="str">
        <f>IFERROR(VLOOKUP(D1035,'ВИС-2026'!$E$17:$K$2649,7,0),"")</f>
        <v/>
      </c>
      <c r="I1035" s="597" t="str">
        <f t="shared" si="338"/>
        <v/>
      </c>
      <c r="J1035" s="597" t="str">
        <f t="shared" si="339"/>
        <v/>
      </c>
      <c r="K1035" s="597" t="str">
        <f t="shared" si="340"/>
        <v/>
      </c>
      <c r="L1035" s="597" t="str">
        <f t="shared" si="341"/>
        <v/>
      </c>
      <c r="M1035" s="597" t="str">
        <f t="shared" si="342"/>
        <v/>
      </c>
      <c r="N1035" s="104"/>
    </row>
    <row r="1036" spans="1:14" s="74" customFormat="1" ht="30.6">
      <c r="A1036" s="148" t="s">
        <v>25</v>
      </c>
      <c r="B1036" s="208" t="s">
        <v>26</v>
      </c>
      <c r="C1036" s="465" t="s">
        <v>769</v>
      </c>
      <c r="D1036" s="188">
        <v>11200871001</v>
      </c>
      <c r="E1036" s="553" t="str">
        <f>IFERROR(VLOOKUP(D1036,'ВИС-2026'!$E$17:$H$2115,2,0),"")</f>
        <v>Переходник короткий 110/90</v>
      </c>
      <c r="F1036" s="292" t="str">
        <f>IFERROR(VLOOKUP(D1036,'ВИС-2026'!$E$17:$H$2115,4,0),"")</f>
        <v>шт</v>
      </c>
      <c r="G1036" s="428"/>
      <c r="H1036" s="554">
        <f>IFERROR(VLOOKUP(D1036,'ВИС-2026'!$E$17:$K$2649,7,0),"")</f>
        <v>4.2300000000000004</v>
      </c>
      <c r="I1036" s="554">
        <f t="shared" si="338"/>
        <v>0</v>
      </c>
      <c r="J1036" s="554">
        <f t="shared" si="339"/>
        <v>4.2300000000000004</v>
      </c>
      <c r="K1036" s="554">
        <f t="shared" si="340"/>
        <v>0</v>
      </c>
      <c r="L1036" s="554">
        <f t="shared" si="341"/>
        <v>0</v>
      </c>
      <c r="M1036" s="554">
        <f t="shared" si="342"/>
        <v>0</v>
      </c>
      <c r="N1036" s="104"/>
    </row>
    <row r="1037" spans="1:14" s="74" customFormat="1">
      <c r="A1037" s="36"/>
      <c r="B1037" s="457"/>
      <c r="C1037" s="465"/>
      <c r="D1037" s="188"/>
      <c r="E1037" s="466"/>
      <c r="F1037" s="515" t="s">
        <v>28</v>
      </c>
      <c r="G1037" s="428"/>
      <c r="H1037" s="597" t="str">
        <f>IFERROR(VLOOKUP(D1037,'ВИС-2026'!$E$17:$K$2649,7,0),"")</f>
        <v/>
      </c>
      <c r="I1037" s="597" t="str">
        <f t="shared" si="338"/>
        <v/>
      </c>
      <c r="J1037" s="597" t="str">
        <f t="shared" si="339"/>
        <v/>
      </c>
      <c r="K1037" s="597" t="str">
        <f t="shared" si="340"/>
        <v/>
      </c>
      <c r="L1037" s="597" t="str">
        <f t="shared" si="341"/>
        <v/>
      </c>
      <c r="M1037" s="597" t="str">
        <f t="shared" si="342"/>
        <v/>
      </c>
      <c r="N1037" s="104"/>
    </row>
    <row r="1038" spans="1:14" s="74" customFormat="1" ht="30.6">
      <c r="A1038" s="148" t="s">
        <v>25</v>
      </c>
      <c r="B1038" s="208" t="s">
        <v>26</v>
      </c>
      <c r="C1038" s="465" t="s">
        <v>769</v>
      </c>
      <c r="D1038" s="188">
        <v>11239141001</v>
      </c>
      <c r="E1038" s="553" t="str">
        <f>IFERROR(VLOOKUP(D1038,'ВИС-2026'!$E$17:$H$2115,2,0),"")</f>
        <v>Переход на чугунную трубу/трубу из другого материала  110/ 110</v>
      </c>
      <c r="F1038" s="292" t="str">
        <f>IFERROR(VLOOKUP(D1038,'ВИС-2026'!$E$17:$H$2115,4,0),"")</f>
        <v>шт</v>
      </c>
      <c r="G1038" s="428"/>
      <c r="H1038" s="554">
        <f>IFERROR(VLOOKUP(D1038,'ВИС-2026'!$E$17:$K$2649,7,0),"")</f>
        <v>46.99</v>
      </c>
      <c r="I1038" s="554">
        <f t="shared" si="338"/>
        <v>0</v>
      </c>
      <c r="J1038" s="554">
        <f t="shared" si="339"/>
        <v>46.99</v>
      </c>
      <c r="K1038" s="554">
        <f t="shared" si="340"/>
        <v>0</v>
      </c>
      <c r="L1038" s="554">
        <f t="shared" si="341"/>
        <v>0</v>
      </c>
      <c r="M1038" s="554">
        <f t="shared" si="342"/>
        <v>0</v>
      </c>
      <c r="N1038" s="104"/>
    </row>
    <row r="1039" spans="1:14">
      <c r="A1039" s="36"/>
      <c r="B1039" s="457"/>
      <c r="C1039" s="465"/>
      <c r="D1039" s="188"/>
      <c r="E1039" s="466"/>
      <c r="F1039" s="387"/>
      <c r="G1039" s="428"/>
      <c r="H1039" s="595" t="str">
        <f>IFERROR(VLOOKUP(D1039,'ВИС-2026'!$E$17:$K$2649,7,0),"")</f>
        <v/>
      </c>
      <c r="I1039" s="595" t="str">
        <f t="shared" si="338"/>
        <v/>
      </c>
      <c r="J1039" s="595" t="str">
        <f t="shared" si="339"/>
        <v/>
      </c>
      <c r="K1039" s="595" t="str">
        <f t="shared" si="340"/>
        <v/>
      </c>
      <c r="L1039" s="595" t="str">
        <f t="shared" si="341"/>
        <v/>
      </c>
      <c r="M1039" s="595" t="str">
        <f t="shared" si="342"/>
        <v/>
      </c>
      <c r="N1039" s="104"/>
    </row>
    <row r="1040" spans="1:14" s="74" customFormat="1" ht="30.6">
      <c r="A1040" s="148" t="s">
        <v>25</v>
      </c>
      <c r="B1040" s="208" t="s">
        <v>26</v>
      </c>
      <c r="C1040" s="465" t="s">
        <v>769</v>
      </c>
      <c r="D1040" s="188">
        <v>11231741001</v>
      </c>
      <c r="E1040" s="553" t="str">
        <f>IFERROR(VLOOKUP(D1040,'ВИС-2026'!$E$17:$H$2115,2,0),"")</f>
        <v>Отвод под сифон Dн 40/40-30</v>
      </c>
      <c r="F1040" s="292" t="str">
        <f>IFERROR(VLOOKUP(D1040,'ВИС-2026'!$E$17:$H$2115,4,0),"")</f>
        <v>шт</v>
      </c>
      <c r="G1040" s="428"/>
      <c r="H1040" s="554">
        <f>IFERROR(VLOOKUP(D1040,'ВИС-2026'!$E$17:$K$2649,7,0),"")</f>
        <v>1.1299999999999999</v>
      </c>
      <c r="I1040" s="554">
        <f t="shared" si="338"/>
        <v>0</v>
      </c>
      <c r="J1040" s="554">
        <f t="shared" si="339"/>
        <v>1.1299999999999999</v>
      </c>
      <c r="K1040" s="554">
        <f t="shared" si="340"/>
        <v>0</v>
      </c>
      <c r="L1040" s="554">
        <f t="shared" si="341"/>
        <v>0</v>
      </c>
      <c r="M1040" s="554">
        <f t="shared" si="342"/>
        <v>0</v>
      </c>
      <c r="N1040" s="104"/>
    </row>
    <row r="1041" spans="1:14" s="74" customFormat="1" ht="30.6">
      <c r="A1041" s="148" t="s">
        <v>25</v>
      </c>
      <c r="B1041" s="208" t="s">
        <v>26</v>
      </c>
      <c r="C1041" s="465" t="s">
        <v>769</v>
      </c>
      <c r="D1041" s="188">
        <v>11214441001</v>
      </c>
      <c r="E1041" s="553" t="str">
        <f>IFERROR(VLOOKUP(D1041,'ВИС-2026'!$E$17:$H$2115,2,0),"")</f>
        <v>Отвод под сифон Dн 50/50</v>
      </c>
      <c r="F1041" s="292" t="str">
        <f>IFERROR(VLOOKUP(D1041,'ВИС-2026'!$E$17:$H$2115,4,0),"")</f>
        <v>шт</v>
      </c>
      <c r="G1041" s="428"/>
      <c r="H1041" s="554">
        <f>IFERROR(VLOOKUP(D1041,'ВИС-2026'!$E$17:$K$2649,7,0),"")</f>
        <v>3.45</v>
      </c>
      <c r="I1041" s="554">
        <f t="shared" si="338"/>
        <v>0</v>
      </c>
      <c r="J1041" s="554">
        <f t="shared" si="339"/>
        <v>3.45</v>
      </c>
      <c r="K1041" s="554">
        <f t="shared" si="340"/>
        <v>0</v>
      </c>
      <c r="L1041" s="554">
        <f t="shared" si="341"/>
        <v>0</v>
      </c>
      <c r="M1041" s="554">
        <f t="shared" si="342"/>
        <v>0</v>
      </c>
      <c r="N1041" s="104"/>
    </row>
    <row r="1042" spans="1:14" s="74" customFormat="1">
      <c r="A1042" s="36"/>
      <c r="B1042" s="475"/>
      <c r="C1042" s="477"/>
      <c r="D1042" s="217"/>
      <c r="E1042" s="479"/>
      <c r="F1042" s="515" t="s">
        <v>28</v>
      </c>
      <c r="G1042" s="428"/>
      <c r="H1042" s="597" t="str">
        <f>IFERROR(VLOOKUP(D1042,'ВИС-2026'!$E$17:$K$2649,7,0),"")</f>
        <v/>
      </c>
      <c r="I1042" s="597" t="str">
        <f t="shared" si="338"/>
        <v/>
      </c>
      <c r="J1042" s="597" t="str">
        <f t="shared" si="339"/>
        <v/>
      </c>
      <c r="K1042" s="597" t="str">
        <f t="shared" si="340"/>
        <v/>
      </c>
      <c r="L1042" s="597" t="str">
        <f t="shared" si="341"/>
        <v/>
      </c>
      <c r="M1042" s="597" t="str">
        <f t="shared" si="342"/>
        <v/>
      </c>
      <c r="N1042" s="104"/>
    </row>
    <row r="1043" spans="1:14" s="74" customFormat="1" ht="30.6">
      <c r="A1043" s="148" t="s">
        <v>25</v>
      </c>
      <c r="B1043" s="208" t="s">
        <v>26</v>
      </c>
      <c r="C1043" s="465" t="s">
        <v>769</v>
      </c>
      <c r="D1043" s="188">
        <v>11231341003</v>
      </c>
      <c r="E1043" s="553" t="str">
        <f>IFERROR(VLOOKUP(D1043,'ВИС-2026'!$E$17:$H$2115,2,0),"")</f>
        <v>Заглушка 40</v>
      </c>
      <c r="F1043" s="292" t="str">
        <f>IFERROR(VLOOKUP(D1043,'ВИС-2026'!$E$17:$H$2115,4,0),"")</f>
        <v>шт</v>
      </c>
      <c r="G1043" s="428"/>
      <c r="H1043" s="554">
        <f>IFERROR(VLOOKUP(D1043,'ВИС-2026'!$E$17:$K$2649,7,0),"")</f>
        <v>1.34</v>
      </c>
      <c r="I1043" s="554">
        <f t="shared" si="338"/>
        <v>0</v>
      </c>
      <c r="J1043" s="554">
        <f t="shared" si="339"/>
        <v>1.34</v>
      </c>
      <c r="K1043" s="554">
        <f t="shared" si="340"/>
        <v>0</v>
      </c>
      <c r="L1043" s="554">
        <f t="shared" si="341"/>
        <v>0</v>
      </c>
      <c r="M1043" s="554">
        <f t="shared" si="342"/>
        <v>0</v>
      </c>
      <c r="N1043" s="104"/>
    </row>
    <row r="1044" spans="1:14" s="74" customFormat="1" ht="30.6">
      <c r="A1044" s="148" t="s">
        <v>25</v>
      </c>
      <c r="B1044" s="208" t="s">
        <v>26</v>
      </c>
      <c r="C1044" s="465" t="s">
        <v>769</v>
      </c>
      <c r="D1044" s="188">
        <v>11214541003</v>
      </c>
      <c r="E1044" s="553" t="str">
        <f>IFERROR(VLOOKUP(D1044,'ВИС-2026'!$E$17:$H$2115,2,0),"")</f>
        <v>Заглушка 50</v>
      </c>
      <c r="F1044" s="292" t="str">
        <f>IFERROR(VLOOKUP(D1044,'ВИС-2026'!$E$17:$H$2115,4,0),"")</f>
        <v>шт</v>
      </c>
      <c r="G1044" s="428"/>
      <c r="H1044" s="554">
        <f>IFERROR(VLOOKUP(D1044,'ВИС-2026'!$E$17:$K$2649,7,0),"")</f>
        <v>1.22</v>
      </c>
      <c r="I1044" s="554">
        <f t="shared" si="338"/>
        <v>0</v>
      </c>
      <c r="J1044" s="554">
        <f t="shared" si="339"/>
        <v>1.22</v>
      </c>
      <c r="K1044" s="554">
        <f t="shared" si="340"/>
        <v>0</v>
      </c>
      <c r="L1044" s="554">
        <f t="shared" si="341"/>
        <v>0</v>
      </c>
      <c r="M1044" s="554">
        <f t="shared" si="342"/>
        <v>0</v>
      </c>
      <c r="N1044" s="104"/>
    </row>
    <row r="1045" spans="1:14" s="74" customFormat="1" ht="30.6">
      <c r="A1045" s="148" t="s">
        <v>25</v>
      </c>
      <c r="B1045" s="208" t="s">
        <v>26</v>
      </c>
      <c r="C1045" s="465" t="s">
        <v>769</v>
      </c>
      <c r="D1045" s="188">
        <v>11214741003</v>
      </c>
      <c r="E1045" s="553" t="str">
        <f>IFERROR(VLOOKUP(D1045,'ВИС-2026'!$E$17:$H$2115,2,0),"")</f>
        <v>Заглушка 110</v>
      </c>
      <c r="F1045" s="292" t="str">
        <f>IFERROR(VLOOKUP(D1045,'ВИС-2026'!$E$17:$H$2115,4,0),"")</f>
        <v>шт</v>
      </c>
      <c r="G1045" s="428"/>
      <c r="H1045" s="554">
        <f>IFERROR(VLOOKUP(D1045,'ВИС-2026'!$E$17:$K$2649,7,0),"")</f>
        <v>2.88</v>
      </c>
      <c r="I1045" s="554">
        <f t="shared" si="338"/>
        <v>0</v>
      </c>
      <c r="J1045" s="554">
        <f t="shared" si="339"/>
        <v>2.88</v>
      </c>
      <c r="K1045" s="554">
        <f t="shared" si="340"/>
        <v>0</v>
      </c>
      <c r="L1045" s="554">
        <f t="shared" si="341"/>
        <v>0</v>
      </c>
      <c r="M1045" s="554">
        <f t="shared" si="342"/>
        <v>0</v>
      </c>
      <c r="N1045" s="104"/>
    </row>
    <row r="1046" spans="1:14" s="74" customFormat="1">
      <c r="A1046" s="36"/>
      <c r="B1046" s="475"/>
      <c r="C1046" s="477"/>
      <c r="D1046" s="217"/>
      <c r="E1046" s="479"/>
      <c r="F1046" s="515" t="s">
        <v>28</v>
      </c>
      <c r="G1046" s="428"/>
      <c r="H1046" s="597" t="str">
        <f>IFERROR(VLOOKUP(D1046,'ВИС-2026'!$E$17:$K$2649,7,0),"")</f>
        <v/>
      </c>
      <c r="I1046" s="597" t="str">
        <f t="shared" si="338"/>
        <v/>
      </c>
      <c r="J1046" s="597" t="str">
        <f t="shared" si="339"/>
        <v/>
      </c>
      <c r="K1046" s="597" t="str">
        <f t="shared" si="340"/>
        <v/>
      </c>
      <c r="L1046" s="597" t="str">
        <f t="shared" si="341"/>
        <v/>
      </c>
      <c r="M1046" s="597" t="str">
        <f t="shared" si="342"/>
        <v/>
      </c>
      <c r="N1046" s="104"/>
    </row>
    <row r="1047" spans="1:14" s="74" customFormat="1" ht="30.6">
      <c r="A1047" s="148" t="s">
        <v>25</v>
      </c>
      <c r="B1047" s="208" t="s">
        <v>26</v>
      </c>
      <c r="C1047" s="465" t="s">
        <v>769</v>
      </c>
      <c r="D1047" s="188">
        <v>11231061001</v>
      </c>
      <c r="E1047" s="553" t="str">
        <f>IFERROR(VLOOKUP(D1047,'ВИС-2026'!$E$17:$H$2115,2,0),"")</f>
        <v>Заглушка 160</v>
      </c>
      <c r="F1047" s="292" t="str">
        <f>IFERROR(VLOOKUP(D1047,'ВИС-2026'!$E$17:$H$2115,4,0),"")</f>
        <v>шт</v>
      </c>
      <c r="G1047" s="428"/>
      <c r="H1047" s="554">
        <f>IFERROR(VLOOKUP(D1047,'ВИС-2026'!$E$17:$K$2649,7,0),"")</f>
        <v>10.65</v>
      </c>
      <c r="I1047" s="554">
        <f t="shared" si="338"/>
        <v>0</v>
      </c>
      <c r="J1047" s="554">
        <f t="shared" si="339"/>
        <v>10.65</v>
      </c>
      <c r="K1047" s="554">
        <f t="shared" si="340"/>
        <v>0</v>
      </c>
      <c r="L1047" s="554">
        <f t="shared" si="341"/>
        <v>0</v>
      </c>
      <c r="M1047" s="554">
        <f t="shared" si="342"/>
        <v>0</v>
      </c>
      <c r="N1047" s="104"/>
    </row>
    <row r="1048" spans="1:14" s="74" customFormat="1">
      <c r="A1048" s="36"/>
      <c r="B1048" s="475"/>
      <c r="C1048" s="465"/>
      <c r="D1048" s="188"/>
      <c r="E1048" s="466"/>
      <c r="F1048" s="515" t="s">
        <v>28</v>
      </c>
      <c r="G1048" s="428"/>
      <c r="H1048" s="597" t="str">
        <f>IFERROR(VLOOKUP(D1048,'ВИС-2026'!$E$17:$K$2649,7,0),"")</f>
        <v/>
      </c>
      <c r="I1048" s="597" t="str">
        <f t="shared" si="338"/>
        <v/>
      </c>
      <c r="J1048" s="597" t="str">
        <f t="shared" si="339"/>
        <v/>
      </c>
      <c r="K1048" s="597" t="str">
        <f t="shared" si="340"/>
        <v/>
      </c>
      <c r="L1048" s="597" t="str">
        <f t="shared" si="341"/>
        <v/>
      </c>
      <c r="M1048" s="597" t="str">
        <f t="shared" si="342"/>
        <v/>
      </c>
      <c r="N1048" s="104"/>
    </row>
    <row r="1049" spans="1:14" s="74" customFormat="1" ht="30.6">
      <c r="A1049" s="148" t="s">
        <v>25</v>
      </c>
      <c r="B1049" s="208" t="s">
        <v>26</v>
      </c>
      <c r="C1049" s="465" t="s">
        <v>769</v>
      </c>
      <c r="D1049" s="188">
        <v>11231441001</v>
      </c>
      <c r="E1049" s="553" t="str">
        <f>IFERROR(VLOOKUP(D1049,'ВИС-2026'!$E$17:$H$2115,2,0),"")</f>
        <v>Муфта двухраструбная 40</v>
      </c>
      <c r="F1049" s="292" t="str">
        <f>IFERROR(VLOOKUP(D1049,'ВИС-2026'!$E$17:$H$2115,4,0),"")</f>
        <v>шт</v>
      </c>
      <c r="G1049" s="428"/>
      <c r="H1049" s="554">
        <f>IFERROR(VLOOKUP(D1049,'ВИС-2026'!$E$17:$K$2649,7,0),"")</f>
        <v>1.51</v>
      </c>
      <c r="I1049" s="554">
        <f t="shared" si="338"/>
        <v>0</v>
      </c>
      <c r="J1049" s="554">
        <f t="shared" si="339"/>
        <v>1.51</v>
      </c>
      <c r="K1049" s="554">
        <f t="shared" si="340"/>
        <v>0</v>
      </c>
      <c r="L1049" s="554">
        <f t="shared" si="341"/>
        <v>0</v>
      </c>
      <c r="M1049" s="554">
        <f t="shared" si="342"/>
        <v>0</v>
      </c>
      <c r="N1049" s="104"/>
    </row>
    <row r="1050" spans="1:14" s="74" customFormat="1" ht="30.6">
      <c r="A1050" s="148" t="s">
        <v>25</v>
      </c>
      <c r="B1050" s="208" t="s">
        <v>26</v>
      </c>
      <c r="C1050" s="465" t="s">
        <v>769</v>
      </c>
      <c r="D1050" s="188">
        <v>11326241001</v>
      </c>
      <c r="E1050" s="553" t="str">
        <f>IFERROR(VLOOKUP(D1050,'ВИС-2026'!$E$17:$H$2115,2,0),"")</f>
        <v>Муфта двухраструбная 50</v>
      </c>
      <c r="F1050" s="292" t="str">
        <f>IFERROR(VLOOKUP(D1050,'ВИС-2026'!$E$17:$H$2115,4,0),"")</f>
        <v>шт</v>
      </c>
      <c r="G1050" s="428"/>
      <c r="H1050" s="554">
        <f>IFERROR(VLOOKUP(D1050,'ВИС-2026'!$E$17:$K$2649,7,0),"")</f>
        <v>1.43</v>
      </c>
      <c r="I1050" s="554">
        <f t="shared" si="338"/>
        <v>0</v>
      </c>
      <c r="J1050" s="554">
        <f t="shared" si="339"/>
        <v>1.43</v>
      </c>
      <c r="K1050" s="554">
        <f t="shared" si="340"/>
        <v>0</v>
      </c>
      <c r="L1050" s="554">
        <f t="shared" si="341"/>
        <v>0</v>
      </c>
      <c r="M1050" s="554">
        <f t="shared" si="342"/>
        <v>0</v>
      </c>
      <c r="N1050" s="104"/>
    </row>
    <row r="1051" spans="1:14" ht="30.6">
      <c r="A1051" s="148" t="s">
        <v>25</v>
      </c>
      <c r="B1051" s="208" t="s">
        <v>26</v>
      </c>
      <c r="C1051" s="465" t="s">
        <v>769</v>
      </c>
      <c r="D1051" s="188">
        <v>11214941001</v>
      </c>
      <c r="E1051" s="553" t="str">
        <f>IFERROR(VLOOKUP(D1051,'ВИС-2026'!$E$17:$H$2115,2,0),"")</f>
        <v>Муфта двухраструбная 110</v>
      </c>
      <c r="F1051" s="292" t="str">
        <f>IFERROR(VLOOKUP(D1051,'ВИС-2026'!$E$17:$H$2115,4,0),"")</f>
        <v>шт</v>
      </c>
      <c r="G1051" s="428"/>
      <c r="H1051" s="554">
        <f>IFERROR(VLOOKUP(D1051,'ВИС-2026'!$E$17:$K$2649,7,0),"")</f>
        <v>5.62</v>
      </c>
      <c r="I1051" s="554">
        <f t="shared" si="338"/>
        <v>0</v>
      </c>
      <c r="J1051" s="554">
        <f t="shared" si="339"/>
        <v>5.62</v>
      </c>
      <c r="K1051" s="554">
        <f t="shared" si="340"/>
        <v>0</v>
      </c>
      <c r="L1051" s="554">
        <f t="shared" si="341"/>
        <v>0</v>
      </c>
      <c r="M1051" s="554">
        <f t="shared" si="342"/>
        <v>0</v>
      </c>
      <c r="N1051" s="104"/>
    </row>
    <row r="1052" spans="1:14" s="74" customFormat="1">
      <c r="A1052" s="36"/>
      <c r="B1052" s="476"/>
      <c r="C1052" s="465"/>
      <c r="D1052" s="188"/>
      <c r="E1052" s="466"/>
      <c r="F1052" s="226" t="s">
        <v>65</v>
      </c>
      <c r="G1052" s="428"/>
      <c r="H1052" s="229" t="str">
        <f>IFERROR(VLOOKUP(D1052,'ВИС-2026'!$E$17:$K$2649,7,0),"")</f>
        <v/>
      </c>
      <c r="I1052" s="229" t="str">
        <f t="shared" si="338"/>
        <v/>
      </c>
      <c r="J1052" s="229" t="str">
        <f t="shared" si="339"/>
        <v/>
      </c>
      <c r="K1052" s="229" t="str">
        <f t="shared" si="340"/>
        <v/>
      </c>
      <c r="L1052" s="229" t="str">
        <f t="shared" si="341"/>
        <v/>
      </c>
      <c r="M1052" s="229" t="str">
        <f t="shared" si="342"/>
        <v/>
      </c>
      <c r="N1052" s="104"/>
    </row>
    <row r="1053" spans="1:14" s="74" customFormat="1" ht="30.6">
      <c r="A1053" s="148" t="s">
        <v>25</v>
      </c>
      <c r="B1053" s="208" t="s">
        <v>26</v>
      </c>
      <c r="C1053" s="465" t="s">
        <v>769</v>
      </c>
      <c r="D1053" s="188">
        <v>11326251001</v>
      </c>
      <c r="E1053" s="553" t="str">
        <f>IFERROR(VLOOKUP(D1053,'ВИС-2026'!$E$17:$H$2115,2,0),"")</f>
        <v>Муфта надвижная 50</v>
      </c>
      <c r="F1053" s="292" t="str">
        <f>IFERROR(VLOOKUP(D1053,'ВИС-2026'!$E$17:$H$2115,4,0),"")</f>
        <v>шт</v>
      </c>
      <c r="G1053" s="428"/>
      <c r="H1053" s="554">
        <f>IFERROR(VLOOKUP(D1053,'ВИС-2026'!$E$17:$K$2649,7,0),"")</f>
        <v>1.45</v>
      </c>
      <c r="I1053" s="554">
        <f t="shared" si="338"/>
        <v>0</v>
      </c>
      <c r="J1053" s="554">
        <f t="shared" si="339"/>
        <v>1.45</v>
      </c>
      <c r="K1053" s="554">
        <f t="shared" si="340"/>
        <v>0</v>
      </c>
      <c r="L1053" s="554">
        <f t="shared" si="341"/>
        <v>0</v>
      </c>
      <c r="M1053" s="554">
        <f t="shared" si="342"/>
        <v>0</v>
      </c>
      <c r="N1053" s="104"/>
    </row>
    <row r="1054" spans="1:14" s="74" customFormat="1" ht="30.6">
      <c r="A1054" s="148" t="s">
        <v>25</v>
      </c>
      <c r="B1054" s="208" t="s">
        <v>26</v>
      </c>
      <c r="C1054" s="465" t="s">
        <v>769</v>
      </c>
      <c r="D1054" s="188">
        <v>11233541001</v>
      </c>
      <c r="E1054" s="553" t="str">
        <f>IFERROR(VLOOKUP(D1054,'ВИС-2026'!$E$17:$H$2115,2,0),"")</f>
        <v>Муфта надвижная 90</v>
      </c>
      <c r="F1054" s="292" t="str">
        <f>IFERROR(VLOOKUP(D1054,'ВИС-2026'!$E$17:$H$2115,4,0),"")</f>
        <v>шт</v>
      </c>
      <c r="G1054" s="428"/>
      <c r="H1054" s="554">
        <f>IFERROR(VLOOKUP(D1054,'ВИС-2026'!$E$17:$K$2649,7,0),"")</f>
        <v>3.07</v>
      </c>
      <c r="I1054" s="554">
        <f t="shared" si="338"/>
        <v>0</v>
      </c>
      <c r="J1054" s="554">
        <f t="shared" si="339"/>
        <v>3.07</v>
      </c>
      <c r="K1054" s="554">
        <f t="shared" si="340"/>
        <v>0</v>
      </c>
      <c r="L1054" s="554">
        <f t="shared" si="341"/>
        <v>0</v>
      </c>
      <c r="M1054" s="554">
        <f t="shared" si="342"/>
        <v>0</v>
      </c>
      <c r="N1054" s="104"/>
    </row>
    <row r="1055" spans="1:14" s="74" customFormat="1" ht="30.6">
      <c r="A1055" s="148" t="s">
        <v>25</v>
      </c>
      <c r="B1055" s="208" t="s">
        <v>26</v>
      </c>
      <c r="C1055" s="465" t="s">
        <v>769</v>
      </c>
      <c r="D1055" s="188">
        <v>11215141001</v>
      </c>
      <c r="E1055" s="553" t="str">
        <f>IFERROR(VLOOKUP(D1055,'ВИС-2026'!$E$17:$H$2115,2,0),"")</f>
        <v>Муфта надвижная 110</v>
      </c>
      <c r="F1055" s="292" t="str">
        <f>IFERROR(VLOOKUP(D1055,'ВИС-2026'!$E$17:$H$2115,4,0),"")</f>
        <v>шт</v>
      </c>
      <c r="G1055" s="428"/>
      <c r="H1055" s="554">
        <f>IFERROR(VLOOKUP(D1055,'ВИС-2026'!$E$17:$K$2649,7,0),"")</f>
        <v>7.94</v>
      </c>
      <c r="I1055" s="554">
        <f t="shared" si="338"/>
        <v>0</v>
      </c>
      <c r="J1055" s="554">
        <f t="shared" si="339"/>
        <v>7.94</v>
      </c>
      <c r="K1055" s="554">
        <f t="shared" si="340"/>
        <v>0</v>
      </c>
      <c r="L1055" s="554">
        <f t="shared" si="341"/>
        <v>0</v>
      </c>
      <c r="M1055" s="554">
        <f t="shared" si="342"/>
        <v>0</v>
      </c>
      <c r="N1055" s="104"/>
    </row>
    <row r="1056" spans="1:14" s="74" customFormat="1" ht="30.6">
      <c r="A1056" s="148" t="s">
        <v>25</v>
      </c>
      <c r="B1056" s="208" t="s">
        <v>26</v>
      </c>
      <c r="C1056" s="465" t="s">
        <v>769</v>
      </c>
      <c r="D1056" s="188">
        <v>11240481001</v>
      </c>
      <c r="E1056" s="553" t="str">
        <f>IFERROR(VLOOKUP(D1056,'ВИС-2026'!$E$17:$H$2115,2,0),"")</f>
        <v>Муфта надвижная 160</v>
      </c>
      <c r="F1056" s="292" t="str">
        <f>IFERROR(VLOOKUP(D1056,'ВИС-2026'!$E$17:$H$2115,4,0),"")</f>
        <v>шт</v>
      </c>
      <c r="G1056" s="428"/>
      <c r="H1056" s="554">
        <f>IFERROR(VLOOKUP(D1056,'ВИС-2026'!$E$17:$K$2649,7,0),"")</f>
        <v>23.16</v>
      </c>
      <c r="I1056" s="554">
        <f t="shared" si="338"/>
        <v>0</v>
      </c>
      <c r="J1056" s="554">
        <f t="shared" si="339"/>
        <v>23.16</v>
      </c>
      <c r="K1056" s="554">
        <f t="shared" si="340"/>
        <v>0</v>
      </c>
      <c r="L1056" s="554">
        <f t="shared" si="341"/>
        <v>0</v>
      </c>
      <c r="M1056" s="554">
        <f t="shared" si="342"/>
        <v>0</v>
      </c>
      <c r="N1056" s="104"/>
    </row>
    <row r="1057" spans="1:14" s="74" customFormat="1">
      <c r="A1057" s="36"/>
      <c r="B1057" s="457"/>
      <c r="C1057" s="465"/>
      <c r="D1057" s="188"/>
      <c r="E1057" s="466"/>
      <c r="F1057" s="226" t="s">
        <v>65</v>
      </c>
      <c r="G1057" s="428"/>
      <c r="H1057" s="229" t="str">
        <f>IFERROR(VLOOKUP(D1057,'ВИС-2026'!$E$17:$K$2649,7,0),"")</f>
        <v/>
      </c>
      <c r="I1057" s="229" t="str">
        <f t="shared" si="338"/>
        <v/>
      </c>
      <c r="J1057" s="229" t="str">
        <f t="shared" si="339"/>
        <v/>
      </c>
      <c r="K1057" s="229" t="str">
        <f t="shared" si="340"/>
        <v/>
      </c>
      <c r="L1057" s="229" t="str">
        <f t="shared" si="341"/>
        <v/>
      </c>
      <c r="M1057" s="229" t="str">
        <f t="shared" si="342"/>
        <v/>
      </c>
      <c r="N1057" s="104"/>
    </row>
    <row r="1058" spans="1:14" s="74" customFormat="1" ht="30.6">
      <c r="A1058" s="148" t="s">
        <v>25</v>
      </c>
      <c r="B1058" s="208" t="s">
        <v>26</v>
      </c>
      <c r="C1058" s="465" t="s">
        <v>769</v>
      </c>
      <c r="D1058" s="188">
        <v>11210391001</v>
      </c>
      <c r="E1058" s="553" t="str">
        <f>IFERROR(VLOOKUP(D1058,'ВИС-2026'!$E$17:$H$2115,2,0),"")</f>
        <v xml:space="preserve">Ревизия 50 </v>
      </c>
      <c r="F1058" s="292" t="str">
        <f>IFERROR(VLOOKUP(D1058,'ВИС-2026'!$E$17:$H$2115,4,0),"")</f>
        <v>шт</v>
      </c>
      <c r="G1058" s="428"/>
      <c r="H1058" s="554">
        <f>IFERROR(VLOOKUP(D1058,'ВИС-2026'!$E$17:$K$2649,7,0),"")</f>
        <v>11.19</v>
      </c>
      <c r="I1058" s="554">
        <f t="shared" si="338"/>
        <v>0</v>
      </c>
      <c r="J1058" s="554">
        <f t="shared" si="339"/>
        <v>11.19</v>
      </c>
      <c r="K1058" s="554">
        <f t="shared" si="340"/>
        <v>0</v>
      </c>
      <c r="L1058" s="554">
        <f t="shared" si="341"/>
        <v>0</v>
      </c>
      <c r="M1058" s="554">
        <f t="shared" si="342"/>
        <v>0</v>
      </c>
      <c r="N1058" s="104"/>
    </row>
    <row r="1059" spans="1:14" s="74" customFormat="1" ht="30.6">
      <c r="A1059" s="148" t="s">
        <v>25</v>
      </c>
      <c r="B1059" s="208" t="s">
        <v>26</v>
      </c>
      <c r="C1059" s="465" t="s">
        <v>769</v>
      </c>
      <c r="D1059" s="188">
        <v>11233641001</v>
      </c>
      <c r="E1059" s="553" t="str">
        <f>IFERROR(VLOOKUP(D1059,'ВИС-2026'!$E$17:$H$2115,2,0),"")</f>
        <v>Ревизия 90</v>
      </c>
      <c r="F1059" s="292" t="str">
        <f>IFERROR(VLOOKUP(D1059,'ВИС-2026'!$E$17:$H$2115,4,0),"")</f>
        <v>шт</v>
      </c>
      <c r="G1059" s="428"/>
      <c r="H1059" s="554">
        <f>IFERROR(VLOOKUP(D1059,'ВИС-2026'!$E$17:$K$2649,7,0),"")</f>
        <v>7.52</v>
      </c>
      <c r="I1059" s="554">
        <f t="shared" si="338"/>
        <v>0</v>
      </c>
      <c r="J1059" s="554">
        <f t="shared" si="339"/>
        <v>7.52</v>
      </c>
      <c r="K1059" s="554">
        <f t="shared" si="340"/>
        <v>0</v>
      </c>
      <c r="L1059" s="554">
        <f t="shared" si="341"/>
        <v>0</v>
      </c>
      <c r="M1059" s="554">
        <f t="shared" si="342"/>
        <v>0</v>
      </c>
      <c r="N1059" s="104"/>
    </row>
    <row r="1060" spans="1:14" s="74" customFormat="1" ht="30.6">
      <c r="A1060" s="148" t="s">
        <v>25</v>
      </c>
      <c r="B1060" s="208" t="s">
        <v>26</v>
      </c>
      <c r="C1060" s="465" t="s">
        <v>769</v>
      </c>
      <c r="D1060" s="188">
        <v>11206341001</v>
      </c>
      <c r="E1060" s="553" t="str">
        <f>IFERROR(VLOOKUP(D1060,'ВИС-2026'!$E$17:$H$2115,2,0),"")</f>
        <v>Ревизия 125</v>
      </c>
      <c r="F1060" s="292" t="str">
        <f>IFERROR(VLOOKUP(D1060,'ВИС-2026'!$E$17:$H$2115,4,0),"")</f>
        <v>шт</v>
      </c>
      <c r="G1060" s="428"/>
      <c r="H1060" s="554">
        <f>IFERROR(VLOOKUP(D1060,'ВИС-2026'!$E$17:$K$2649,7,0),"")</f>
        <v>24.29</v>
      </c>
      <c r="I1060" s="554">
        <f t="shared" si="338"/>
        <v>0</v>
      </c>
      <c r="J1060" s="554">
        <f t="shared" si="339"/>
        <v>24.29</v>
      </c>
      <c r="K1060" s="554">
        <f t="shared" si="340"/>
        <v>0</v>
      </c>
      <c r="L1060" s="554">
        <f t="shared" si="341"/>
        <v>0</v>
      </c>
      <c r="M1060" s="554">
        <f t="shared" si="342"/>
        <v>0</v>
      </c>
      <c r="N1060" s="104"/>
    </row>
    <row r="1061" spans="1:14" s="74" customFormat="1" ht="30.6">
      <c r="A1061" s="148" t="s">
        <v>25</v>
      </c>
      <c r="B1061" s="208" t="s">
        <v>26</v>
      </c>
      <c r="C1061" s="465" t="s">
        <v>769</v>
      </c>
      <c r="D1061" s="188">
        <v>11240791001</v>
      </c>
      <c r="E1061" s="553" t="str">
        <f>IFERROR(VLOOKUP(D1061,'ВИС-2026'!$E$17:$H$2115,2,0),"")</f>
        <v>Ревизия 160</v>
      </c>
      <c r="F1061" s="292" t="str">
        <f>IFERROR(VLOOKUP(D1061,'ВИС-2026'!$E$17:$H$2115,4,0),"")</f>
        <v>шт</v>
      </c>
      <c r="G1061" s="428"/>
      <c r="H1061" s="554">
        <f>IFERROR(VLOOKUP(D1061,'ВИС-2026'!$E$17:$K$2649,7,0),"")</f>
        <v>58.44</v>
      </c>
      <c r="I1061" s="554">
        <f t="shared" si="338"/>
        <v>0</v>
      </c>
      <c r="J1061" s="554">
        <f t="shared" si="339"/>
        <v>58.44</v>
      </c>
      <c r="K1061" s="554">
        <f t="shared" si="340"/>
        <v>0</v>
      </c>
      <c r="L1061" s="554">
        <f t="shared" si="341"/>
        <v>0</v>
      </c>
      <c r="M1061" s="554">
        <f t="shared" si="342"/>
        <v>0</v>
      </c>
      <c r="N1061" s="104"/>
    </row>
    <row r="1062" spans="1:14" s="74" customFormat="1">
      <c r="A1062" s="36"/>
      <c r="B1062" s="476"/>
      <c r="C1062" s="465"/>
      <c r="D1062" s="188"/>
      <c r="E1062" s="466"/>
      <c r="F1062" s="515" t="s">
        <v>65</v>
      </c>
      <c r="G1062" s="428"/>
      <c r="H1062" s="597" t="str">
        <f>IFERROR(VLOOKUP(D1062,'ВИС-2026'!$E$17:$K$2649,7,0),"")</f>
        <v/>
      </c>
      <c r="I1062" s="597" t="str">
        <f t="shared" si="338"/>
        <v/>
      </c>
      <c r="J1062" s="597" t="str">
        <f t="shared" si="339"/>
        <v/>
      </c>
      <c r="K1062" s="597" t="str">
        <f t="shared" si="340"/>
        <v/>
      </c>
      <c r="L1062" s="597" t="str">
        <f t="shared" si="341"/>
        <v/>
      </c>
      <c r="M1062" s="597" t="str">
        <f t="shared" si="342"/>
        <v/>
      </c>
      <c r="N1062" s="104"/>
    </row>
    <row r="1063" spans="1:14" ht="30.6">
      <c r="A1063" s="148" t="s">
        <v>25</v>
      </c>
      <c r="B1063" s="208" t="s">
        <v>26</v>
      </c>
      <c r="C1063" s="465" t="s">
        <v>769</v>
      </c>
      <c r="D1063" s="188">
        <v>11215941001</v>
      </c>
      <c r="E1063" s="553" t="str">
        <f>IFERROR(VLOOKUP(D1063,'ВИС-2026'!$E$17:$H$2115,2,0),"")</f>
        <v>Патрубок компенсационный 110</v>
      </c>
      <c r="F1063" s="292" t="str">
        <f>IFERROR(VLOOKUP(D1063,'ВИС-2026'!$E$17:$H$2115,4,0),"")</f>
        <v>шт</v>
      </c>
      <c r="G1063" s="428"/>
      <c r="H1063" s="554">
        <f>IFERROR(VLOOKUP(D1063,'ВИС-2026'!$E$17:$K$2649,7,0),"")</f>
        <v>7.61</v>
      </c>
      <c r="I1063" s="554">
        <f t="shared" si="338"/>
        <v>0</v>
      </c>
      <c r="J1063" s="554">
        <f t="shared" si="339"/>
        <v>7.61</v>
      </c>
      <c r="K1063" s="554">
        <f t="shared" si="340"/>
        <v>0</v>
      </c>
      <c r="L1063" s="554">
        <f t="shared" si="341"/>
        <v>0</v>
      </c>
      <c r="M1063" s="554">
        <f t="shared" si="342"/>
        <v>0</v>
      </c>
      <c r="N1063" s="104"/>
    </row>
    <row r="1064" spans="1:14">
      <c r="A1064" s="36"/>
      <c r="B1064" s="475"/>
      <c r="C1064" s="477"/>
      <c r="D1064" s="217"/>
      <c r="E1064" s="479"/>
      <c r="F1064" s="387"/>
      <c r="G1064" s="428"/>
      <c r="H1064" s="595" t="str">
        <f>IFERROR(VLOOKUP(D1064,'ВИС-2026'!$E$17:$K$2649,7,0),"")</f>
        <v/>
      </c>
      <c r="I1064" s="595" t="str">
        <f t="shared" si="338"/>
        <v/>
      </c>
      <c r="J1064" s="595" t="str">
        <f t="shared" si="339"/>
        <v/>
      </c>
      <c r="K1064" s="595" t="str">
        <f t="shared" si="340"/>
        <v/>
      </c>
      <c r="L1064" s="595" t="str">
        <f t="shared" si="341"/>
        <v/>
      </c>
      <c r="M1064" s="595" t="str">
        <f t="shared" si="342"/>
        <v/>
      </c>
      <c r="N1064" s="104"/>
    </row>
    <row r="1065" spans="1:14" s="74" customFormat="1" ht="30.6">
      <c r="A1065" s="148" t="s">
        <v>25</v>
      </c>
      <c r="B1065" s="208" t="s">
        <v>26</v>
      </c>
      <c r="C1065" s="465" t="s">
        <v>769</v>
      </c>
      <c r="D1065" s="188">
        <v>11216141001</v>
      </c>
      <c r="E1065" s="553" t="str">
        <f>IFERROR(VLOOKUP(D1065,'ВИС-2026'!$E$17:$H$2115,2,0),"")</f>
        <v>Отвод для присоед.выпуска унитаза 110/45°</v>
      </c>
      <c r="F1065" s="292" t="str">
        <f>IFERROR(VLOOKUP(D1065,'ВИС-2026'!$E$17:$H$2115,4,0),"")</f>
        <v>шт</v>
      </c>
      <c r="G1065" s="428"/>
      <c r="H1065" s="554">
        <f>IFERROR(VLOOKUP(D1065,'ВИС-2026'!$E$17:$K$2649,7,0),"")</f>
        <v>5.64</v>
      </c>
      <c r="I1065" s="554">
        <f t="shared" si="338"/>
        <v>0</v>
      </c>
      <c r="J1065" s="554">
        <f t="shared" si="339"/>
        <v>5.64</v>
      </c>
      <c r="K1065" s="554">
        <f t="shared" si="340"/>
        <v>0</v>
      </c>
      <c r="L1065" s="554">
        <f t="shared" si="341"/>
        <v>0</v>
      </c>
      <c r="M1065" s="554">
        <f t="shared" si="342"/>
        <v>0</v>
      </c>
      <c r="N1065" s="104"/>
    </row>
    <row r="1066" spans="1:14" s="74" customFormat="1">
      <c r="A1066" s="36"/>
      <c r="B1066" s="475"/>
      <c r="C1066" s="465"/>
      <c r="D1066" s="188"/>
      <c r="E1066" s="466"/>
      <c r="F1066" s="515" t="s">
        <v>65</v>
      </c>
      <c r="G1066" s="428"/>
      <c r="H1066" s="597" t="str">
        <f>IFERROR(VLOOKUP(D1066,'ВИС-2026'!$E$17:$K$2649,7,0),"")</f>
        <v/>
      </c>
      <c r="I1066" s="597" t="str">
        <f t="shared" si="338"/>
        <v/>
      </c>
      <c r="J1066" s="597" t="str">
        <f t="shared" si="339"/>
        <v/>
      </c>
      <c r="K1066" s="597" t="str">
        <f t="shared" si="340"/>
        <v/>
      </c>
      <c r="L1066" s="597" t="str">
        <f t="shared" si="341"/>
        <v/>
      </c>
      <c r="M1066" s="597" t="str">
        <f t="shared" si="342"/>
        <v/>
      </c>
      <c r="N1066" s="104"/>
    </row>
    <row r="1067" spans="1:14" s="74" customFormat="1" ht="30.6">
      <c r="A1067" s="148" t="s">
        <v>25</v>
      </c>
      <c r="B1067" s="208" t="s">
        <v>26</v>
      </c>
      <c r="C1067" s="465" t="s">
        <v>769</v>
      </c>
      <c r="D1067" s="188">
        <v>11216341001</v>
      </c>
      <c r="E1067" s="553" t="str">
        <f>IFERROR(VLOOKUP(D1067,'ВИС-2026'!$E$17:$H$2115,2,0),"")</f>
        <v>Патрубок приборный 110/150 мм</v>
      </c>
      <c r="F1067" s="292" t="str">
        <f>IFERROR(VLOOKUP(D1067,'ВИС-2026'!$E$17:$H$2115,4,0),"")</f>
        <v>шт</v>
      </c>
      <c r="G1067" s="428"/>
      <c r="H1067" s="554">
        <f>IFERROR(VLOOKUP(D1067,'ВИС-2026'!$E$17:$K$2649,7,0),"")</f>
        <v>6.33</v>
      </c>
      <c r="I1067" s="554">
        <f t="shared" si="338"/>
        <v>0</v>
      </c>
      <c r="J1067" s="554">
        <f t="shared" si="339"/>
        <v>6.33</v>
      </c>
      <c r="K1067" s="554">
        <f t="shared" si="340"/>
        <v>0</v>
      </c>
      <c r="L1067" s="554">
        <f t="shared" si="341"/>
        <v>0</v>
      </c>
      <c r="M1067" s="554">
        <f t="shared" si="342"/>
        <v>0</v>
      </c>
      <c r="N1067" s="104"/>
    </row>
    <row r="1068" spans="1:14" s="74" customFormat="1" ht="30.6">
      <c r="A1068" s="148" t="s">
        <v>25</v>
      </c>
      <c r="B1068" s="208" t="s">
        <v>26</v>
      </c>
      <c r="C1068" s="465" t="s">
        <v>769</v>
      </c>
      <c r="D1068" s="188">
        <v>11216441001</v>
      </c>
      <c r="E1068" s="553" t="str">
        <f>IFERROR(VLOOKUP(D1068,'ВИС-2026'!$E$17:$H$2115,2,0),"")</f>
        <v>Патрубок приборный 110/250 мм</v>
      </c>
      <c r="F1068" s="292" t="str">
        <f>IFERROR(VLOOKUP(D1068,'ВИС-2026'!$E$17:$H$2115,4,0),"")</f>
        <v>шт</v>
      </c>
      <c r="G1068" s="428"/>
      <c r="H1068" s="554">
        <f>IFERROR(VLOOKUP(D1068,'ВИС-2026'!$E$17:$K$2649,7,0),"")</f>
        <v>5.49</v>
      </c>
      <c r="I1068" s="554">
        <f t="shared" si="338"/>
        <v>0</v>
      </c>
      <c r="J1068" s="554">
        <f t="shared" si="339"/>
        <v>5.49</v>
      </c>
      <c r="K1068" s="554">
        <f t="shared" si="340"/>
        <v>0</v>
      </c>
      <c r="L1068" s="554">
        <f t="shared" si="341"/>
        <v>0</v>
      </c>
      <c r="M1068" s="554">
        <f t="shared" si="342"/>
        <v>0</v>
      </c>
      <c r="N1068" s="104"/>
    </row>
    <row r="1069" spans="1:14" s="74" customFormat="1">
      <c r="A1069" s="36"/>
      <c r="B1069" s="475"/>
      <c r="C1069" s="477"/>
      <c r="D1069" s="217"/>
      <c r="E1069" s="479"/>
      <c r="F1069" s="515" t="s">
        <v>65</v>
      </c>
      <c r="G1069" s="428"/>
      <c r="H1069" s="597" t="str">
        <f>IFERROR(VLOOKUP(D1069,'ВИС-2026'!$E$17:$K$2649,7,0),"")</f>
        <v/>
      </c>
      <c r="I1069" s="597" t="str">
        <f t="shared" si="338"/>
        <v/>
      </c>
      <c r="J1069" s="597" t="str">
        <f t="shared" si="339"/>
        <v/>
      </c>
      <c r="K1069" s="597" t="str">
        <f t="shared" si="340"/>
        <v/>
      </c>
      <c r="L1069" s="597" t="str">
        <f t="shared" si="341"/>
        <v/>
      </c>
      <c r="M1069" s="597" t="str">
        <f t="shared" si="342"/>
        <v/>
      </c>
      <c r="N1069" s="104"/>
    </row>
    <row r="1070" spans="1:14" s="74" customFormat="1" ht="30.6">
      <c r="A1070" s="148" t="s">
        <v>25</v>
      </c>
      <c r="B1070" s="208" t="s">
        <v>26</v>
      </c>
      <c r="C1070" s="465" t="s">
        <v>769</v>
      </c>
      <c r="D1070" s="240">
        <v>11220441200</v>
      </c>
      <c r="E1070" s="553" t="str">
        <f>IFERROR(VLOOKUP(D1070,'ВИС-2026'!$E$17:$H$2115,2,0),"")</f>
        <v xml:space="preserve">Хомут шумопоглощающий с защелкой 90 M8/10 </v>
      </c>
      <c r="F1070" s="292" t="str">
        <f>IFERROR(VLOOKUP(D1070,'ВИС-2026'!$E$17:$H$2115,4,0),"")</f>
        <v>шт</v>
      </c>
      <c r="G1070" s="428"/>
      <c r="H1070" s="554">
        <f>IFERROR(VLOOKUP(D1070,'ВИС-2026'!$E$17:$K$2649,7,0),"")</f>
        <v>13.25</v>
      </c>
      <c r="I1070" s="554">
        <f t="shared" si="338"/>
        <v>0</v>
      </c>
      <c r="J1070" s="554">
        <f t="shared" si="339"/>
        <v>13.25</v>
      </c>
      <c r="K1070" s="554">
        <f t="shared" si="340"/>
        <v>0</v>
      </c>
      <c r="L1070" s="554">
        <f t="shared" si="341"/>
        <v>0</v>
      </c>
      <c r="M1070" s="554">
        <f t="shared" si="342"/>
        <v>0</v>
      </c>
      <c r="N1070" s="104"/>
    </row>
    <row r="1071" spans="1:14" s="74" customFormat="1" ht="30.6">
      <c r="A1071" s="148" t="s">
        <v>25</v>
      </c>
      <c r="B1071" s="208" t="s">
        <v>26</v>
      </c>
      <c r="C1071" s="465" t="s">
        <v>769</v>
      </c>
      <c r="D1071" s="240">
        <v>11220141200</v>
      </c>
      <c r="E1071" s="553" t="str">
        <f>IFERROR(VLOOKUP(D1071,'ВИС-2026'!$E$17:$H$2115,2,0),"")</f>
        <v xml:space="preserve">Хомут шумопоглощающий с защелкой 110 M8/10 </v>
      </c>
      <c r="F1071" s="292" t="str">
        <f>IFERROR(VLOOKUP(D1071,'ВИС-2026'!$E$17:$H$2115,4,0),"")</f>
        <v>шт</v>
      </c>
      <c r="G1071" s="428"/>
      <c r="H1071" s="554">
        <f>IFERROR(VLOOKUP(D1071,'ВИС-2026'!$E$17:$K$2649,7,0),"")</f>
        <v>16.13</v>
      </c>
      <c r="I1071" s="554">
        <f t="shared" si="338"/>
        <v>0</v>
      </c>
      <c r="J1071" s="554">
        <f t="shared" si="339"/>
        <v>16.13</v>
      </c>
      <c r="K1071" s="554">
        <f t="shared" si="340"/>
        <v>0</v>
      </c>
      <c r="L1071" s="554">
        <f t="shared" si="341"/>
        <v>0</v>
      </c>
      <c r="M1071" s="554">
        <f t="shared" si="342"/>
        <v>0</v>
      </c>
      <c r="N1071" s="104"/>
    </row>
    <row r="1072" spans="1:14" s="74" customFormat="1" ht="30.6">
      <c r="A1072" s="148" t="s">
        <v>25</v>
      </c>
      <c r="B1072" s="208" t="s">
        <v>26</v>
      </c>
      <c r="C1072" s="465" t="s">
        <v>769</v>
      </c>
      <c r="D1072" s="240">
        <v>11220341300</v>
      </c>
      <c r="E1072" s="553" t="str">
        <f>IFERROR(VLOOKUP(D1072,'ВИС-2026'!$E$17:$H$2115,2,0),"")</f>
        <v>Хомут шумопоглощающий с защелкой 160  М10</v>
      </c>
      <c r="F1072" s="292" t="str">
        <f>IFERROR(VLOOKUP(D1072,'ВИС-2026'!$E$17:$H$2115,4,0),"")</f>
        <v>шт</v>
      </c>
      <c r="G1072" s="428"/>
      <c r="H1072" s="554">
        <f>IFERROR(VLOOKUP(D1072,'ВИС-2026'!$E$17:$K$2649,7,0),"")</f>
        <v>13.73</v>
      </c>
      <c r="I1072" s="554">
        <f t="shared" si="338"/>
        <v>0</v>
      </c>
      <c r="J1072" s="554">
        <f t="shared" si="339"/>
        <v>13.73</v>
      </c>
      <c r="K1072" s="554">
        <f t="shared" si="340"/>
        <v>0</v>
      </c>
      <c r="L1072" s="554">
        <f t="shared" si="341"/>
        <v>0</v>
      </c>
      <c r="M1072" s="554">
        <f t="shared" si="342"/>
        <v>0</v>
      </c>
      <c r="N1072" s="104"/>
    </row>
    <row r="1073" spans="1:14" s="74" customFormat="1">
      <c r="A1073" s="36"/>
      <c r="B1073" s="476"/>
      <c r="C1073" s="465"/>
      <c r="D1073" s="188"/>
      <c r="E1073" s="466"/>
      <c r="F1073" s="515" t="s">
        <v>65</v>
      </c>
      <c r="G1073" s="428"/>
      <c r="H1073" s="597" t="str">
        <f>IFERROR(VLOOKUP(D1073,'ВИС-2026'!$E$17:$K$2649,7,0),"")</f>
        <v/>
      </c>
      <c r="I1073" s="597" t="str">
        <f t="shared" si="338"/>
        <v/>
      </c>
      <c r="J1073" s="597" t="str">
        <f t="shared" si="339"/>
        <v/>
      </c>
      <c r="K1073" s="597" t="str">
        <f t="shared" si="340"/>
        <v/>
      </c>
      <c r="L1073" s="597" t="str">
        <f t="shared" si="341"/>
        <v/>
      </c>
      <c r="M1073" s="597" t="str">
        <f t="shared" si="342"/>
        <v/>
      </c>
      <c r="N1073" s="104"/>
    </row>
    <row r="1074" spans="1:14" s="74" customFormat="1" ht="30.6">
      <c r="A1074" s="148" t="s">
        <v>25</v>
      </c>
      <c r="B1074" s="208" t="s">
        <v>26</v>
      </c>
      <c r="C1074" s="465" t="s">
        <v>769</v>
      </c>
      <c r="D1074" s="188">
        <v>11226441001</v>
      </c>
      <c r="E1074" s="553" t="str">
        <f>IFERROR(VLOOKUP(D1074,'ВИС-2026'!$E$17:$H$2115,2,0),"")</f>
        <v>Хомут жесткой фиксации 40 M8</v>
      </c>
      <c r="F1074" s="292" t="str">
        <f>IFERROR(VLOOKUP(D1074,'ВИС-2026'!$E$17:$H$2115,4,0),"")</f>
        <v>шт</v>
      </c>
      <c r="G1074" s="428"/>
      <c r="H1074" s="554">
        <f>IFERROR(VLOOKUP(D1074,'ВИС-2026'!$E$17:$K$2649,7,0),"")</f>
        <v>0.96</v>
      </c>
      <c r="I1074" s="554">
        <f t="shared" ref="I1074:I1076" si="343">IFERROR(H1074*G1074,"")</f>
        <v>0</v>
      </c>
      <c r="J1074" s="554">
        <f t="shared" ref="J1074:J1076" si="344">IFERROR((IF(H1074="","",H1074-H1074*$D$7)),"")</f>
        <v>0.96</v>
      </c>
      <c r="K1074" s="554">
        <f t="shared" ref="K1074:K1076" si="345">IFERROR(J1074*G1074, "")</f>
        <v>0</v>
      </c>
      <c r="L1074" s="554">
        <f t="shared" ref="L1074:L1076" si="346">IFERROR(J1074*$D$8, "")</f>
        <v>0</v>
      </c>
      <c r="M1074" s="554">
        <f t="shared" ref="M1074:M1076" si="347">IFERROR(L1074*G1074, "")</f>
        <v>0</v>
      </c>
      <c r="N1074" s="104"/>
    </row>
    <row r="1075" spans="1:14" s="74" customFormat="1" ht="30.6">
      <c r="A1075" s="148" t="s">
        <v>25</v>
      </c>
      <c r="B1075" s="208" t="s">
        <v>26</v>
      </c>
      <c r="C1075" s="465" t="s">
        <v>769</v>
      </c>
      <c r="D1075" s="188">
        <v>11205041001</v>
      </c>
      <c r="E1075" s="553" t="str">
        <f>IFERROR(VLOOKUP(D1075,'ВИС-2026'!$E$17:$H$2115,2,0),"")</f>
        <v>Хомут жесткой фиксации  50 M8</v>
      </c>
      <c r="F1075" s="292" t="str">
        <f>IFERROR(VLOOKUP(D1075,'ВИС-2026'!$E$17:$H$2115,4,0),"")</f>
        <v>шт</v>
      </c>
      <c r="G1075" s="428"/>
      <c r="H1075" s="554">
        <f>IFERROR(VLOOKUP(D1075,'ВИС-2026'!$E$17:$K$2649,7,0),"")</f>
        <v>2.33</v>
      </c>
      <c r="I1075" s="554">
        <f t="shared" si="343"/>
        <v>0</v>
      </c>
      <c r="J1075" s="554">
        <f t="shared" si="344"/>
        <v>2.33</v>
      </c>
      <c r="K1075" s="554">
        <f t="shared" si="345"/>
        <v>0</v>
      </c>
      <c r="L1075" s="554">
        <f t="shared" si="346"/>
        <v>0</v>
      </c>
      <c r="M1075" s="554">
        <f t="shared" si="347"/>
        <v>0</v>
      </c>
      <c r="N1075" s="104"/>
    </row>
    <row r="1076" spans="1:14" ht="30.6">
      <c r="A1076" s="148" t="s">
        <v>25</v>
      </c>
      <c r="B1076" s="208" t="s">
        <v>26</v>
      </c>
      <c r="C1076" s="465" t="s">
        <v>769</v>
      </c>
      <c r="D1076" s="240">
        <v>11200491003</v>
      </c>
      <c r="E1076" s="553" t="str">
        <f>IFERROR(VLOOKUP(D1076,'ВИС-2026'!$E$17:$H$2115,2,0),"")</f>
        <v xml:space="preserve">Хомут жесткой фиксации  160 M10 </v>
      </c>
      <c r="F1076" s="292" t="str">
        <f>IFERROR(VLOOKUP(D1076,'ВИС-2026'!$E$17:$H$2115,4,0),"")</f>
        <v>шт</v>
      </c>
      <c r="G1076" s="428"/>
      <c r="H1076" s="554">
        <f>IFERROR(VLOOKUP(D1076,'ВИС-2026'!$E$17:$K$2649,7,0),"")</f>
        <v>6.69</v>
      </c>
      <c r="I1076" s="554">
        <f t="shared" si="343"/>
        <v>0</v>
      </c>
      <c r="J1076" s="554">
        <f t="shared" si="344"/>
        <v>6.69</v>
      </c>
      <c r="K1076" s="554">
        <f t="shared" si="345"/>
        <v>0</v>
      </c>
      <c r="L1076" s="554">
        <f t="shared" si="346"/>
        <v>0</v>
      </c>
      <c r="M1076" s="554">
        <f t="shared" si="347"/>
        <v>0</v>
      </c>
      <c r="N1076" s="104"/>
    </row>
    <row r="1077" spans="1:14" s="74" customFormat="1">
      <c r="A1077" s="36"/>
      <c r="B1077" s="476"/>
      <c r="C1077" s="465"/>
      <c r="D1077" s="188"/>
      <c r="E1077" s="466"/>
      <c r="F1077" s="515" t="s">
        <v>65</v>
      </c>
      <c r="G1077" s="428"/>
      <c r="H1077" s="597" t="str">
        <f>IFERROR(VLOOKUP(D1077,'ВИС-2026'!$E$17:$K$2649,7,0),"")</f>
        <v/>
      </c>
      <c r="I1077" s="597" t="str">
        <f t="shared" ref="I1077:I1094" si="348">IFERROR(H1077*G1077,"")</f>
        <v/>
      </c>
      <c r="J1077" s="597" t="str">
        <f t="shared" ref="J1077:J1094" si="349">IFERROR((IF(H1077="","",H1077-H1077*$D$7)),"")</f>
        <v/>
      </c>
      <c r="K1077" s="597" t="str">
        <f t="shared" ref="K1077:K1094" si="350">IFERROR(J1077*G1077, "")</f>
        <v/>
      </c>
      <c r="L1077" s="597" t="str">
        <f t="shared" ref="L1077:L1093" si="351">IFERROR(J1077*$D$8, "")</f>
        <v/>
      </c>
      <c r="M1077" s="597" t="str">
        <f t="shared" ref="M1077:M1094" si="352">IFERROR(L1077*G1077, "")</f>
        <v/>
      </c>
      <c r="N1077" s="104"/>
    </row>
    <row r="1078" spans="1:14" s="74" customFormat="1" ht="30.6">
      <c r="A1078" s="148" t="s">
        <v>25</v>
      </c>
      <c r="B1078" s="208" t="s">
        <v>26</v>
      </c>
      <c r="C1078" s="465" t="s">
        <v>769</v>
      </c>
      <c r="D1078" s="188">
        <v>11226541001</v>
      </c>
      <c r="E1078" s="553" t="str">
        <f>IFERROR(VLOOKUP(D1078,'ВИС-2026'!$E$17:$H$2115,2,0),"")</f>
        <v>Хомут скользящий  40 M8</v>
      </c>
      <c r="F1078" s="292" t="str">
        <f>IFERROR(VLOOKUP(D1078,'ВИС-2026'!$E$17:$H$2115,4,0),"")</f>
        <v>шт</v>
      </c>
      <c r="G1078" s="428"/>
      <c r="H1078" s="554">
        <f>IFERROR(VLOOKUP(D1078,'ВИС-2026'!$E$17:$K$2649,7,0),"")</f>
        <v>1.01</v>
      </c>
      <c r="I1078" s="554">
        <f t="shared" si="348"/>
        <v>0</v>
      </c>
      <c r="J1078" s="554">
        <f t="shared" si="349"/>
        <v>1.01</v>
      </c>
      <c r="K1078" s="554">
        <f t="shared" si="350"/>
        <v>0</v>
      </c>
      <c r="L1078" s="554">
        <f t="shared" si="351"/>
        <v>0</v>
      </c>
      <c r="M1078" s="554">
        <f t="shared" si="352"/>
        <v>0</v>
      </c>
      <c r="N1078" s="104"/>
    </row>
    <row r="1079" spans="1:14" s="74" customFormat="1" ht="30.6">
      <c r="A1079" s="148" t="s">
        <v>25</v>
      </c>
      <c r="B1079" s="208" t="s">
        <v>26</v>
      </c>
      <c r="C1079" s="465" t="s">
        <v>769</v>
      </c>
      <c r="D1079" s="188">
        <v>11205341001</v>
      </c>
      <c r="E1079" s="553" t="str">
        <f>IFERROR(VLOOKUP(D1079,'ВИС-2026'!$E$17:$H$2115,2,0),"")</f>
        <v>Хомут скользящий 50 M8</v>
      </c>
      <c r="F1079" s="292" t="str">
        <f>IFERROR(VLOOKUP(D1079,'ВИС-2026'!$E$17:$H$2115,4,0),"")</f>
        <v>шт</v>
      </c>
      <c r="G1079" s="428"/>
      <c r="H1079" s="554">
        <f>IFERROR(VLOOKUP(D1079,'ВИС-2026'!$E$17:$K$2649,7,0),"")</f>
        <v>1.94</v>
      </c>
      <c r="I1079" s="554">
        <f t="shared" si="348"/>
        <v>0</v>
      </c>
      <c r="J1079" s="554">
        <f t="shared" si="349"/>
        <v>1.94</v>
      </c>
      <c r="K1079" s="554">
        <f t="shared" si="350"/>
        <v>0</v>
      </c>
      <c r="L1079" s="554">
        <f t="shared" si="351"/>
        <v>0</v>
      </c>
      <c r="M1079" s="554">
        <f t="shared" si="352"/>
        <v>0</v>
      </c>
      <c r="N1079" s="104"/>
    </row>
    <row r="1080" spans="1:14" s="74" customFormat="1" ht="30.6">
      <c r="A1080" s="148" t="s">
        <v>25</v>
      </c>
      <c r="B1080" s="208" t="s">
        <v>26</v>
      </c>
      <c r="C1080" s="465" t="s">
        <v>769</v>
      </c>
      <c r="D1080" s="240">
        <v>11200271002</v>
      </c>
      <c r="E1080" s="553" t="str">
        <f>IFERROR(VLOOKUP(D1080,'ВИС-2026'!$E$17:$H$2115,2,0),"")</f>
        <v xml:space="preserve">Хомут скользящий 110 M8/10 </v>
      </c>
      <c r="F1080" s="292" t="str">
        <f>IFERROR(VLOOKUP(D1080,'ВИС-2026'!$E$17:$H$2115,4,0),"")</f>
        <v>шт</v>
      </c>
      <c r="G1080" s="428"/>
      <c r="H1080" s="554">
        <f>IFERROR(VLOOKUP(D1080,'ВИС-2026'!$E$17:$K$2649,7,0),"")</f>
        <v>7.32</v>
      </c>
      <c r="I1080" s="554">
        <f t="shared" si="348"/>
        <v>0</v>
      </c>
      <c r="J1080" s="554">
        <f t="shared" si="349"/>
        <v>7.32</v>
      </c>
      <c r="K1080" s="554">
        <f t="shared" si="350"/>
        <v>0</v>
      </c>
      <c r="L1080" s="554">
        <f t="shared" si="351"/>
        <v>0</v>
      </c>
      <c r="M1080" s="554">
        <f t="shared" si="352"/>
        <v>0</v>
      </c>
      <c r="N1080" s="104"/>
    </row>
    <row r="1081" spans="1:14" s="74" customFormat="1">
      <c r="A1081" s="36"/>
      <c r="B1081" s="476"/>
      <c r="C1081" s="465"/>
      <c r="D1081" s="188"/>
      <c r="E1081" s="466"/>
      <c r="F1081" s="515" t="s">
        <v>65</v>
      </c>
      <c r="G1081" s="428"/>
      <c r="H1081" s="597" t="str">
        <f>IFERROR(VLOOKUP(D1081,'ВИС-2026'!$E$17:$K$2649,7,0),"")</f>
        <v/>
      </c>
      <c r="I1081" s="597" t="str">
        <f t="shared" si="348"/>
        <v/>
      </c>
      <c r="J1081" s="597" t="str">
        <f t="shared" si="349"/>
        <v/>
      </c>
      <c r="K1081" s="597" t="str">
        <f t="shared" si="350"/>
        <v/>
      </c>
      <c r="L1081" s="597" t="str">
        <f t="shared" si="351"/>
        <v/>
      </c>
      <c r="M1081" s="597" t="str">
        <f t="shared" si="352"/>
        <v/>
      </c>
      <c r="N1081" s="104"/>
    </row>
    <row r="1082" spans="1:14" s="74" customFormat="1" ht="30.6">
      <c r="A1082" s="148" t="s">
        <v>25</v>
      </c>
      <c r="B1082" s="208" t="s">
        <v>26</v>
      </c>
      <c r="C1082" s="465" t="s">
        <v>769</v>
      </c>
      <c r="D1082" s="188">
        <v>11006611001</v>
      </c>
      <c r="E1082" s="553" t="str">
        <f>IFERROR(VLOOKUP(D1082,'ВИС-2026'!$E$17:$H$2115,2,0),"")</f>
        <v>Хомут для усиления раструбных соединений 50</v>
      </c>
      <c r="F1082" s="292" t="str">
        <f>IFERROR(VLOOKUP(D1082,'ВИС-2026'!$E$17:$H$2115,4,0),"")</f>
        <v>шт</v>
      </c>
      <c r="G1082" s="428"/>
      <c r="H1082" s="554">
        <f>IFERROR(VLOOKUP(D1082,'ВИС-2026'!$E$17:$K$2649,7,0),"")</f>
        <v>19.420000000000002</v>
      </c>
      <c r="I1082" s="554">
        <f t="shared" si="348"/>
        <v>0</v>
      </c>
      <c r="J1082" s="554">
        <f t="shared" si="349"/>
        <v>19.420000000000002</v>
      </c>
      <c r="K1082" s="554">
        <f t="shared" si="350"/>
        <v>0</v>
      </c>
      <c r="L1082" s="554">
        <f t="shared" si="351"/>
        <v>0</v>
      </c>
      <c r="M1082" s="554">
        <f t="shared" si="352"/>
        <v>0</v>
      </c>
      <c r="N1082" s="104"/>
    </row>
    <row r="1083" spans="1:14" s="74" customFormat="1">
      <c r="A1083" s="36"/>
      <c r="B1083" s="476"/>
      <c r="C1083" s="465"/>
      <c r="D1083" s="188"/>
      <c r="E1083" s="466"/>
      <c r="F1083" s="515" t="s">
        <v>65</v>
      </c>
      <c r="G1083" s="428"/>
      <c r="H1083" s="597" t="str">
        <f>IFERROR(VLOOKUP(D1083,'ВИС-2026'!$E$17:$K$2649,7,0),"")</f>
        <v/>
      </c>
      <c r="I1083" s="597" t="str">
        <f t="shared" si="348"/>
        <v/>
      </c>
      <c r="J1083" s="597" t="str">
        <f t="shared" si="349"/>
        <v/>
      </c>
      <c r="K1083" s="597" t="str">
        <f t="shared" si="350"/>
        <v/>
      </c>
      <c r="L1083" s="597" t="str">
        <f t="shared" si="351"/>
        <v/>
      </c>
      <c r="M1083" s="597" t="str">
        <f t="shared" si="352"/>
        <v/>
      </c>
      <c r="N1083" s="104"/>
    </row>
    <row r="1084" spans="1:14" s="74" customFormat="1" ht="30.6">
      <c r="A1084" s="148" t="s">
        <v>25</v>
      </c>
      <c r="B1084" s="208" t="s">
        <v>26</v>
      </c>
      <c r="C1084" s="465" t="s">
        <v>769</v>
      </c>
      <c r="D1084" s="188">
        <v>11210741002</v>
      </c>
      <c r="E1084" s="553" t="str">
        <f>IFERROR(VLOOKUP(D1084,'ВИС-2026'!$E$17:$H$2115,2,0),"")</f>
        <v>Шпилька для хомута М8</v>
      </c>
      <c r="F1084" s="292" t="str">
        <f>IFERROR(VLOOKUP(D1084,'ВИС-2026'!$E$17:$H$2115,4,0),"")</f>
        <v>шт</v>
      </c>
      <c r="G1084" s="428"/>
      <c r="H1084" s="554">
        <f>IFERROR(VLOOKUP(D1084,'ВИС-2026'!$E$17:$K$2649,7,0),"")</f>
        <v>0.46</v>
      </c>
      <c r="I1084" s="554">
        <f t="shared" si="348"/>
        <v>0</v>
      </c>
      <c r="J1084" s="554">
        <f t="shared" si="349"/>
        <v>0.46</v>
      </c>
      <c r="K1084" s="554">
        <f t="shared" si="350"/>
        <v>0</v>
      </c>
      <c r="L1084" s="554">
        <f t="shared" si="351"/>
        <v>0</v>
      </c>
      <c r="M1084" s="554">
        <f t="shared" si="352"/>
        <v>0</v>
      </c>
      <c r="N1084" s="104"/>
    </row>
    <row r="1085" spans="1:14" s="74" customFormat="1" ht="30.6">
      <c r="A1085" s="148" t="s">
        <v>25</v>
      </c>
      <c r="B1085" s="208" t="s">
        <v>26</v>
      </c>
      <c r="C1085" s="465" t="s">
        <v>769</v>
      </c>
      <c r="D1085" s="188">
        <v>11210841002</v>
      </c>
      <c r="E1085" s="553" t="str">
        <f>IFERROR(VLOOKUP(D1085,'ВИС-2026'!$E$17:$H$2115,2,0),"")</f>
        <v>Шпилька для хомута М10</v>
      </c>
      <c r="F1085" s="292" t="str">
        <f>IFERROR(VLOOKUP(D1085,'ВИС-2026'!$E$17:$H$2115,4,0),"")</f>
        <v>шт</v>
      </c>
      <c r="G1085" s="428"/>
      <c r="H1085" s="554">
        <f>IFERROR(VLOOKUP(D1085,'ВИС-2026'!$E$17:$K$2649,7,0),"")</f>
        <v>1.04</v>
      </c>
      <c r="I1085" s="554">
        <f t="shared" si="348"/>
        <v>0</v>
      </c>
      <c r="J1085" s="554">
        <f t="shared" si="349"/>
        <v>1.04</v>
      </c>
      <c r="K1085" s="554">
        <f t="shared" si="350"/>
        <v>0</v>
      </c>
      <c r="L1085" s="554">
        <f t="shared" si="351"/>
        <v>0</v>
      </c>
      <c r="M1085" s="554">
        <f t="shared" si="352"/>
        <v>0</v>
      </c>
      <c r="N1085" s="104"/>
    </row>
    <row r="1086" spans="1:14" s="74" customFormat="1">
      <c r="A1086" s="36"/>
      <c r="B1086" s="457"/>
      <c r="C1086" s="465"/>
      <c r="D1086" s="188"/>
      <c r="E1086" s="466"/>
      <c r="F1086" s="515" t="s">
        <v>65</v>
      </c>
      <c r="G1086" s="428"/>
      <c r="H1086" s="597" t="str">
        <f>IFERROR(VLOOKUP(D1086,'ВИС-2026'!$E$17:$K$2649,7,0),"")</f>
        <v/>
      </c>
      <c r="I1086" s="597" t="str">
        <f t="shared" si="348"/>
        <v/>
      </c>
      <c r="J1086" s="597" t="str">
        <f t="shared" si="349"/>
        <v/>
      </c>
      <c r="K1086" s="597" t="str">
        <f t="shared" si="350"/>
        <v/>
      </c>
      <c r="L1086" s="597" t="str">
        <f t="shared" si="351"/>
        <v/>
      </c>
      <c r="M1086" s="597" t="str">
        <f t="shared" si="352"/>
        <v/>
      </c>
      <c r="N1086" s="104"/>
    </row>
    <row r="1087" spans="1:14" s="74" customFormat="1" ht="30.6">
      <c r="A1087" s="148" t="s">
        <v>25</v>
      </c>
      <c r="B1087" s="208" t="s">
        <v>26</v>
      </c>
      <c r="C1087" s="465" t="s">
        <v>769</v>
      </c>
      <c r="D1087" s="188">
        <v>11221041001</v>
      </c>
      <c r="E1087" s="553" t="str">
        <f>IFERROR(VLOOKUP(D1087,'ВИС-2026'!$E$17:$H$2115,2,0),"")</f>
        <v>Противопожарная манжета компакт 50</v>
      </c>
      <c r="F1087" s="292" t="str">
        <f>IFERROR(VLOOKUP(D1087,'ВИС-2026'!$E$17:$H$2115,4,0),"")</f>
        <v>шт</v>
      </c>
      <c r="G1087" s="428"/>
      <c r="H1087" s="554">
        <f>IFERROR(VLOOKUP(D1087,'ВИС-2026'!$E$17:$K$2649,7,0),"")</f>
        <v>46.19</v>
      </c>
      <c r="I1087" s="554">
        <f t="shared" si="348"/>
        <v>0</v>
      </c>
      <c r="J1087" s="554">
        <f t="shared" si="349"/>
        <v>46.19</v>
      </c>
      <c r="K1087" s="554">
        <f t="shared" si="350"/>
        <v>0</v>
      </c>
      <c r="L1087" s="554">
        <f t="shared" si="351"/>
        <v>0</v>
      </c>
      <c r="M1087" s="554">
        <f t="shared" si="352"/>
        <v>0</v>
      </c>
      <c r="N1087" s="104"/>
    </row>
    <row r="1088" spans="1:14" s="74" customFormat="1" ht="30.6">
      <c r="A1088" s="148" t="s">
        <v>25</v>
      </c>
      <c r="B1088" s="208" t="s">
        <v>26</v>
      </c>
      <c r="C1088" s="465" t="s">
        <v>769</v>
      </c>
      <c r="D1088" s="188">
        <v>11220051001</v>
      </c>
      <c r="E1088" s="553" t="str">
        <f>IFERROR(VLOOKUP(D1088,'ВИС-2026'!$E$17:$H$2115,2,0),"")</f>
        <v>Противопожарная манжета компакт 90</v>
      </c>
      <c r="F1088" s="292" t="str">
        <f>IFERROR(VLOOKUP(D1088,'ВИС-2026'!$E$17:$H$2115,4,0),"")</f>
        <v>шт</v>
      </c>
      <c r="G1088" s="428"/>
      <c r="H1088" s="554">
        <f>IFERROR(VLOOKUP(D1088,'ВИС-2026'!$E$17:$K$2649,7,0),"")</f>
        <v>62.21</v>
      </c>
      <c r="I1088" s="554">
        <f t="shared" si="348"/>
        <v>0</v>
      </c>
      <c r="J1088" s="554">
        <f t="shared" si="349"/>
        <v>62.21</v>
      </c>
      <c r="K1088" s="554">
        <f t="shared" si="350"/>
        <v>0</v>
      </c>
      <c r="L1088" s="554">
        <f t="shared" si="351"/>
        <v>0</v>
      </c>
      <c r="M1088" s="554">
        <f t="shared" si="352"/>
        <v>0</v>
      </c>
      <c r="N1088" s="104"/>
    </row>
    <row r="1089" spans="1:14">
      <c r="A1089" s="36"/>
      <c r="B1089" s="457"/>
      <c r="C1089" s="465"/>
      <c r="D1089" s="188"/>
      <c r="E1089" s="485"/>
      <c r="F1089" s="387"/>
      <c r="G1089" s="428"/>
      <c r="H1089" s="595" t="str">
        <f>IFERROR(VLOOKUP(D1089,'ВИС-2026'!$E$17:$K$2649,7,0),"")</f>
        <v/>
      </c>
      <c r="I1089" s="595" t="str">
        <f t="shared" si="348"/>
        <v/>
      </c>
      <c r="J1089" s="595" t="str">
        <f t="shared" si="349"/>
        <v/>
      </c>
      <c r="K1089" s="595" t="str">
        <f t="shared" si="350"/>
        <v/>
      </c>
      <c r="L1089" s="595" t="str">
        <f t="shared" si="351"/>
        <v/>
      </c>
      <c r="M1089" s="595" t="str">
        <f t="shared" si="352"/>
        <v/>
      </c>
      <c r="N1089" s="104"/>
    </row>
    <row r="1090" spans="1:14" s="74" customFormat="1" ht="30.6">
      <c r="A1090" s="148" t="s">
        <v>25</v>
      </c>
      <c r="B1090" s="208" t="s">
        <v>26</v>
      </c>
      <c r="C1090" s="465" t="s">
        <v>769</v>
      </c>
      <c r="D1090" s="188">
        <v>11282431002</v>
      </c>
      <c r="E1090" s="553" t="str">
        <f>IFERROR(VLOOKUP(D1090,'ВИС-2026'!$E$17:$H$2115,2,0),"")</f>
        <v>Кольцо уплотнительное резиновое для раструба трубы 40
После реализации складского запаса заменяется на артикул 11200891001</v>
      </c>
      <c r="F1090" s="292" t="str">
        <f>IFERROR(VLOOKUP(D1090,'ВИС-2026'!$E$17:$H$2115,4,0),"")</f>
        <v>шт</v>
      </c>
      <c r="G1090" s="428"/>
      <c r="H1090" s="554">
        <f>IFERROR(VLOOKUP(D1090,'ВИС-2026'!$E$17:$K$2649,7,0),"")</f>
        <v>0.32</v>
      </c>
      <c r="I1090" s="554">
        <f t="shared" si="348"/>
        <v>0</v>
      </c>
      <c r="J1090" s="554">
        <f t="shared" si="349"/>
        <v>0.32</v>
      </c>
      <c r="K1090" s="554">
        <f t="shared" si="350"/>
        <v>0</v>
      </c>
      <c r="L1090" s="554">
        <f t="shared" si="351"/>
        <v>0</v>
      </c>
      <c r="M1090" s="554">
        <f t="shared" si="352"/>
        <v>0</v>
      </c>
      <c r="N1090" s="104"/>
    </row>
    <row r="1091" spans="1:14" s="74" customFormat="1" ht="30.6">
      <c r="A1091" s="148" t="s">
        <v>25</v>
      </c>
      <c r="B1091" s="208" t="s">
        <v>26</v>
      </c>
      <c r="C1091" s="465" t="s">
        <v>769</v>
      </c>
      <c r="D1091" s="188">
        <v>11280031001</v>
      </c>
      <c r="E1091" s="553" t="str">
        <f>IFERROR(VLOOKUP(D1091,'ВИС-2026'!$E$17:$H$2115,2,0),"")</f>
        <v>Кольцо уплотнительное резиновое для раструба трубы 90
После реализации складского запаса заменяется на артикул 11200971001</v>
      </c>
      <c r="F1091" s="292" t="str">
        <f>IFERROR(VLOOKUP(D1091,'ВИС-2026'!$E$17:$H$2115,4,0),"")</f>
        <v>шт</v>
      </c>
      <c r="G1091" s="428"/>
      <c r="H1091" s="554">
        <f>IFERROR(VLOOKUP(D1091,'ВИС-2026'!$E$17:$K$2649,7,0),"")</f>
        <v>0.43</v>
      </c>
      <c r="I1091" s="554">
        <f t="shared" si="348"/>
        <v>0</v>
      </c>
      <c r="J1091" s="554">
        <f t="shared" si="349"/>
        <v>0.43</v>
      </c>
      <c r="K1091" s="554">
        <f t="shared" si="350"/>
        <v>0</v>
      </c>
      <c r="L1091" s="554">
        <f t="shared" si="351"/>
        <v>0</v>
      </c>
      <c r="M1091" s="554">
        <f t="shared" si="352"/>
        <v>0</v>
      </c>
      <c r="N1091" s="104"/>
    </row>
    <row r="1092" spans="1:14" s="74" customFormat="1" ht="30.6">
      <c r="A1092" s="148" t="s">
        <v>25</v>
      </c>
      <c r="B1092" s="208" t="s">
        <v>26</v>
      </c>
      <c r="C1092" s="465" t="s">
        <v>769</v>
      </c>
      <c r="D1092" s="188">
        <v>11280331002</v>
      </c>
      <c r="E1092" s="553" t="str">
        <f>IFERROR(VLOOKUP(D1092,'ВИС-2026'!$E$17:$H$2115,2,0),"")</f>
        <v>Кольцо уплотнительное резиновое для раструба трубы 110
После реализации складского запаса заменяется на артикул 11200991001</v>
      </c>
      <c r="F1092" s="292" t="str">
        <f>IFERROR(VLOOKUP(D1092,'ВИС-2026'!$E$17:$H$2115,4,0),"")</f>
        <v>шт</v>
      </c>
      <c r="G1092" s="428"/>
      <c r="H1092" s="554">
        <f>IFERROR(VLOOKUP(D1092,'ВИС-2026'!$E$17:$K$2649,7,0),"")</f>
        <v>0.51</v>
      </c>
      <c r="I1092" s="554">
        <f t="shared" si="348"/>
        <v>0</v>
      </c>
      <c r="J1092" s="554">
        <f t="shared" si="349"/>
        <v>0.51</v>
      </c>
      <c r="K1092" s="554">
        <f t="shared" si="350"/>
        <v>0</v>
      </c>
      <c r="L1092" s="554">
        <f t="shared" si="351"/>
        <v>0</v>
      </c>
      <c r="M1092" s="554">
        <f t="shared" si="352"/>
        <v>0</v>
      </c>
      <c r="N1092" s="104"/>
    </row>
    <row r="1093" spans="1:14" s="74" customFormat="1">
      <c r="A1093" s="36"/>
      <c r="B1093" s="321"/>
      <c r="C1093" s="477"/>
      <c r="D1093" s="217"/>
      <c r="E1093" s="295"/>
      <c r="F1093" s="515" t="s">
        <v>65</v>
      </c>
      <c r="G1093" s="428"/>
      <c r="H1093" s="597" t="str">
        <f>IFERROR(VLOOKUP(D1093,'ВИС-2026'!$E$17:$K$2649,7,0),"")</f>
        <v/>
      </c>
      <c r="I1093" s="597" t="str">
        <f t="shared" si="348"/>
        <v/>
      </c>
      <c r="J1093" s="597" t="str">
        <f t="shared" si="349"/>
        <v/>
      </c>
      <c r="K1093" s="597" t="str">
        <f t="shared" si="350"/>
        <v/>
      </c>
      <c r="L1093" s="597" t="str">
        <f t="shared" si="351"/>
        <v/>
      </c>
      <c r="M1093" s="597" t="str">
        <f t="shared" si="352"/>
        <v/>
      </c>
      <c r="N1093" s="104"/>
    </row>
    <row r="1094" spans="1:14" s="74" customFormat="1" ht="72" customHeight="1">
      <c r="A1094" s="148" t="s">
        <v>25</v>
      </c>
      <c r="B1094" s="208" t="s">
        <v>26</v>
      </c>
      <c r="C1094" s="465" t="s">
        <v>769</v>
      </c>
      <c r="D1094" s="188">
        <v>11097271001</v>
      </c>
      <c r="E1094" s="553" t="str">
        <f>IFERROR(VLOOKUP(D1094,'ВИС-2026'!$E$17:$H$2115,2,0),"")</f>
        <v>Технический вазелин  РЕХАУ для раструб. соединений, Тюбик - 250 г</v>
      </c>
      <c r="F1094" s="292" t="str">
        <f>IFERROR(VLOOKUP(D1094,'ВИС-2026'!$E$17:$H$2115,4,0),"")</f>
        <v>шт</v>
      </c>
      <c r="G1094" s="428"/>
      <c r="H1094" s="554">
        <f>IFERROR(VLOOKUP(D1094,'ВИС-2026'!$E$17:$K$2649,7,0),"")</f>
        <v>9.16</v>
      </c>
      <c r="I1094" s="554">
        <f t="shared" si="348"/>
        <v>0</v>
      </c>
      <c r="J1094" s="554">
        <f t="shared" si="349"/>
        <v>9.16</v>
      </c>
      <c r="K1094" s="554">
        <f t="shared" si="350"/>
        <v>0</v>
      </c>
      <c r="L1094" s="554">
        <f>IFERROR(J1094*$D$8, "")</f>
        <v>0</v>
      </c>
      <c r="M1094" s="554">
        <f t="shared" si="352"/>
        <v>0</v>
      </c>
      <c r="N1094" s="104"/>
    </row>
    <row r="1095" spans="1:14" ht="15.6">
      <c r="K1095" s="90">
        <f>SUM(K16:K1094)</f>
        <v>0</v>
      </c>
      <c r="L1095" s="62" t="s">
        <v>1705</v>
      </c>
      <c r="M1095" s="62">
        <f>SUM(M16:M1094)</f>
        <v>0</v>
      </c>
      <c r="N1095" s="104"/>
    </row>
    <row r="1096" spans="1:14" ht="15">
      <c r="K1096" s="91"/>
      <c r="L1096" s="91"/>
      <c r="M1096" s="91"/>
      <c r="N1096" s="104"/>
    </row>
  </sheetData>
  <sheetProtection insertColumns="0" insertRows="0" deleteColumns="0" deleteRows="0" sort="0" autoFilter="0"/>
  <autoFilter ref="A13:Q1096" xr:uid="{00000000-0009-0000-0000-000001000000}"/>
  <mergeCells count="2">
    <mergeCell ref="D3:E3"/>
    <mergeCell ref="D4:E4"/>
  </mergeCells>
  <conditionalFormatting sqref="N11">
    <cfRule type="duplicateValues" dxfId="6" priority="14"/>
  </conditionalFormatting>
  <conditionalFormatting sqref="N9">
    <cfRule type="duplicateValues" dxfId="5" priority="17"/>
  </conditionalFormatting>
  <conditionalFormatting sqref="N10">
    <cfRule type="duplicateValues" dxfId="4" priority="15"/>
  </conditionalFormatting>
  <conditionalFormatting sqref="N7">
    <cfRule type="duplicateValues" dxfId="3" priority="13"/>
  </conditionalFormatting>
  <conditionalFormatting sqref="N8">
    <cfRule type="duplicateValues" dxfId="2" priority="12"/>
  </conditionalFormatting>
  <conditionalFormatting sqref="D486:D498">
    <cfRule type="duplicateValues" dxfId="1" priority="1"/>
  </conditionalFormatting>
  <conditionalFormatting sqref="D12:D14 D1:D10">
    <cfRule type="duplicateValues" dxfId="0" priority="30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7E3DCDCDDE54A9BBBDBD71BDAF6D8" ma:contentTypeVersion="7" ma:contentTypeDescription="Create a new document." ma:contentTypeScope="" ma:versionID="80b3f66f62b16b0c413d425a08a23f46">
  <xsd:schema xmlns:xsd="http://www.w3.org/2001/XMLSchema" xmlns:xs="http://www.w3.org/2001/XMLSchema" xmlns:p="http://schemas.microsoft.com/office/2006/metadata/properties" xmlns:ns2="5ec764bf-afe6-44f1-999e-a4c043deee03" targetNamespace="http://schemas.microsoft.com/office/2006/metadata/properties" ma:root="true" ma:fieldsID="a321c3623a742c8ac059c53eb67c003e" ns2:_="">
    <xsd:import namespace="5ec764bf-afe6-44f1-999e-a4c043deee03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764bf-afe6-44f1-999e-a4c043deee0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5DCD8E-DF33-4E3C-8E21-39376E1607FB}"/>
</file>

<file path=customXml/itemProps2.xml><?xml version="1.0" encoding="utf-8"?>
<ds:datastoreItem xmlns:ds="http://schemas.openxmlformats.org/officeDocument/2006/customXml" ds:itemID="{68357289-B189-4908-A4E1-7D17FB1577E9}"/>
</file>

<file path=customXml/itemProps3.xml><?xml version="1.0" encoding="utf-8"?>
<ds:datastoreItem xmlns:ds="http://schemas.openxmlformats.org/officeDocument/2006/customXml" ds:itemID="{49E23B9A-B7F9-429A-BC8F-A2A99E273F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2026-02-02T08:42:21Z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0x0101000E47E3DCDCDDE54A9BBBDBD71BDAF6D8</vt:lpwstr>
  </property>
</Properties>
</file>